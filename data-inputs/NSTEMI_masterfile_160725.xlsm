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8" codeName="{E5D1E7B1-6628-F0F0-D09B-76B25B5F3CD3}"/>
  <workbookPr codeName="ThisWorkbook"/>
  <mc:AlternateContent xmlns:mc="http://schemas.openxmlformats.org/markup-compatibility/2006">
    <mc:Choice Requires="x15">
      <x15ac:absPath xmlns:x15ac="http://schemas.microsoft.com/office/spreadsheetml/2010/11/ac" url="/Users/user/Documents/GitHub/pg-ap-analytics/data-inputs/"/>
    </mc:Choice>
  </mc:AlternateContent>
  <xr:revisionPtr revIDLastSave="0" documentId="13_ncr:1_{59FE0BCD-E65A-C74C-8625-3C5A3199C473}" xr6:coauthVersionLast="47" xr6:coauthVersionMax="47" xr10:uidLastSave="{00000000-0000-0000-0000-000000000000}"/>
  <bookViews>
    <workbookView xWindow="0" yWindow="760" windowWidth="30240" windowHeight="17360" firstSheet="1" activeTab="1" xr2:uid="{00000000-000D-0000-FFFF-FFFF00000000}"/>
  </bookViews>
  <sheets>
    <sheet name="assumptions" sheetId="21" r:id="rId1"/>
    <sheet name="out-put" sheetId="36" r:id="rId2"/>
    <sheet name="Parameters.NSTEMI" sheetId="16" r:id="rId3"/>
    <sheet name="random" sheetId="40" r:id="rId4"/>
    <sheet name="simulation" sheetId="42" r:id="rId5"/>
    <sheet name="Intitial-Calculations" sheetId="17" r:id="rId6"/>
    <sheet name="decision tree" sheetId="31" r:id="rId7"/>
    <sheet name="costs" sheetId="24" r:id="rId8"/>
    <sheet name="markov_transition" sheetId="30" r:id="rId9"/>
    <sheet name="markov" sheetId="39" r:id="rId10"/>
    <sheet name="age_sex_dependant_mortality" sheetId="23" r:id="rId11"/>
    <sheet name="age_sex_dependant_utility" sheetId="26" r:id="rId12"/>
    <sheet name="timeline" sheetId="22" r:id="rId13"/>
  </sheets>
  <definedNames>
    <definedName name="_xlnm._FilterDatabase" localSheetId="4" hidden="1">simulation!$B$6:$H$1007</definedName>
    <definedName name="adj_u_noevent">age_sex_dependant_utility!$D$13:$G$51</definedName>
    <definedName name="adj_u_pos_stk">age_sex_dependant_utility!$X$13:$AA$51</definedName>
    <definedName name="adj_u_posrinfarc">age_sex_dependant_utility!$N$13:$Q$51</definedName>
    <definedName name="adj_u_rinfarc">age_sex_dependant_utility!$I$13:$L$51</definedName>
    <definedName name="adj_u_stk">age_sex_dependant_utility!$S$13:$V$51</definedName>
    <definedName name="an_u_dec_maj_bleed">random!$D$17</definedName>
    <definedName name="an_u_dec_min_bleed">random!$D$16</definedName>
    <definedName name="c_bleed_ac">Parameters.NSTEMI!$D$86</definedName>
    <definedName name="c_bleed_ap">Parameters.NSTEMI!$D$88</definedName>
    <definedName name="c_bleed_at">Parameters.NSTEMI!$D$87</definedName>
    <definedName name="c_dead_tree">costs!$Y$13</definedName>
    <definedName name="c_drug_ac_dead_poc">'decision tree'!$I$32</definedName>
    <definedName name="c_drug_ac_dead_st">'decision tree'!$I$7</definedName>
    <definedName name="c_drug_ac_mi_poc">'decision tree'!$I$30</definedName>
    <definedName name="c_drug_ac_mi_st">'decision tree'!$I$5</definedName>
    <definedName name="c_drug_ac_noevent_poc">'decision tree'!$I$29</definedName>
    <definedName name="c_drug_ac_noevent_st">'decision tree'!$I$4</definedName>
    <definedName name="c_drug_ac_stk_poc">'decision tree'!$I$31</definedName>
    <definedName name="c_drug_ac_stk_st">'decision tree'!$I$6</definedName>
    <definedName name="c_drug_ap_dead_poc">'decision tree'!$I$27</definedName>
    <definedName name="c_drug_ap_dead_st">'decision tree'!$I$17</definedName>
    <definedName name="c_drug_ap_mi_poc">'decision tree'!$I$25</definedName>
    <definedName name="c_drug_ap_mi_st">'decision tree'!$I$15</definedName>
    <definedName name="c_drug_ap_noevent_pc">'decision tree'!$I$24</definedName>
    <definedName name="c_drug_ap_noevent_st">'decision tree'!$I$14</definedName>
    <definedName name="c_drug_ap_stk_poc">'decision tree'!$I$26</definedName>
    <definedName name="c_drug_ap_stk_st">'decision tree'!$I$16</definedName>
    <definedName name="c_drug_at_dead_poc">'decision tree'!$I$22</definedName>
    <definedName name="c_drug_at_dead_st">'decision tree'!$I$12</definedName>
    <definedName name="c_drug_at_mi_poc">'decision tree'!$I$20</definedName>
    <definedName name="c_drug_at_mi_st">'decision tree'!$I$10</definedName>
    <definedName name="c_drug_at_noevent_pc">'decision tree'!$I$19</definedName>
    <definedName name="c_drug_at_noevent_st">'decision tree'!$I$9</definedName>
    <definedName name="c_drug_at_stk_poc">'decision tree'!$I$21</definedName>
    <definedName name="c_drug_at_stk_st">'decision tree'!$I$11</definedName>
    <definedName name="c_dys_ac">Parameters.NSTEMI!$D$124</definedName>
    <definedName name="c_dys_ap">Parameters.NSTEMI!$D$126</definedName>
    <definedName name="c_dys_at">Parameters.NSTEMI!$D$125</definedName>
    <definedName name="c_dys_pp">Parameters.NSTEMI!$D$123</definedName>
    <definedName name="c_maj_bleed">'out-put'!$F$63</definedName>
    <definedName name="c_mi_tree">costs!$W$13</definedName>
    <definedName name="c_min_bleed">'out-put'!$G$51</definedName>
    <definedName name="c_noevent_markov">costs!$AC$13</definedName>
    <definedName name="c_noevent_tree">costs!$V$13</definedName>
    <definedName name="c_pci">random!$D$18</definedName>
    <definedName name="c_poc_test">'out-put'!$F$71</definedName>
    <definedName name="c_poc_total">markov!$CP$51</definedName>
    <definedName name="c_poc_tree">'decision tree'!$Y$4</definedName>
    <definedName name="c_post_rinfar_mkv">costs!$AE$13</definedName>
    <definedName name="c_post_stk_mkv">costs!$AB$13</definedName>
    <definedName name="c_rinfar_mkv">costs!$AD$13</definedName>
    <definedName name="c_st_total">markov!$BX$49</definedName>
    <definedName name="c_st_tree">'decision tree'!$W$4</definedName>
    <definedName name="c_stk_mkv">costs!$AA$13</definedName>
    <definedName name="c_stk_tree">costs!$X$13</definedName>
    <definedName name="ce_tresh">Parameters.NSTEMI!$D$98</definedName>
    <definedName name="current_age">markov!$D$9:$D$48</definedName>
    <definedName name="cycle">markov!$C$9:$C$48</definedName>
    <definedName name="day_cost_asa">costs!$B$14</definedName>
    <definedName name="day_cost_clop">costs!$B$15</definedName>
    <definedName name="day_cost_pras">Parameters.NSTEMI!$D$76</definedName>
    <definedName name="day_cost_pras_10mg">costs!$B$17</definedName>
    <definedName name="day_cost_pras_5mg">costs!$B$16</definedName>
    <definedName name="day_cost_tica">costs!$B$18</definedName>
    <definedName name="disc_cost">'out-put'!$D$57</definedName>
    <definedName name="disc_effect">'out-put'!$E$57</definedName>
    <definedName name="dist_dead_pc_tree">'decision tree'!$W$22</definedName>
    <definedName name="dist_dead_st_tree">'decision tree'!$U$7</definedName>
    <definedName name="dist_nevent_pc_tree">'decision tree'!$W$19</definedName>
    <definedName name="dist_nevent_st_tree">'decision tree'!$U$4</definedName>
    <definedName name="dist_rinfarc_pc_tree">'decision tree'!$W$20</definedName>
    <definedName name="dist_rinfarc_st_tree">'decision tree'!$U$5</definedName>
    <definedName name="dist_stk_pc_tree">'decision tree'!$W$21</definedName>
    <definedName name="dist_stk_st_tree">'decision tree'!$U$6</definedName>
    <definedName name="duration_dys">Parameters.NSTEMI!$D$129</definedName>
    <definedName name="duration_maj_bleed">Parameters.NSTEMI!$D$48</definedName>
    <definedName name="duration_min_bleed">Parameters.NSTEMI!$D$47</definedName>
    <definedName name="ICER">'decision tree'!$AI$4</definedName>
    <definedName name="ld_clop_300">costs!$B$19</definedName>
    <definedName name="ld_clop_600">costs!$B$20</definedName>
    <definedName name="ld_pras_60">costs!$B$21</definedName>
    <definedName name="ld_tica_180">costs!$B$22</definedName>
    <definedName name="life_table">age_sex_dependant_mortality!$A$13:$D$51</definedName>
    <definedName name="LYGs_poc">markov!$BF$49</definedName>
    <definedName name="LYGs_st">markov!$AE$49</definedName>
    <definedName name="male_proportion_STEMI">age_sex_dependant_mortality!$B$9</definedName>
    <definedName name="md_328_day">Parameters.NSTEMI!$D$66</definedName>
    <definedName name="md_360_day">Parameters.NSTEMI!$D$65</definedName>
    <definedName name="md_365_day">Parameters.NSTEMI!$D$64</definedName>
    <definedName name="md_5_day">Parameters.NSTEMI!$D$68</definedName>
    <definedName name="md_halfway">Parameters.NSTEMI!$D$67</definedName>
    <definedName name="model_type">'out-put'!$F$8</definedName>
    <definedName name="or_dead_pras_clop">random!$D$24</definedName>
    <definedName name="or_dead_tica_clop">random!$D$19</definedName>
    <definedName name="or_dys_at_ac">random!$D$35</definedName>
    <definedName name="or_maj_bleed__tica_clop">random!$D$22</definedName>
    <definedName name="or_maj_bleed_pras_clop">random!$D$27</definedName>
    <definedName name="or_mi_pras_clop">random!$D$25</definedName>
    <definedName name="or_mi_tica_clop">random!$D$20</definedName>
    <definedName name="or_min_bleed_pras_clop">random!$D$28</definedName>
    <definedName name="or_min_bleed_tica_clop">random!$D$23</definedName>
    <definedName name="or_stk_pras_clop">random!$D$26</definedName>
    <definedName name="or_stk_tica_clop">random!$D$21</definedName>
    <definedName name="prb_dys_ap">Parameters.NSTEMI!$D$120</definedName>
    <definedName name="prev_lof_base">random!$D$10</definedName>
    <definedName name="prev_lof_sa">'Intitial-Calculations'!$AF$15</definedName>
    <definedName name="prob_ce">simulation!$L$6</definedName>
    <definedName name="prob_dead_ac">random!$D$5</definedName>
    <definedName name="prob_dead_ac_nlof">Parameters.NSTEMI!$D$36</definedName>
    <definedName name="prob_dead_ap">'Intitial-Calculations'!$Y$6</definedName>
    <definedName name="prob_dead_at">'Intitial-Calculations'!$T$6</definedName>
    <definedName name="prob_dead_noevent">age_sex_dependant_mortality!$G$13:$J$51</definedName>
    <definedName name="prob_dead_pos_reinfarct">age_sex_dependant_mortality!$Q$13:$T$51</definedName>
    <definedName name="prob_dead_pstk">age_sex_dependant_mortality!$AA$13:$AD$51</definedName>
    <definedName name="prob_dead_reinfarction">age_sex_dependant_mortality!$L$13:$O$51</definedName>
    <definedName name="prob_dead_stk">age_sex_dependant_mortality!$V$13:$Y$51</definedName>
    <definedName name="prob_dys_ac">random!$D$34</definedName>
    <definedName name="prob_dys_ap">Parameters.NSTEMI!$D$120</definedName>
    <definedName name="prob_dys_at">Parameters.NSTEMI!$D$119</definedName>
    <definedName name="prob_maj_bleed_ac">random!$D$8</definedName>
    <definedName name="prob_maj_bleed_ap">'Intitial-Calculations'!$Y$9</definedName>
    <definedName name="prob_maj_bleed_at">'Intitial-Calculations'!$T$9</definedName>
    <definedName name="prob_mi_ac">random!$D$6</definedName>
    <definedName name="prob_mi_ac_nlof">Parameters.NSTEMI!$D$37</definedName>
    <definedName name="prob_mi_ap">'Intitial-Calculations'!$Y$7</definedName>
    <definedName name="prob_mi_at">'Intitial-Calculations'!$T$7</definedName>
    <definedName name="prob_min_bleed_ac">random!$D$9</definedName>
    <definedName name="prob_min_bleed_ap">'Intitial-Calculations'!$Y$10</definedName>
    <definedName name="prob_min_bleed_at">'Intitial-Calculations'!$T$10</definedName>
    <definedName name="prob_nevent_to_rinfarc">random!$D$37</definedName>
    <definedName name="prob_nevent_to_stk">random!$D$38</definedName>
    <definedName name="prob_stk_ac">random!$D$7</definedName>
    <definedName name="prob_stk_ac_nlof">Parameters.NSTEMI!$D$38</definedName>
    <definedName name="prob_stk_ap">'Intitial-Calculations'!$Y$8</definedName>
    <definedName name="prob_stk_at">'Intitial-Calculations'!$T$8</definedName>
    <definedName name="prob_test_follow">random!$D$4</definedName>
    <definedName name="prob_test_order">random!$D$3</definedName>
    <definedName name="prop_ac_st">'out-put'!$E$24</definedName>
    <definedName name="prop_ap_lof">Parameters.NSTEMI!$D$34</definedName>
    <definedName name="prop_ap_st">'out-put'!$G$24</definedName>
    <definedName name="prop_at_lof">Parameters.NSTEMI!$D$33</definedName>
    <definedName name="prop_at_st">'out-put'!$F$24</definedName>
    <definedName name="prop_pras_5mg">Parameters.NSTEMI!$D$75</definedName>
    <definedName name="prop_test_not_followed">'decision tree'!$G$34</definedName>
    <definedName name="prop_test_not_ordered">'decision tree'!$G$36</definedName>
    <definedName name="psa_cost_diff">simulation!$G$1008</definedName>
    <definedName name="psa_qaly_diff">simulation!$H$1008</definedName>
    <definedName name="qaly_poc_total">markov!$DY$51</definedName>
    <definedName name="qaly_poc_tree">'decision tree'!$AC$4</definedName>
    <definedName name="qaly_st_total">markov!$DG$49</definedName>
    <definedName name="qaly_st_tree">'decision tree'!$AA$4</definedName>
    <definedName name="rate_maj_bleed_ac_nlof">Parameters.NSTEMI!$D$39</definedName>
    <definedName name="rate_min_bleed_ac_nlof">Parameters.NSTEMI!$D$40</definedName>
    <definedName name="RR_dead_ac_nlof">random!$D$29</definedName>
    <definedName name="rr_maj_bleed_ac_nlof">random!$D$32</definedName>
    <definedName name="rr_mi_ac_nlof">random!$D$30</definedName>
    <definedName name="rr_min_bleed_ac_nlof">random!$D$33</definedName>
    <definedName name="rr_stk_ac_nlof">random!$D$31</definedName>
    <definedName name="smr_noevent">random!$D$39</definedName>
    <definedName name="smr_post_rinfar">random!$D$41</definedName>
    <definedName name="smr_post_stk">random!$D$43</definedName>
    <definedName name="smr_rinfar">random!$D$40</definedName>
    <definedName name="smr_stk">random!$D$42</definedName>
    <definedName name="start_age">63</definedName>
    <definedName name="start_age_f">Parameters.NSTEMI!$D$4</definedName>
    <definedName name="start_age_m">Parameters.NSTEMI!$D$3</definedName>
    <definedName name="stemi_size">Parameters.NSTEMI!$D$5</definedName>
    <definedName name="u_dec_bleed_ac">Parameters.NSTEMI!$D$51</definedName>
    <definedName name="u_dec_bleed_ap">Parameters.NSTEMI!$D$53</definedName>
    <definedName name="u_dec_bleed_at">Parameters.NSTEMI!$D$52</definedName>
    <definedName name="u_dec_dys">random!$D$36</definedName>
    <definedName name="u_dec_dys_ac">Parameters.NSTEMI!$D$130</definedName>
    <definedName name="u_dec_dys_ap">Parameters.NSTEMI!$D$132</definedName>
    <definedName name="u_dec_dys_at">Parameters.NSTEMI!$D$131</definedName>
    <definedName name="u_dec_maj_bleed">Parameters.NSTEMI!$D$50</definedName>
    <definedName name="u_dec_min_bleed">Parameters.NSTEMI!$D$49</definedName>
    <definedName name="u_noevent">random!$D$11</definedName>
    <definedName name="u_noevent_tree">Parameters.NSTEMI!$D$42</definedName>
    <definedName name="u_post_rinfar">random!$D$13</definedName>
    <definedName name="u_post_rinfar_tree">age_sex_dependant_utility!$Q$13</definedName>
    <definedName name="u_post_stk">random!$D$15</definedName>
    <definedName name="u_post_stk_tree">age_sex_dependant_utility!$AA$13</definedName>
    <definedName name="u_rinfar">random!$D$12</definedName>
    <definedName name="u_rinfar_tree">age_sex_dependant_utility!$L$13</definedName>
    <definedName name="u_stk">random!$D$14</definedName>
    <definedName name="u_stk_tree">age_sex_dependant_utility!$V$13</definedName>
    <definedName name="wtp">simulation!$M$3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X55" i="39" l="1"/>
  <c r="DY49" i="39"/>
  <c r="DP50" i="39"/>
  <c r="DP51" i="39"/>
  <c r="DP49" i="39"/>
  <c r="G34" i="39"/>
  <c r="K9" i="42" l="1"/>
  <c r="K10" i="42"/>
  <c r="K11" i="42"/>
  <c r="K12" i="42"/>
  <c r="K13" i="42"/>
  <c r="K14" i="42"/>
  <c r="K15" i="42"/>
  <c r="K16" i="42"/>
  <c r="K17" i="42"/>
  <c r="K18" i="42"/>
  <c r="K19" i="42"/>
  <c r="K20" i="42"/>
  <c r="K21" i="42"/>
  <c r="K22" i="42"/>
  <c r="K23" i="42"/>
  <c r="K24" i="42"/>
  <c r="K25" i="42"/>
  <c r="K26" i="42"/>
  <c r="K27" i="42"/>
  <c r="K28" i="42"/>
  <c r="K29" i="42"/>
  <c r="K30" i="42"/>
  <c r="K31" i="42"/>
  <c r="K32" i="42"/>
  <c r="K33" i="42"/>
  <c r="K34" i="42"/>
  <c r="K35" i="42"/>
  <c r="K36" i="42"/>
  <c r="K37" i="42"/>
  <c r="K38" i="42"/>
  <c r="K39" i="42"/>
  <c r="K40" i="42"/>
  <c r="K41" i="42"/>
  <c r="K42" i="42"/>
  <c r="K43" i="42"/>
  <c r="K44" i="42"/>
  <c r="K45" i="42"/>
  <c r="K46" i="42"/>
  <c r="K47" i="42"/>
  <c r="K48" i="42"/>
  <c r="K49" i="42"/>
  <c r="K50" i="42"/>
  <c r="K51" i="42"/>
  <c r="K52" i="42"/>
  <c r="K53" i="42"/>
  <c r="K54" i="42"/>
  <c r="K55" i="42"/>
  <c r="K56" i="42"/>
  <c r="K57" i="42"/>
  <c r="K58" i="42"/>
  <c r="K59" i="42"/>
  <c r="K60" i="42"/>
  <c r="K61" i="42"/>
  <c r="K62" i="42"/>
  <c r="K63" i="42"/>
  <c r="K64" i="42"/>
  <c r="K65" i="42"/>
  <c r="K66" i="42"/>
  <c r="K67" i="42"/>
  <c r="K68" i="42"/>
  <c r="K69" i="42"/>
  <c r="K70" i="42"/>
  <c r="K71" i="42"/>
  <c r="K72" i="42"/>
  <c r="K73" i="42"/>
  <c r="K74" i="42"/>
  <c r="K75" i="42"/>
  <c r="K76" i="42"/>
  <c r="K77" i="42"/>
  <c r="K78" i="42"/>
  <c r="K79" i="42"/>
  <c r="K80" i="42"/>
  <c r="K81" i="42"/>
  <c r="K82" i="42"/>
  <c r="K83" i="42"/>
  <c r="K84" i="42"/>
  <c r="K85" i="42"/>
  <c r="K86" i="42"/>
  <c r="K87" i="42"/>
  <c r="K88" i="42"/>
  <c r="K89" i="42"/>
  <c r="K90" i="42"/>
  <c r="K91" i="42"/>
  <c r="K92" i="42"/>
  <c r="K93" i="42"/>
  <c r="K94" i="42"/>
  <c r="K95" i="42"/>
  <c r="K96" i="42"/>
  <c r="K97" i="42"/>
  <c r="K98" i="42"/>
  <c r="K99" i="42"/>
  <c r="K100" i="42"/>
  <c r="K101" i="42"/>
  <c r="K102" i="42"/>
  <c r="K103" i="42"/>
  <c r="K104" i="42"/>
  <c r="K105" i="42"/>
  <c r="K106" i="42"/>
  <c r="K107" i="42"/>
  <c r="K108" i="42"/>
  <c r="K109" i="42"/>
  <c r="K110" i="42"/>
  <c r="K111" i="42"/>
  <c r="K112" i="42"/>
  <c r="K113" i="42"/>
  <c r="K114" i="42"/>
  <c r="K115" i="42"/>
  <c r="K116" i="42"/>
  <c r="K117" i="42"/>
  <c r="K118" i="42"/>
  <c r="K119" i="42"/>
  <c r="K120" i="42"/>
  <c r="K121" i="42"/>
  <c r="K122" i="42"/>
  <c r="K123" i="42"/>
  <c r="K124" i="42"/>
  <c r="K125" i="42"/>
  <c r="K126" i="42"/>
  <c r="K127" i="42"/>
  <c r="K128" i="42"/>
  <c r="K129" i="42"/>
  <c r="K130" i="42"/>
  <c r="K131" i="42"/>
  <c r="K132" i="42"/>
  <c r="K133" i="42"/>
  <c r="K134" i="42"/>
  <c r="K135" i="42"/>
  <c r="K136" i="42"/>
  <c r="K137" i="42"/>
  <c r="K138" i="42"/>
  <c r="K139" i="42"/>
  <c r="K140" i="42"/>
  <c r="K141" i="42"/>
  <c r="K142" i="42"/>
  <c r="K143" i="42"/>
  <c r="K144" i="42"/>
  <c r="K145" i="42"/>
  <c r="K146" i="42"/>
  <c r="K147" i="42"/>
  <c r="K148" i="42"/>
  <c r="K149" i="42"/>
  <c r="K150" i="42"/>
  <c r="K151" i="42"/>
  <c r="K152" i="42"/>
  <c r="K153" i="42"/>
  <c r="K154" i="42"/>
  <c r="K155" i="42"/>
  <c r="K156" i="42"/>
  <c r="K157" i="42"/>
  <c r="K158" i="42"/>
  <c r="K159" i="42"/>
  <c r="K160" i="42"/>
  <c r="K161" i="42"/>
  <c r="K162" i="42"/>
  <c r="K163" i="42"/>
  <c r="K164" i="42"/>
  <c r="K165" i="42"/>
  <c r="K166" i="42"/>
  <c r="K167" i="42"/>
  <c r="K168" i="42"/>
  <c r="K169" i="42"/>
  <c r="K170" i="42"/>
  <c r="K171" i="42"/>
  <c r="K172" i="42"/>
  <c r="K173" i="42"/>
  <c r="K174" i="42"/>
  <c r="K175" i="42"/>
  <c r="K176" i="42"/>
  <c r="K177" i="42"/>
  <c r="K178" i="42"/>
  <c r="K179" i="42"/>
  <c r="K180" i="42"/>
  <c r="K181" i="42"/>
  <c r="K182" i="42"/>
  <c r="K183" i="42"/>
  <c r="K184" i="42"/>
  <c r="K185" i="42"/>
  <c r="K186" i="42"/>
  <c r="K187" i="42"/>
  <c r="K188" i="42"/>
  <c r="K189" i="42"/>
  <c r="K190" i="42"/>
  <c r="K191" i="42"/>
  <c r="K192" i="42"/>
  <c r="K193" i="42"/>
  <c r="K194" i="42"/>
  <c r="K195" i="42"/>
  <c r="K196" i="42"/>
  <c r="K197" i="42"/>
  <c r="K198" i="42"/>
  <c r="K199" i="42"/>
  <c r="K200" i="42"/>
  <c r="K201" i="42"/>
  <c r="K202" i="42"/>
  <c r="K203" i="42"/>
  <c r="K204" i="42"/>
  <c r="K205" i="42"/>
  <c r="K206" i="42"/>
  <c r="K207" i="42"/>
  <c r="K208" i="42"/>
  <c r="K209" i="42"/>
  <c r="K210" i="42"/>
  <c r="K211" i="42"/>
  <c r="K212" i="42"/>
  <c r="K213" i="42"/>
  <c r="K214" i="42"/>
  <c r="K215" i="42"/>
  <c r="K216" i="42"/>
  <c r="K217" i="42"/>
  <c r="K218" i="42"/>
  <c r="K219" i="42"/>
  <c r="K220" i="42"/>
  <c r="K221" i="42"/>
  <c r="K222" i="42"/>
  <c r="K223" i="42"/>
  <c r="K224" i="42"/>
  <c r="K225" i="42"/>
  <c r="K226" i="42"/>
  <c r="K227" i="42"/>
  <c r="K228" i="42"/>
  <c r="K229" i="42"/>
  <c r="K230" i="42"/>
  <c r="K231" i="42"/>
  <c r="K232" i="42"/>
  <c r="K233" i="42"/>
  <c r="K234" i="42"/>
  <c r="K235" i="42"/>
  <c r="K236" i="42"/>
  <c r="K237" i="42"/>
  <c r="K238" i="42"/>
  <c r="K239" i="42"/>
  <c r="K240" i="42"/>
  <c r="K241" i="42"/>
  <c r="K242" i="42"/>
  <c r="K243" i="42"/>
  <c r="K244" i="42"/>
  <c r="K245" i="42"/>
  <c r="K246" i="42"/>
  <c r="K247" i="42"/>
  <c r="K248" i="42"/>
  <c r="K249" i="42"/>
  <c r="K250" i="42"/>
  <c r="K251" i="42"/>
  <c r="K252" i="42"/>
  <c r="K253" i="42"/>
  <c r="K254" i="42"/>
  <c r="K255" i="42"/>
  <c r="K256" i="42"/>
  <c r="K257" i="42"/>
  <c r="K258" i="42"/>
  <c r="K259" i="42"/>
  <c r="K260" i="42"/>
  <c r="K261" i="42"/>
  <c r="K262" i="42"/>
  <c r="K263" i="42"/>
  <c r="K264" i="42"/>
  <c r="K265" i="42"/>
  <c r="K266" i="42"/>
  <c r="K267" i="42"/>
  <c r="K268" i="42"/>
  <c r="K269" i="42"/>
  <c r="K270" i="42"/>
  <c r="K271" i="42"/>
  <c r="K272" i="42"/>
  <c r="K273" i="42"/>
  <c r="K274" i="42"/>
  <c r="K275" i="42"/>
  <c r="K276" i="42"/>
  <c r="K277" i="42"/>
  <c r="K278" i="42"/>
  <c r="K279" i="42"/>
  <c r="K280" i="42"/>
  <c r="K281" i="42"/>
  <c r="K282" i="42"/>
  <c r="K283" i="42"/>
  <c r="K284" i="42"/>
  <c r="K285" i="42"/>
  <c r="K286" i="42"/>
  <c r="K287" i="42"/>
  <c r="K288" i="42"/>
  <c r="K289" i="42"/>
  <c r="K290" i="42"/>
  <c r="K291" i="42"/>
  <c r="K292" i="42"/>
  <c r="K293" i="42"/>
  <c r="K294" i="42"/>
  <c r="K295" i="42"/>
  <c r="K296" i="42"/>
  <c r="K297" i="42"/>
  <c r="K298" i="42"/>
  <c r="K299" i="42"/>
  <c r="K300" i="42"/>
  <c r="K301" i="42"/>
  <c r="K302" i="42"/>
  <c r="K303" i="42"/>
  <c r="K304" i="42"/>
  <c r="K305" i="42"/>
  <c r="K306" i="42"/>
  <c r="K307" i="42"/>
  <c r="K308" i="42"/>
  <c r="K309" i="42"/>
  <c r="K310" i="42"/>
  <c r="K311" i="42"/>
  <c r="K312" i="42"/>
  <c r="K313" i="42"/>
  <c r="K314" i="42"/>
  <c r="K315" i="42"/>
  <c r="K316" i="42"/>
  <c r="K317" i="42"/>
  <c r="K318" i="42"/>
  <c r="K319" i="42"/>
  <c r="K320" i="42"/>
  <c r="K321" i="42"/>
  <c r="K322" i="42"/>
  <c r="K323" i="42"/>
  <c r="K324" i="42"/>
  <c r="K325" i="42"/>
  <c r="K326" i="42"/>
  <c r="K327" i="42"/>
  <c r="K328" i="42"/>
  <c r="K329" i="42"/>
  <c r="K330" i="42"/>
  <c r="K331" i="42"/>
  <c r="K332" i="42"/>
  <c r="K333" i="42"/>
  <c r="K334" i="42"/>
  <c r="K335" i="42"/>
  <c r="K336" i="42"/>
  <c r="K337" i="42"/>
  <c r="K338" i="42"/>
  <c r="K339" i="42"/>
  <c r="K340" i="42"/>
  <c r="K341" i="42"/>
  <c r="K342" i="42"/>
  <c r="K343" i="42"/>
  <c r="K344" i="42"/>
  <c r="K345" i="42"/>
  <c r="K346" i="42"/>
  <c r="K347" i="42"/>
  <c r="K348" i="42"/>
  <c r="K349" i="42"/>
  <c r="K350" i="42"/>
  <c r="K351" i="42"/>
  <c r="K352" i="42"/>
  <c r="K353" i="42"/>
  <c r="K354" i="42"/>
  <c r="K355" i="42"/>
  <c r="K356" i="42"/>
  <c r="K357" i="42"/>
  <c r="K358" i="42"/>
  <c r="K359" i="42"/>
  <c r="K360" i="42"/>
  <c r="K361" i="42"/>
  <c r="K362" i="42"/>
  <c r="K363" i="42"/>
  <c r="K364" i="42"/>
  <c r="K365" i="42"/>
  <c r="K366" i="42"/>
  <c r="K367" i="42"/>
  <c r="K368" i="42"/>
  <c r="K369" i="42"/>
  <c r="K370" i="42"/>
  <c r="K371" i="42"/>
  <c r="K372" i="42"/>
  <c r="K373" i="42"/>
  <c r="K374" i="42"/>
  <c r="K375" i="42"/>
  <c r="K376" i="42"/>
  <c r="K377" i="42"/>
  <c r="K378" i="42"/>
  <c r="K379" i="42"/>
  <c r="K380" i="42"/>
  <c r="K381" i="42"/>
  <c r="K382" i="42"/>
  <c r="K383" i="42"/>
  <c r="K384" i="42"/>
  <c r="K385" i="42"/>
  <c r="K386" i="42"/>
  <c r="K387" i="42"/>
  <c r="K388" i="42"/>
  <c r="K389" i="42"/>
  <c r="K390" i="42"/>
  <c r="K391" i="42"/>
  <c r="K392" i="42"/>
  <c r="K393" i="42"/>
  <c r="K394" i="42"/>
  <c r="K395" i="42"/>
  <c r="K396" i="42"/>
  <c r="K397" i="42"/>
  <c r="K398" i="42"/>
  <c r="K399" i="42"/>
  <c r="K400" i="42"/>
  <c r="K401" i="42"/>
  <c r="K402" i="42"/>
  <c r="K403" i="42"/>
  <c r="K404" i="42"/>
  <c r="K405" i="42"/>
  <c r="K406" i="42"/>
  <c r="K407" i="42"/>
  <c r="K408" i="42"/>
  <c r="K409" i="42"/>
  <c r="K410" i="42"/>
  <c r="K411" i="42"/>
  <c r="K412" i="42"/>
  <c r="K413" i="42"/>
  <c r="K414" i="42"/>
  <c r="K415" i="42"/>
  <c r="K416" i="42"/>
  <c r="K417" i="42"/>
  <c r="K418" i="42"/>
  <c r="K419" i="42"/>
  <c r="K420" i="42"/>
  <c r="K421" i="42"/>
  <c r="K422" i="42"/>
  <c r="K423" i="42"/>
  <c r="K424" i="42"/>
  <c r="K425" i="42"/>
  <c r="K426" i="42"/>
  <c r="K427" i="42"/>
  <c r="K428" i="42"/>
  <c r="K429" i="42"/>
  <c r="K430" i="42"/>
  <c r="K431" i="42"/>
  <c r="K432" i="42"/>
  <c r="K433" i="42"/>
  <c r="K434" i="42"/>
  <c r="K435" i="42"/>
  <c r="K436" i="42"/>
  <c r="K437" i="42"/>
  <c r="K438" i="42"/>
  <c r="K439" i="42"/>
  <c r="K440" i="42"/>
  <c r="K441" i="42"/>
  <c r="K442" i="42"/>
  <c r="K443" i="42"/>
  <c r="K444" i="42"/>
  <c r="K445" i="42"/>
  <c r="K446" i="42"/>
  <c r="K447" i="42"/>
  <c r="K448" i="42"/>
  <c r="K449" i="42"/>
  <c r="K450" i="42"/>
  <c r="K451" i="42"/>
  <c r="K452" i="42"/>
  <c r="K453" i="42"/>
  <c r="K454" i="42"/>
  <c r="K455" i="42"/>
  <c r="K456" i="42"/>
  <c r="K457" i="42"/>
  <c r="K458" i="42"/>
  <c r="K459" i="42"/>
  <c r="K460" i="42"/>
  <c r="K461" i="42"/>
  <c r="K462" i="42"/>
  <c r="K463" i="42"/>
  <c r="K464" i="42"/>
  <c r="K465" i="42"/>
  <c r="K466" i="42"/>
  <c r="K467" i="42"/>
  <c r="K468" i="42"/>
  <c r="K469" i="42"/>
  <c r="K470" i="42"/>
  <c r="K471" i="42"/>
  <c r="K472" i="42"/>
  <c r="K473" i="42"/>
  <c r="K474" i="42"/>
  <c r="K475" i="42"/>
  <c r="K476" i="42"/>
  <c r="K477" i="42"/>
  <c r="K478" i="42"/>
  <c r="K479" i="42"/>
  <c r="K480" i="42"/>
  <c r="K481" i="42"/>
  <c r="K482" i="42"/>
  <c r="K483" i="42"/>
  <c r="K484" i="42"/>
  <c r="K485" i="42"/>
  <c r="K486" i="42"/>
  <c r="K487" i="42"/>
  <c r="K488" i="42"/>
  <c r="K489" i="42"/>
  <c r="K490" i="42"/>
  <c r="K491" i="42"/>
  <c r="K492" i="42"/>
  <c r="K493" i="42"/>
  <c r="K494" i="42"/>
  <c r="K495" i="42"/>
  <c r="K496" i="42"/>
  <c r="K497" i="42"/>
  <c r="K498" i="42"/>
  <c r="K499" i="42"/>
  <c r="K500" i="42"/>
  <c r="K501" i="42"/>
  <c r="K502" i="42"/>
  <c r="K503" i="42"/>
  <c r="K504" i="42"/>
  <c r="K505" i="42"/>
  <c r="K506" i="42"/>
  <c r="K507" i="42"/>
  <c r="K508" i="42"/>
  <c r="K509" i="42"/>
  <c r="K510" i="42"/>
  <c r="K511" i="42"/>
  <c r="K512" i="42"/>
  <c r="K513" i="42"/>
  <c r="K514" i="42"/>
  <c r="K515" i="42"/>
  <c r="K516" i="42"/>
  <c r="K517" i="42"/>
  <c r="K518" i="42"/>
  <c r="K519" i="42"/>
  <c r="K520" i="42"/>
  <c r="K521" i="42"/>
  <c r="K522" i="42"/>
  <c r="K523" i="42"/>
  <c r="K524" i="42"/>
  <c r="K525" i="42"/>
  <c r="K526" i="42"/>
  <c r="K527" i="42"/>
  <c r="K528" i="42"/>
  <c r="K529" i="42"/>
  <c r="K530" i="42"/>
  <c r="K531" i="42"/>
  <c r="K532" i="42"/>
  <c r="K533" i="42"/>
  <c r="K534" i="42"/>
  <c r="K535" i="42"/>
  <c r="K536" i="42"/>
  <c r="K537" i="42"/>
  <c r="K538" i="42"/>
  <c r="K539" i="42"/>
  <c r="K540" i="42"/>
  <c r="K541" i="42"/>
  <c r="K542" i="42"/>
  <c r="K543" i="42"/>
  <c r="K544" i="42"/>
  <c r="K545" i="42"/>
  <c r="K546" i="42"/>
  <c r="K547" i="42"/>
  <c r="K548" i="42"/>
  <c r="K549" i="42"/>
  <c r="K550" i="42"/>
  <c r="K551" i="42"/>
  <c r="K552" i="42"/>
  <c r="K553" i="42"/>
  <c r="K554" i="42"/>
  <c r="K555" i="42"/>
  <c r="K556" i="42"/>
  <c r="K557" i="42"/>
  <c r="K558" i="42"/>
  <c r="K559" i="42"/>
  <c r="K560" i="42"/>
  <c r="K561" i="42"/>
  <c r="K562" i="42"/>
  <c r="K563" i="42"/>
  <c r="K564" i="42"/>
  <c r="K565" i="42"/>
  <c r="K566" i="42"/>
  <c r="K567" i="42"/>
  <c r="K568" i="42"/>
  <c r="K569" i="42"/>
  <c r="K570" i="42"/>
  <c r="K571" i="42"/>
  <c r="K572" i="42"/>
  <c r="K573" i="42"/>
  <c r="K574" i="42"/>
  <c r="K575" i="42"/>
  <c r="K576" i="42"/>
  <c r="K577" i="42"/>
  <c r="K578" i="42"/>
  <c r="K579" i="42"/>
  <c r="K580" i="42"/>
  <c r="K581" i="42"/>
  <c r="K582" i="42"/>
  <c r="K583" i="42"/>
  <c r="K584" i="42"/>
  <c r="K585" i="42"/>
  <c r="K586" i="42"/>
  <c r="K587" i="42"/>
  <c r="K588" i="42"/>
  <c r="K589" i="42"/>
  <c r="K590" i="42"/>
  <c r="K591" i="42"/>
  <c r="K592" i="42"/>
  <c r="K593" i="42"/>
  <c r="K594" i="42"/>
  <c r="K595" i="42"/>
  <c r="K596" i="42"/>
  <c r="K597" i="42"/>
  <c r="K598" i="42"/>
  <c r="K599" i="42"/>
  <c r="K600" i="42"/>
  <c r="K601" i="42"/>
  <c r="K602" i="42"/>
  <c r="K603" i="42"/>
  <c r="K604" i="42"/>
  <c r="K605" i="42"/>
  <c r="K606" i="42"/>
  <c r="K607" i="42"/>
  <c r="K608" i="42"/>
  <c r="K609" i="42"/>
  <c r="K610" i="42"/>
  <c r="K611" i="42"/>
  <c r="K612" i="42"/>
  <c r="K613" i="42"/>
  <c r="K614" i="42"/>
  <c r="K615" i="42"/>
  <c r="K616" i="42"/>
  <c r="K617" i="42"/>
  <c r="K618" i="42"/>
  <c r="K619" i="42"/>
  <c r="K620" i="42"/>
  <c r="K621" i="42"/>
  <c r="K622" i="42"/>
  <c r="K623" i="42"/>
  <c r="K624" i="42"/>
  <c r="K625" i="42"/>
  <c r="K626" i="42"/>
  <c r="K627" i="42"/>
  <c r="K628" i="42"/>
  <c r="K629" i="42"/>
  <c r="K630" i="42"/>
  <c r="K631" i="42"/>
  <c r="K632" i="42"/>
  <c r="K633" i="42"/>
  <c r="K634" i="42"/>
  <c r="K635" i="42"/>
  <c r="K636" i="42"/>
  <c r="K637" i="42"/>
  <c r="K638" i="42"/>
  <c r="K639" i="42"/>
  <c r="K640" i="42"/>
  <c r="K641" i="42"/>
  <c r="K642" i="42"/>
  <c r="K643" i="42"/>
  <c r="K644" i="42"/>
  <c r="K645" i="42"/>
  <c r="K646" i="42"/>
  <c r="K647" i="42"/>
  <c r="K648" i="42"/>
  <c r="K649" i="42"/>
  <c r="K650" i="42"/>
  <c r="K651" i="42"/>
  <c r="K652" i="42"/>
  <c r="K653" i="42"/>
  <c r="K654" i="42"/>
  <c r="K655" i="42"/>
  <c r="K656" i="42"/>
  <c r="K657" i="42"/>
  <c r="K658" i="42"/>
  <c r="K659" i="42"/>
  <c r="K660" i="42"/>
  <c r="K661" i="42"/>
  <c r="K662" i="42"/>
  <c r="K663" i="42"/>
  <c r="K664" i="42"/>
  <c r="K665" i="42"/>
  <c r="K666" i="42"/>
  <c r="K667" i="42"/>
  <c r="K668" i="42"/>
  <c r="K669" i="42"/>
  <c r="K670" i="42"/>
  <c r="K671" i="42"/>
  <c r="K672" i="42"/>
  <c r="K673" i="42"/>
  <c r="K674" i="42"/>
  <c r="K675" i="42"/>
  <c r="K676" i="42"/>
  <c r="K677" i="42"/>
  <c r="K678" i="42"/>
  <c r="K679" i="42"/>
  <c r="K680" i="42"/>
  <c r="K681" i="42"/>
  <c r="K682" i="42"/>
  <c r="K683" i="42"/>
  <c r="K684" i="42"/>
  <c r="K685" i="42"/>
  <c r="K686" i="42"/>
  <c r="K687" i="42"/>
  <c r="K688" i="42"/>
  <c r="K689" i="42"/>
  <c r="K690" i="42"/>
  <c r="K691" i="42"/>
  <c r="K692" i="42"/>
  <c r="K693" i="42"/>
  <c r="K694" i="42"/>
  <c r="K695" i="42"/>
  <c r="K696" i="42"/>
  <c r="K697" i="42"/>
  <c r="K698" i="42"/>
  <c r="K699" i="42"/>
  <c r="K700" i="42"/>
  <c r="K701" i="42"/>
  <c r="K702" i="42"/>
  <c r="K703" i="42"/>
  <c r="K704" i="42"/>
  <c r="K705" i="42"/>
  <c r="K706" i="42"/>
  <c r="K707" i="42"/>
  <c r="K708" i="42"/>
  <c r="K709" i="42"/>
  <c r="K710" i="42"/>
  <c r="K711" i="42"/>
  <c r="K712" i="42"/>
  <c r="K713" i="42"/>
  <c r="K714" i="42"/>
  <c r="K715" i="42"/>
  <c r="K716" i="42"/>
  <c r="K717" i="42"/>
  <c r="K718" i="42"/>
  <c r="K719" i="42"/>
  <c r="K720" i="42"/>
  <c r="K721" i="42"/>
  <c r="K722" i="42"/>
  <c r="K723" i="42"/>
  <c r="K724" i="42"/>
  <c r="K725" i="42"/>
  <c r="K726" i="42"/>
  <c r="K727" i="42"/>
  <c r="K728" i="42"/>
  <c r="K729" i="42"/>
  <c r="K730" i="42"/>
  <c r="K731" i="42"/>
  <c r="K732" i="42"/>
  <c r="K733" i="42"/>
  <c r="K734" i="42"/>
  <c r="K735" i="42"/>
  <c r="K736" i="42"/>
  <c r="K737" i="42"/>
  <c r="K738" i="42"/>
  <c r="K739" i="42"/>
  <c r="K740" i="42"/>
  <c r="K741" i="42"/>
  <c r="K742" i="42"/>
  <c r="K743" i="42"/>
  <c r="K744" i="42"/>
  <c r="K745" i="42"/>
  <c r="K746" i="42"/>
  <c r="K747" i="42"/>
  <c r="K748" i="42"/>
  <c r="K749" i="42"/>
  <c r="K750" i="42"/>
  <c r="K751" i="42"/>
  <c r="K752" i="42"/>
  <c r="K753" i="42"/>
  <c r="K754" i="42"/>
  <c r="K755" i="42"/>
  <c r="K756" i="42"/>
  <c r="K757" i="42"/>
  <c r="K758" i="42"/>
  <c r="K759" i="42"/>
  <c r="K760" i="42"/>
  <c r="K761" i="42"/>
  <c r="K762" i="42"/>
  <c r="K763" i="42"/>
  <c r="K764" i="42"/>
  <c r="K765" i="42"/>
  <c r="K766" i="42"/>
  <c r="K767" i="42"/>
  <c r="K768" i="42"/>
  <c r="K769" i="42"/>
  <c r="K770" i="42"/>
  <c r="K771" i="42"/>
  <c r="K772" i="42"/>
  <c r="K773" i="42"/>
  <c r="K774" i="42"/>
  <c r="K775" i="42"/>
  <c r="K776" i="42"/>
  <c r="K777" i="42"/>
  <c r="K778" i="42"/>
  <c r="K779" i="42"/>
  <c r="K780" i="42"/>
  <c r="K781" i="42"/>
  <c r="K782" i="42"/>
  <c r="K783" i="42"/>
  <c r="K784" i="42"/>
  <c r="K785" i="42"/>
  <c r="K786" i="42"/>
  <c r="K787" i="42"/>
  <c r="K788" i="42"/>
  <c r="K789" i="42"/>
  <c r="K790" i="42"/>
  <c r="K791" i="42"/>
  <c r="K792" i="42"/>
  <c r="K793" i="42"/>
  <c r="K794" i="42"/>
  <c r="K795" i="42"/>
  <c r="K796" i="42"/>
  <c r="K797" i="42"/>
  <c r="K798" i="42"/>
  <c r="K799" i="42"/>
  <c r="K800" i="42"/>
  <c r="K801" i="42"/>
  <c r="K802" i="42"/>
  <c r="K803" i="42"/>
  <c r="K804" i="42"/>
  <c r="K805" i="42"/>
  <c r="K806" i="42"/>
  <c r="K807" i="42"/>
  <c r="K808" i="42"/>
  <c r="K809" i="42"/>
  <c r="K810" i="42"/>
  <c r="K811" i="42"/>
  <c r="K812" i="42"/>
  <c r="K813" i="42"/>
  <c r="K814" i="42"/>
  <c r="K815" i="42"/>
  <c r="K816" i="42"/>
  <c r="K817" i="42"/>
  <c r="K818" i="42"/>
  <c r="K819" i="42"/>
  <c r="K820" i="42"/>
  <c r="K821" i="42"/>
  <c r="K822" i="42"/>
  <c r="K823" i="42"/>
  <c r="K824" i="42"/>
  <c r="K825" i="42"/>
  <c r="K826" i="42"/>
  <c r="K827" i="42"/>
  <c r="K828" i="42"/>
  <c r="K829" i="42"/>
  <c r="K830" i="42"/>
  <c r="K831" i="42"/>
  <c r="K832" i="42"/>
  <c r="K833" i="42"/>
  <c r="K834" i="42"/>
  <c r="K835" i="42"/>
  <c r="K836" i="42"/>
  <c r="K837" i="42"/>
  <c r="K838" i="42"/>
  <c r="K839" i="42"/>
  <c r="K840" i="42"/>
  <c r="K841" i="42"/>
  <c r="K842" i="42"/>
  <c r="K843" i="42"/>
  <c r="K844" i="42"/>
  <c r="K845" i="42"/>
  <c r="K846" i="42"/>
  <c r="K847" i="42"/>
  <c r="K848" i="42"/>
  <c r="K849" i="42"/>
  <c r="K850" i="42"/>
  <c r="K851" i="42"/>
  <c r="K852" i="42"/>
  <c r="K853" i="42"/>
  <c r="K854" i="42"/>
  <c r="K855" i="42"/>
  <c r="K856" i="42"/>
  <c r="K857" i="42"/>
  <c r="K858" i="42"/>
  <c r="K859" i="42"/>
  <c r="K860" i="42"/>
  <c r="K861" i="42"/>
  <c r="K862" i="42"/>
  <c r="K863" i="42"/>
  <c r="K864" i="42"/>
  <c r="K865" i="42"/>
  <c r="K866" i="42"/>
  <c r="K867" i="42"/>
  <c r="K868" i="42"/>
  <c r="K869" i="42"/>
  <c r="K870" i="42"/>
  <c r="K871" i="42"/>
  <c r="K872" i="42"/>
  <c r="K873" i="42"/>
  <c r="K874" i="42"/>
  <c r="K875" i="42"/>
  <c r="K876" i="42"/>
  <c r="K877" i="42"/>
  <c r="K878" i="42"/>
  <c r="K879" i="42"/>
  <c r="K880" i="42"/>
  <c r="K881" i="42"/>
  <c r="K882" i="42"/>
  <c r="K883" i="42"/>
  <c r="K884" i="42"/>
  <c r="K885" i="42"/>
  <c r="K886" i="42"/>
  <c r="K887" i="42"/>
  <c r="K888" i="42"/>
  <c r="K889" i="42"/>
  <c r="K890" i="42"/>
  <c r="K891" i="42"/>
  <c r="K892" i="42"/>
  <c r="K893" i="42"/>
  <c r="K894" i="42"/>
  <c r="K895" i="42"/>
  <c r="K896" i="42"/>
  <c r="K897" i="42"/>
  <c r="K898" i="42"/>
  <c r="K899" i="42"/>
  <c r="K900" i="42"/>
  <c r="K901" i="42"/>
  <c r="K902" i="42"/>
  <c r="K903" i="42"/>
  <c r="K904" i="42"/>
  <c r="K905" i="42"/>
  <c r="K906" i="42"/>
  <c r="K907" i="42"/>
  <c r="K908" i="42"/>
  <c r="K909" i="42"/>
  <c r="K910" i="42"/>
  <c r="K911" i="42"/>
  <c r="K912" i="42"/>
  <c r="K913" i="42"/>
  <c r="K914" i="42"/>
  <c r="K915" i="42"/>
  <c r="K916" i="42"/>
  <c r="K917" i="42"/>
  <c r="K918" i="42"/>
  <c r="K919" i="42"/>
  <c r="K920" i="42"/>
  <c r="K921" i="42"/>
  <c r="K922" i="42"/>
  <c r="K923" i="42"/>
  <c r="K924" i="42"/>
  <c r="K925" i="42"/>
  <c r="K926" i="42"/>
  <c r="K927" i="42"/>
  <c r="K928" i="42"/>
  <c r="K929" i="42"/>
  <c r="K930" i="42"/>
  <c r="K931" i="42"/>
  <c r="K932" i="42"/>
  <c r="K933" i="42"/>
  <c r="K934" i="42"/>
  <c r="K935" i="42"/>
  <c r="K936" i="42"/>
  <c r="K937" i="42"/>
  <c r="K938" i="42"/>
  <c r="K939" i="42"/>
  <c r="K940" i="42"/>
  <c r="K941" i="42"/>
  <c r="K942" i="42"/>
  <c r="K943" i="42"/>
  <c r="K944" i="42"/>
  <c r="K945" i="42"/>
  <c r="K946" i="42"/>
  <c r="K947" i="42"/>
  <c r="K948" i="42"/>
  <c r="K949" i="42"/>
  <c r="K950" i="42"/>
  <c r="K951" i="42"/>
  <c r="K952" i="42"/>
  <c r="K953" i="42"/>
  <c r="K954" i="42"/>
  <c r="K955" i="42"/>
  <c r="K956" i="42"/>
  <c r="K957" i="42"/>
  <c r="K958" i="42"/>
  <c r="K959" i="42"/>
  <c r="K960" i="42"/>
  <c r="K961" i="42"/>
  <c r="K962" i="42"/>
  <c r="K963" i="42"/>
  <c r="K964" i="42"/>
  <c r="K965" i="42"/>
  <c r="K966" i="42"/>
  <c r="K967" i="42"/>
  <c r="K968" i="42"/>
  <c r="K969" i="42"/>
  <c r="K970" i="42"/>
  <c r="K971" i="42"/>
  <c r="K972" i="42"/>
  <c r="K973" i="42"/>
  <c r="K974" i="42"/>
  <c r="K975" i="42"/>
  <c r="K976" i="42"/>
  <c r="K977" i="42"/>
  <c r="K978" i="42"/>
  <c r="K979" i="42"/>
  <c r="K980" i="42"/>
  <c r="K981" i="42"/>
  <c r="K982" i="42"/>
  <c r="K983" i="42"/>
  <c r="K984" i="42"/>
  <c r="K985" i="42"/>
  <c r="K986" i="42"/>
  <c r="K987" i="42"/>
  <c r="K988" i="42"/>
  <c r="K989" i="42"/>
  <c r="K990" i="42"/>
  <c r="K991" i="42"/>
  <c r="K992" i="42"/>
  <c r="K993" i="42"/>
  <c r="K994" i="42"/>
  <c r="K995" i="42"/>
  <c r="K996" i="42"/>
  <c r="K997" i="42"/>
  <c r="K998" i="42"/>
  <c r="K999" i="42"/>
  <c r="K1000" i="42"/>
  <c r="K1001" i="42"/>
  <c r="K1002" i="42"/>
  <c r="K1003" i="42"/>
  <c r="K1004" i="42"/>
  <c r="K1005" i="42"/>
  <c r="K1006" i="42"/>
  <c r="K1007" i="42"/>
  <c r="K8" i="42"/>
  <c r="J9" i="42"/>
  <c r="J10" i="42"/>
  <c r="J11" i="42"/>
  <c r="J12" i="42"/>
  <c r="J13" i="42"/>
  <c r="J14" i="42"/>
  <c r="J15" i="42"/>
  <c r="J16" i="42"/>
  <c r="J17" i="42"/>
  <c r="J18" i="42"/>
  <c r="J19" i="42"/>
  <c r="J20" i="42"/>
  <c r="J21" i="42"/>
  <c r="J22" i="42"/>
  <c r="J23" i="42"/>
  <c r="J24" i="42"/>
  <c r="J25" i="42"/>
  <c r="J26" i="42"/>
  <c r="J27" i="42"/>
  <c r="J28" i="42"/>
  <c r="J29" i="42"/>
  <c r="J30" i="42"/>
  <c r="J31" i="42"/>
  <c r="J32" i="42"/>
  <c r="J33" i="42"/>
  <c r="J34" i="42"/>
  <c r="J35" i="42"/>
  <c r="J36" i="42"/>
  <c r="J37" i="42"/>
  <c r="J38" i="42"/>
  <c r="J39" i="42"/>
  <c r="J40" i="42"/>
  <c r="J41" i="42"/>
  <c r="J42" i="42"/>
  <c r="J43" i="42"/>
  <c r="J44" i="42"/>
  <c r="J45" i="42"/>
  <c r="J46" i="42"/>
  <c r="J47" i="42"/>
  <c r="J48" i="42"/>
  <c r="J49" i="42"/>
  <c r="J50" i="42"/>
  <c r="J51" i="42"/>
  <c r="J52" i="42"/>
  <c r="J53" i="42"/>
  <c r="J54" i="42"/>
  <c r="J55" i="42"/>
  <c r="J56" i="42"/>
  <c r="J57" i="42"/>
  <c r="J58" i="42"/>
  <c r="J59" i="42"/>
  <c r="J60" i="42"/>
  <c r="J61" i="42"/>
  <c r="J62" i="42"/>
  <c r="J63" i="42"/>
  <c r="J64" i="42"/>
  <c r="J65" i="42"/>
  <c r="J66" i="42"/>
  <c r="J67" i="42"/>
  <c r="J68" i="42"/>
  <c r="J69" i="42"/>
  <c r="J70" i="42"/>
  <c r="J71" i="42"/>
  <c r="J72" i="42"/>
  <c r="J73" i="42"/>
  <c r="J74" i="42"/>
  <c r="J75" i="42"/>
  <c r="J76" i="42"/>
  <c r="J77" i="42"/>
  <c r="J78" i="42"/>
  <c r="J79" i="42"/>
  <c r="J80" i="42"/>
  <c r="J81" i="42"/>
  <c r="J82" i="42"/>
  <c r="J83" i="42"/>
  <c r="J84" i="42"/>
  <c r="J85" i="42"/>
  <c r="J86" i="42"/>
  <c r="J87" i="42"/>
  <c r="J88" i="42"/>
  <c r="J89" i="42"/>
  <c r="J90" i="42"/>
  <c r="J91" i="42"/>
  <c r="J92" i="42"/>
  <c r="J93" i="42"/>
  <c r="J94" i="42"/>
  <c r="J95" i="42"/>
  <c r="J96" i="42"/>
  <c r="J97" i="42"/>
  <c r="J98" i="42"/>
  <c r="J99" i="42"/>
  <c r="J100" i="42"/>
  <c r="J101" i="42"/>
  <c r="J102" i="42"/>
  <c r="J103" i="42"/>
  <c r="J104" i="42"/>
  <c r="J105" i="42"/>
  <c r="J106" i="42"/>
  <c r="J107" i="42"/>
  <c r="J108" i="42"/>
  <c r="J109" i="42"/>
  <c r="J110" i="42"/>
  <c r="J111" i="42"/>
  <c r="J112" i="42"/>
  <c r="J113" i="42"/>
  <c r="J114" i="42"/>
  <c r="J115" i="42"/>
  <c r="J116" i="42"/>
  <c r="J117" i="42"/>
  <c r="J118" i="42"/>
  <c r="J119" i="42"/>
  <c r="J120" i="42"/>
  <c r="J121" i="42"/>
  <c r="J122" i="42"/>
  <c r="J123" i="42"/>
  <c r="J124" i="42"/>
  <c r="J125" i="42"/>
  <c r="J126" i="42"/>
  <c r="J127" i="42"/>
  <c r="J128" i="42"/>
  <c r="J129" i="42"/>
  <c r="J130" i="42"/>
  <c r="J131" i="42"/>
  <c r="J132" i="42"/>
  <c r="J133" i="42"/>
  <c r="J134" i="42"/>
  <c r="J135" i="42"/>
  <c r="J136" i="42"/>
  <c r="J137" i="42"/>
  <c r="J138" i="42"/>
  <c r="J139" i="42"/>
  <c r="J140" i="42"/>
  <c r="J141" i="42"/>
  <c r="J142" i="42"/>
  <c r="J143" i="42"/>
  <c r="J144" i="42"/>
  <c r="J145" i="42"/>
  <c r="J146" i="42"/>
  <c r="J147" i="42"/>
  <c r="J148" i="42"/>
  <c r="J149" i="42"/>
  <c r="J150" i="42"/>
  <c r="J151" i="42"/>
  <c r="J152" i="42"/>
  <c r="J153" i="42"/>
  <c r="J154" i="42"/>
  <c r="J155" i="42"/>
  <c r="J156" i="42"/>
  <c r="J157" i="42"/>
  <c r="J158" i="42"/>
  <c r="J159" i="42"/>
  <c r="J160" i="42"/>
  <c r="J161" i="42"/>
  <c r="J162" i="42"/>
  <c r="J163" i="42"/>
  <c r="J164" i="42"/>
  <c r="J165" i="42"/>
  <c r="J166" i="42"/>
  <c r="J167" i="42"/>
  <c r="J168" i="42"/>
  <c r="J169" i="42"/>
  <c r="J170" i="42"/>
  <c r="J171" i="42"/>
  <c r="J172" i="42"/>
  <c r="J173" i="42"/>
  <c r="J174" i="42"/>
  <c r="J175" i="42"/>
  <c r="J176" i="42"/>
  <c r="J177" i="42"/>
  <c r="J178" i="42"/>
  <c r="J179" i="42"/>
  <c r="J180" i="42"/>
  <c r="J181" i="42"/>
  <c r="J182" i="42"/>
  <c r="J183" i="42"/>
  <c r="J184" i="42"/>
  <c r="J185" i="42"/>
  <c r="J186" i="42"/>
  <c r="J187" i="42"/>
  <c r="J188" i="42"/>
  <c r="J189" i="42"/>
  <c r="J190" i="42"/>
  <c r="J191" i="42"/>
  <c r="J192" i="42"/>
  <c r="J193" i="42"/>
  <c r="J194" i="42"/>
  <c r="J195" i="42"/>
  <c r="J196" i="42"/>
  <c r="J197" i="42"/>
  <c r="J198" i="42"/>
  <c r="J199" i="42"/>
  <c r="J200" i="42"/>
  <c r="J201" i="42"/>
  <c r="J202" i="42"/>
  <c r="J203" i="42"/>
  <c r="J204" i="42"/>
  <c r="J205" i="42"/>
  <c r="J206" i="42"/>
  <c r="J207" i="42"/>
  <c r="J208" i="42"/>
  <c r="J209" i="42"/>
  <c r="J210" i="42"/>
  <c r="J211" i="42"/>
  <c r="J212" i="42"/>
  <c r="J213" i="42"/>
  <c r="J214" i="42"/>
  <c r="J215" i="42"/>
  <c r="J216" i="42"/>
  <c r="J217" i="42"/>
  <c r="J218" i="42"/>
  <c r="J219" i="42"/>
  <c r="J220" i="42"/>
  <c r="J221" i="42"/>
  <c r="J222" i="42"/>
  <c r="J223" i="42"/>
  <c r="J224" i="42"/>
  <c r="J225" i="42"/>
  <c r="J226" i="42"/>
  <c r="J227" i="42"/>
  <c r="J228" i="42"/>
  <c r="J229" i="42"/>
  <c r="J230" i="42"/>
  <c r="J231" i="42"/>
  <c r="J232" i="42"/>
  <c r="J233" i="42"/>
  <c r="J234" i="42"/>
  <c r="J235" i="42"/>
  <c r="J236" i="42"/>
  <c r="J237" i="42"/>
  <c r="J238" i="42"/>
  <c r="J239" i="42"/>
  <c r="J240" i="42"/>
  <c r="J241" i="42"/>
  <c r="J242" i="42"/>
  <c r="J243" i="42"/>
  <c r="J244" i="42"/>
  <c r="J245" i="42"/>
  <c r="J246" i="42"/>
  <c r="J247" i="42"/>
  <c r="J248" i="42"/>
  <c r="J249" i="42"/>
  <c r="J250" i="42"/>
  <c r="J251" i="42"/>
  <c r="J252" i="42"/>
  <c r="J253" i="42"/>
  <c r="J254" i="42"/>
  <c r="J255" i="42"/>
  <c r="J256" i="42"/>
  <c r="J257" i="42"/>
  <c r="J258" i="42"/>
  <c r="J259" i="42"/>
  <c r="J260" i="42"/>
  <c r="J261" i="42"/>
  <c r="J262" i="42"/>
  <c r="J263" i="42"/>
  <c r="J264" i="42"/>
  <c r="J265" i="42"/>
  <c r="J266" i="42"/>
  <c r="J267" i="42"/>
  <c r="J268" i="42"/>
  <c r="J269" i="42"/>
  <c r="J270" i="42"/>
  <c r="J271" i="42"/>
  <c r="J272" i="42"/>
  <c r="J273" i="42"/>
  <c r="J274" i="42"/>
  <c r="J275" i="42"/>
  <c r="J276" i="42"/>
  <c r="J277" i="42"/>
  <c r="J278" i="42"/>
  <c r="J279" i="42"/>
  <c r="J280" i="42"/>
  <c r="J281" i="42"/>
  <c r="J282" i="42"/>
  <c r="J283" i="42"/>
  <c r="J284" i="42"/>
  <c r="J285" i="42"/>
  <c r="J286" i="42"/>
  <c r="J287" i="42"/>
  <c r="J288" i="42"/>
  <c r="J289" i="42"/>
  <c r="J290" i="42"/>
  <c r="J291" i="42"/>
  <c r="J292" i="42"/>
  <c r="J293" i="42"/>
  <c r="J294" i="42"/>
  <c r="J295" i="42"/>
  <c r="J296" i="42"/>
  <c r="J297" i="42"/>
  <c r="J298" i="42"/>
  <c r="J299" i="42"/>
  <c r="J300" i="42"/>
  <c r="J301" i="42"/>
  <c r="J302" i="42"/>
  <c r="J303" i="42"/>
  <c r="J304" i="42"/>
  <c r="J305" i="42"/>
  <c r="J306" i="42"/>
  <c r="J307" i="42"/>
  <c r="J308" i="42"/>
  <c r="J309" i="42"/>
  <c r="J310" i="42"/>
  <c r="J311" i="42"/>
  <c r="J312" i="42"/>
  <c r="J313" i="42"/>
  <c r="J314" i="42"/>
  <c r="J315" i="42"/>
  <c r="J316" i="42"/>
  <c r="J317" i="42"/>
  <c r="J318" i="42"/>
  <c r="J319" i="42"/>
  <c r="J320" i="42"/>
  <c r="J321" i="42"/>
  <c r="J322" i="42"/>
  <c r="J323" i="42"/>
  <c r="J324" i="42"/>
  <c r="J325" i="42"/>
  <c r="J326" i="42"/>
  <c r="J327" i="42"/>
  <c r="J328" i="42"/>
  <c r="J329" i="42"/>
  <c r="J330" i="42"/>
  <c r="J331" i="42"/>
  <c r="J332" i="42"/>
  <c r="J333" i="42"/>
  <c r="J334" i="42"/>
  <c r="J335" i="42"/>
  <c r="J336" i="42"/>
  <c r="J337" i="42"/>
  <c r="J338" i="42"/>
  <c r="J339" i="42"/>
  <c r="J340" i="42"/>
  <c r="J341" i="42"/>
  <c r="J342" i="42"/>
  <c r="J343" i="42"/>
  <c r="J344" i="42"/>
  <c r="J345" i="42"/>
  <c r="J346" i="42"/>
  <c r="J347" i="42"/>
  <c r="J348" i="42"/>
  <c r="J349" i="42"/>
  <c r="J350" i="42"/>
  <c r="J351" i="42"/>
  <c r="J352" i="42"/>
  <c r="J353" i="42"/>
  <c r="J354" i="42"/>
  <c r="J355" i="42"/>
  <c r="J356" i="42"/>
  <c r="J357" i="42"/>
  <c r="J358" i="42"/>
  <c r="J359" i="42"/>
  <c r="J360" i="42"/>
  <c r="J361" i="42"/>
  <c r="J362" i="42"/>
  <c r="J363" i="42"/>
  <c r="J364" i="42"/>
  <c r="J365" i="42"/>
  <c r="J366" i="42"/>
  <c r="J367" i="42"/>
  <c r="J368" i="42"/>
  <c r="J369" i="42"/>
  <c r="J370" i="42"/>
  <c r="J371" i="42"/>
  <c r="J372" i="42"/>
  <c r="J373" i="42"/>
  <c r="J374" i="42"/>
  <c r="J375" i="42"/>
  <c r="J376" i="42"/>
  <c r="J377" i="42"/>
  <c r="J378" i="42"/>
  <c r="J379" i="42"/>
  <c r="J380" i="42"/>
  <c r="J381" i="42"/>
  <c r="J382" i="42"/>
  <c r="J383" i="42"/>
  <c r="J384" i="42"/>
  <c r="J385" i="42"/>
  <c r="J386" i="42"/>
  <c r="J387" i="42"/>
  <c r="J388" i="42"/>
  <c r="J389" i="42"/>
  <c r="J390" i="42"/>
  <c r="J391" i="42"/>
  <c r="J392" i="42"/>
  <c r="J393" i="42"/>
  <c r="J394" i="42"/>
  <c r="J395" i="42"/>
  <c r="J396" i="42"/>
  <c r="J397" i="42"/>
  <c r="J398" i="42"/>
  <c r="J399" i="42"/>
  <c r="J400" i="42"/>
  <c r="J401" i="42"/>
  <c r="J402" i="42"/>
  <c r="J403" i="42"/>
  <c r="J404" i="42"/>
  <c r="J405" i="42"/>
  <c r="J406" i="42"/>
  <c r="J407" i="42"/>
  <c r="J408" i="42"/>
  <c r="J409" i="42"/>
  <c r="J410" i="42"/>
  <c r="J411" i="42"/>
  <c r="J412" i="42"/>
  <c r="J413" i="42"/>
  <c r="J414" i="42"/>
  <c r="J415" i="42"/>
  <c r="J416" i="42"/>
  <c r="J417" i="42"/>
  <c r="J418" i="42"/>
  <c r="J419" i="42"/>
  <c r="J420" i="42"/>
  <c r="J421" i="42"/>
  <c r="J422" i="42"/>
  <c r="J423" i="42"/>
  <c r="J424" i="42"/>
  <c r="J425" i="42"/>
  <c r="J426" i="42"/>
  <c r="J427" i="42"/>
  <c r="J428" i="42"/>
  <c r="J429" i="42"/>
  <c r="J430" i="42"/>
  <c r="J431" i="42"/>
  <c r="J432" i="42"/>
  <c r="J433" i="42"/>
  <c r="J434" i="42"/>
  <c r="J435" i="42"/>
  <c r="J436" i="42"/>
  <c r="J437" i="42"/>
  <c r="J438" i="42"/>
  <c r="J439" i="42"/>
  <c r="J440" i="42"/>
  <c r="J441" i="42"/>
  <c r="J442" i="42"/>
  <c r="J443" i="42"/>
  <c r="J444" i="42"/>
  <c r="J445" i="42"/>
  <c r="J446" i="42"/>
  <c r="J447" i="42"/>
  <c r="J448" i="42"/>
  <c r="J449" i="42"/>
  <c r="J450" i="42"/>
  <c r="J451" i="42"/>
  <c r="J452" i="42"/>
  <c r="J453" i="42"/>
  <c r="J454" i="42"/>
  <c r="J455" i="42"/>
  <c r="J456" i="42"/>
  <c r="J457" i="42"/>
  <c r="J458" i="42"/>
  <c r="J459" i="42"/>
  <c r="J460" i="42"/>
  <c r="J461" i="42"/>
  <c r="J462" i="42"/>
  <c r="J463" i="42"/>
  <c r="J464" i="42"/>
  <c r="J465" i="42"/>
  <c r="J466" i="42"/>
  <c r="J467" i="42"/>
  <c r="J468" i="42"/>
  <c r="J469" i="42"/>
  <c r="J470" i="42"/>
  <c r="J471" i="42"/>
  <c r="J472" i="42"/>
  <c r="J473" i="42"/>
  <c r="J474" i="42"/>
  <c r="J475" i="42"/>
  <c r="J476" i="42"/>
  <c r="J477" i="42"/>
  <c r="J478" i="42"/>
  <c r="J479" i="42"/>
  <c r="J480" i="42"/>
  <c r="J481" i="42"/>
  <c r="J482" i="42"/>
  <c r="J483" i="42"/>
  <c r="J484" i="42"/>
  <c r="J485" i="42"/>
  <c r="J486" i="42"/>
  <c r="J487" i="42"/>
  <c r="J488" i="42"/>
  <c r="J489" i="42"/>
  <c r="J490" i="42"/>
  <c r="J491" i="42"/>
  <c r="J492" i="42"/>
  <c r="J493" i="42"/>
  <c r="J494" i="42"/>
  <c r="J495" i="42"/>
  <c r="J496" i="42"/>
  <c r="J497" i="42"/>
  <c r="J498" i="42"/>
  <c r="J499" i="42"/>
  <c r="J500" i="42"/>
  <c r="J501" i="42"/>
  <c r="J502" i="42"/>
  <c r="J503" i="42"/>
  <c r="J504" i="42"/>
  <c r="J505" i="42"/>
  <c r="J506" i="42"/>
  <c r="J507" i="42"/>
  <c r="J508" i="42"/>
  <c r="J509" i="42"/>
  <c r="J510" i="42"/>
  <c r="J511" i="42"/>
  <c r="J512" i="42"/>
  <c r="J513" i="42"/>
  <c r="J514" i="42"/>
  <c r="J515" i="42"/>
  <c r="J516" i="42"/>
  <c r="J517" i="42"/>
  <c r="J518" i="42"/>
  <c r="J519" i="42"/>
  <c r="J520" i="42"/>
  <c r="J521" i="42"/>
  <c r="J522" i="42"/>
  <c r="J523" i="42"/>
  <c r="J524" i="42"/>
  <c r="J525" i="42"/>
  <c r="J526" i="42"/>
  <c r="J527" i="42"/>
  <c r="J528" i="42"/>
  <c r="J529" i="42"/>
  <c r="J530" i="42"/>
  <c r="J531" i="42"/>
  <c r="J532" i="42"/>
  <c r="J533" i="42"/>
  <c r="J534" i="42"/>
  <c r="J535" i="42"/>
  <c r="J536" i="42"/>
  <c r="J537" i="42"/>
  <c r="J538" i="42"/>
  <c r="J539" i="42"/>
  <c r="J540" i="42"/>
  <c r="J541" i="42"/>
  <c r="J542" i="42"/>
  <c r="J543" i="42"/>
  <c r="J544" i="42"/>
  <c r="J545" i="42"/>
  <c r="J546" i="42"/>
  <c r="J547" i="42"/>
  <c r="J548" i="42"/>
  <c r="J549" i="42"/>
  <c r="J550" i="42"/>
  <c r="J551" i="42"/>
  <c r="J552" i="42"/>
  <c r="J553" i="42"/>
  <c r="J554" i="42"/>
  <c r="J555" i="42"/>
  <c r="J556" i="42"/>
  <c r="J557" i="42"/>
  <c r="J558" i="42"/>
  <c r="J559" i="42"/>
  <c r="J560" i="42"/>
  <c r="J561" i="42"/>
  <c r="J562" i="42"/>
  <c r="J563" i="42"/>
  <c r="J564" i="42"/>
  <c r="J565" i="42"/>
  <c r="J566" i="42"/>
  <c r="J567" i="42"/>
  <c r="J568" i="42"/>
  <c r="J569" i="42"/>
  <c r="J570" i="42"/>
  <c r="J571" i="42"/>
  <c r="J572" i="42"/>
  <c r="J573" i="42"/>
  <c r="J574" i="42"/>
  <c r="J575" i="42"/>
  <c r="J576" i="42"/>
  <c r="J577" i="42"/>
  <c r="J578" i="42"/>
  <c r="J579" i="42"/>
  <c r="J580" i="42"/>
  <c r="J581" i="42"/>
  <c r="J582" i="42"/>
  <c r="J583" i="42"/>
  <c r="J584" i="42"/>
  <c r="J585" i="42"/>
  <c r="J586" i="42"/>
  <c r="J587" i="42"/>
  <c r="J588" i="42"/>
  <c r="J589" i="42"/>
  <c r="J590" i="42"/>
  <c r="J591" i="42"/>
  <c r="J592" i="42"/>
  <c r="J593" i="42"/>
  <c r="J594" i="42"/>
  <c r="J595" i="42"/>
  <c r="J596" i="42"/>
  <c r="J597" i="42"/>
  <c r="J598" i="42"/>
  <c r="J599" i="42"/>
  <c r="J600" i="42"/>
  <c r="J601" i="42"/>
  <c r="J602" i="42"/>
  <c r="J603" i="42"/>
  <c r="J604" i="42"/>
  <c r="J605" i="42"/>
  <c r="J606" i="42"/>
  <c r="J607" i="42"/>
  <c r="J608" i="42"/>
  <c r="J609" i="42"/>
  <c r="J610" i="42"/>
  <c r="J611" i="42"/>
  <c r="J612" i="42"/>
  <c r="J613" i="42"/>
  <c r="J614" i="42"/>
  <c r="J615" i="42"/>
  <c r="J616" i="42"/>
  <c r="J617" i="42"/>
  <c r="J618" i="42"/>
  <c r="J619" i="42"/>
  <c r="J620" i="42"/>
  <c r="J621" i="42"/>
  <c r="J622" i="42"/>
  <c r="J623" i="42"/>
  <c r="J624" i="42"/>
  <c r="J625" i="42"/>
  <c r="J626" i="42"/>
  <c r="J627" i="42"/>
  <c r="J628" i="42"/>
  <c r="J629" i="42"/>
  <c r="J630" i="42"/>
  <c r="J631" i="42"/>
  <c r="J632" i="42"/>
  <c r="J633" i="42"/>
  <c r="J634" i="42"/>
  <c r="J635" i="42"/>
  <c r="J636" i="42"/>
  <c r="J637" i="42"/>
  <c r="J638" i="42"/>
  <c r="J639" i="42"/>
  <c r="J640" i="42"/>
  <c r="J641" i="42"/>
  <c r="J642" i="42"/>
  <c r="J643" i="42"/>
  <c r="J644" i="42"/>
  <c r="J645" i="42"/>
  <c r="J646" i="42"/>
  <c r="J647" i="42"/>
  <c r="J648" i="42"/>
  <c r="J649" i="42"/>
  <c r="J650" i="42"/>
  <c r="J651" i="42"/>
  <c r="J652" i="42"/>
  <c r="J653" i="42"/>
  <c r="J654" i="42"/>
  <c r="J655" i="42"/>
  <c r="J656" i="42"/>
  <c r="J657" i="42"/>
  <c r="J658" i="42"/>
  <c r="J659" i="42"/>
  <c r="J660" i="42"/>
  <c r="J661" i="42"/>
  <c r="J662" i="42"/>
  <c r="J663" i="42"/>
  <c r="J664" i="42"/>
  <c r="J665" i="42"/>
  <c r="J666" i="42"/>
  <c r="J667" i="42"/>
  <c r="J668" i="42"/>
  <c r="J669" i="42"/>
  <c r="J670" i="42"/>
  <c r="J671" i="42"/>
  <c r="J672" i="42"/>
  <c r="J673" i="42"/>
  <c r="J674" i="42"/>
  <c r="J675" i="42"/>
  <c r="J676" i="42"/>
  <c r="J677" i="42"/>
  <c r="J678" i="42"/>
  <c r="J679" i="42"/>
  <c r="J680" i="42"/>
  <c r="J681" i="42"/>
  <c r="J682" i="42"/>
  <c r="J683" i="42"/>
  <c r="J684" i="42"/>
  <c r="J685" i="42"/>
  <c r="J686" i="42"/>
  <c r="J687" i="42"/>
  <c r="J688" i="42"/>
  <c r="J689" i="42"/>
  <c r="J690" i="42"/>
  <c r="J691" i="42"/>
  <c r="J692" i="42"/>
  <c r="J693" i="42"/>
  <c r="J694" i="42"/>
  <c r="J695" i="42"/>
  <c r="J696" i="42"/>
  <c r="J697" i="42"/>
  <c r="J698" i="42"/>
  <c r="J699" i="42"/>
  <c r="J700" i="42"/>
  <c r="J701" i="42"/>
  <c r="J702" i="42"/>
  <c r="J703" i="42"/>
  <c r="J704" i="42"/>
  <c r="J705" i="42"/>
  <c r="J706" i="42"/>
  <c r="J707" i="42"/>
  <c r="J708" i="42"/>
  <c r="J709" i="42"/>
  <c r="J710" i="42"/>
  <c r="J711" i="42"/>
  <c r="J712" i="42"/>
  <c r="J713" i="42"/>
  <c r="J714" i="42"/>
  <c r="J715" i="42"/>
  <c r="J716" i="42"/>
  <c r="J717" i="42"/>
  <c r="J718" i="42"/>
  <c r="J719" i="42"/>
  <c r="J720" i="42"/>
  <c r="J721" i="42"/>
  <c r="J722" i="42"/>
  <c r="J723" i="42"/>
  <c r="J724" i="42"/>
  <c r="J725" i="42"/>
  <c r="J726" i="42"/>
  <c r="J727" i="42"/>
  <c r="J728" i="42"/>
  <c r="J729" i="42"/>
  <c r="J730" i="42"/>
  <c r="J731" i="42"/>
  <c r="J732" i="42"/>
  <c r="J733" i="42"/>
  <c r="J734" i="42"/>
  <c r="J735" i="42"/>
  <c r="J736" i="42"/>
  <c r="J737" i="42"/>
  <c r="J738" i="42"/>
  <c r="J739" i="42"/>
  <c r="J740" i="42"/>
  <c r="J741" i="42"/>
  <c r="J742" i="42"/>
  <c r="J743" i="42"/>
  <c r="J744" i="42"/>
  <c r="J745" i="42"/>
  <c r="J746" i="42"/>
  <c r="J747" i="42"/>
  <c r="J748" i="42"/>
  <c r="J749" i="42"/>
  <c r="J750" i="42"/>
  <c r="J751" i="42"/>
  <c r="J752" i="42"/>
  <c r="J753" i="42"/>
  <c r="J754" i="42"/>
  <c r="J755" i="42"/>
  <c r="J756" i="42"/>
  <c r="J757" i="42"/>
  <c r="J758" i="42"/>
  <c r="J759" i="42"/>
  <c r="J760" i="42"/>
  <c r="J761" i="42"/>
  <c r="J762" i="42"/>
  <c r="J763" i="42"/>
  <c r="J764" i="42"/>
  <c r="J765" i="42"/>
  <c r="J766" i="42"/>
  <c r="J767" i="42"/>
  <c r="J768" i="42"/>
  <c r="J769" i="42"/>
  <c r="J770" i="42"/>
  <c r="J771" i="42"/>
  <c r="J772" i="42"/>
  <c r="J773" i="42"/>
  <c r="J774" i="42"/>
  <c r="J775" i="42"/>
  <c r="J776" i="42"/>
  <c r="J777" i="42"/>
  <c r="J778" i="42"/>
  <c r="J779" i="42"/>
  <c r="J780" i="42"/>
  <c r="J781" i="42"/>
  <c r="J782" i="42"/>
  <c r="J783" i="42"/>
  <c r="J784" i="42"/>
  <c r="J785" i="42"/>
  <c r="J786" i="42"/>
  <c r="J787" i="42"/>
  <c r="J788" i="42"/>
  <c r="J789" i="42"/>
  <c r="J790" i="42"/>
  <c r="J791" i="42"/>
  <c r="J792" i="42"/>
  <c r="J793" i="42"/>
  <c r="J794" i="42"/>
  <c r="J795" i="42"/>
  <c r="J796" i="42"/>
  <c r="J797" i="42"/>
  <c r="J798" i="42"/>
  <c r="J799" i="42"/>
  <c r="J800" i="42"/>
  <c r="J801" i="42"/>
  <c r="J802" i="42"/>
  <c r="J803" i="42"/>
  <c r="J804" i="42"/>
  <c r="J805" i="42"/>
  <c r="J806" i="42"/>
  <c r="J807" i="42"/>
  <c r="J808" i="42"/>
  <c r="J809" i="42"/>
  <c r="J810" i="42"/>
  <c r="J811" i="42"/>
  <c r="J812" i="42"/>
  <c r="J813" i="42"/>
  <c r="J814" i="42"/>
  <c r="J815" i="42"/>
  <c r="J816" i="42"/>
  <c r="J817" i="42"/>
  <c r="J818" i="42"/>
  <c r="J819" i="42"/>
  <c r="J820" i="42"/>
  <c r="J821" i="42"/>
  <c r="J822" i="42"/>
  <c r="J823" i="42"/>
  <c r="J824" i="42"/>
  <c r="J825" i="42"/>
  <c r="J826" i="42"/>
  <c r="J827" i="42"/>
  <c r="J828" i="42"/>
  <c r="J829" i="42"/>
  <c r="J830" i="42"/>
  <c r="J831" i="42"/>
  <c r="J832" i="42"/>
  <c r="J833" i="42"/>
  <c r="J834" i="42"/>
  <c r="J835" i="42"/>
  <c r="J836" i="42"/>
  <c r="J837" i="42"/>
  <c r="J838" i="42"/>
  <c r="J839" i="42"/>
  <c r="J840" i="42"/>
  <c r="J841" i="42"/>
  <c r="J842" i="42"/>
  <c r="J843" i="42"/>
  <c r="J844" i="42"/>
  <c r="J845" i="42"/>
  <c r="J846" i="42"/>
  <c r="J847" i="42"/>
  <c r="J848" i="42"/>
  <c r="J849" i="42"/>
  <c r="J850" i="42"/>
  <c r="J851" i="42"/>
  <c r="J852" i="42"/>
  <c r="J853" i="42"/>
  <c r="J854" i="42"/>
  <c r="J855" i="42"/>
  <c r="J856" i="42"/>
  <c r="J857" i="42"/>
  <c r="J858" i="42"/>
  <c r="J859" i="42"/>
  <c r="J860" i="42"/>
  <c r="J861" i="42"/>
  <c r="J862" i="42"/>
  <c r="J863" i="42"/>
  <c r="J864" i="42"/>
  <c r="J865" i="42"/>
  <c r="J866" i="42"/>
  <c r="J867" i="42"/>
  <c r="J868" i="42"/>
  <c r="J869" i="42"/>
  <c r="J870" i="42"/>
  <c r="J871" i="42"/>
  <c r="J872" i="42"/>
  <c r="J873" i="42"/>
  <c r="J874" i="42"/>
  <c r="J875" i="42"/>
  <c r="J876" i="42"/>
  <c r="J877" i="42"/>
  <c r="J878" i="42"/>
  <c r="J879" i="42"/>
  <c r="J880" i="42"/>
  <c r="J881" i="42"/>
  <c r="J882" i="42"/>
  <c r="J883" i="42"/>
  <c r="J884" i="42"/>
  <c r="J885" i="42"/>
  <c r="J886" i="42"/>
  <c r="J887" i="42"/>
  <c r="J888" i="42"/>
  <c r="J889" i="42"/>
  <c r="J890" i="42"/>
  <c r="J891" i="42"/>
  <c r="J892" i="42"/>
  <c r="J893" i="42"/>
  <c r="J894" i="42"/>
  <c r="J895" i="42"/>
  <c r="J896" i="42"/>
  <c r="J897" i="42"/>
  <c r="J898" i="42"/>
  <c r="J899" i="42"/>
  <c r="J900" i="42"/>
  <c r="J901" i="42"/>
  <c r="J902" i="42"/>
  <c r="J903" i="42"/>
  <c r="J904" i="42"/>
  <c r="J905" i="42"/>
  <c r="J906" i="42"/>
  <c r="J907" i="42"/>
  <c r="J908" i="42"/>
  <c r="J909" i="42"/>
  <c r="J910" i="42"/>
  <c r="J911" i="42"/>
  <c r="J912" i="42"/>
  <c r="J913" i="42"/>
  <c r="J914" i="42"/>
  <c r="J915" i="42"/>
  <c r="J916" i="42"/>
  <c r="J917" i="42"/>
  <c r="J918" i="42"/>
  <c r="J919" i="42"/>
  <c r="J920" i="42"/>
  <c r="J921" i="42"/>
  <c r="J922" i="42"/>
  <c r="J923" i="42"/>
  <c r="J924" i="42"/>
  <c r="J925" i="42"/>
  <c r="J926" i="42"/>
  <c r="J927" i="42"/>
  <c r="J928" i="42"/>
  <c r="J929" i="42"/>
  <c r="J930" i="42"/>
  <c r="J931" i="42"/>
  <c r="J932" i="42"/>
  <c r="J933" i="42"/>
  <c r="J934" i="42"/>
  <c r="J935" i="42"/>
  <c r="J936" i="42"/>
  <c r="J937" i="42"/>
  <c r="J938" i="42"/>
  <c r="J939" i="42"/>
  <c r="J940" i="42"/>
  <c r="J941" i="42"/>
  <c r="J942" i="42"/>
  <c r="J943" i="42"/>
  <c r="J944" i="42"/>
  <c r="J945" i="42"/>
  <c r="J946" i="42"/>
  <c r="J947" i="42"/>
  <c r="J948" i="42"/>
  <c r="J949" i="42"/>
  <c r="J950" i="42"/>
  <c r="J951" i="42"/>
  <c r="J952" i="42"/>
  <c r="J953" i="42"/>
  <c r="J954" i="42"/>
  <c r="J955" i="42"/>
  <c r="J956" i="42"/>
  <c r="J957" i="42"/>
  <c r="J958" i="42"/>
  <c r="J959" i="42"/>
  <c r="J960" i="42"/>
  <c r="J961" i="42"/>
  <c r="J962" i="42"/>
  <c r="J963" i="42"/>
  <c r="J964" i="42"/>
  <c r="J965" i="42"/>
  <c r="J966" i="42"/>
  <c r="J967" i="42"/>
  <c r="J968" i="42"/>
  <c r="J969" i="42"/>
  <c r="J970" i="42"/>
  <c r="J971" i="42"/>
  <c r="J972" i="42"/>
  <c r="J973" i="42"/>
  <c r="J974" i="42"/>
  <c r="J975" i="42"/>
  <c r="J976" i="42"/>
  <c r="J977" i="42"/>
  <c r="J978" i="42"/>
  <c r="J979" i="42"/>
  <c r="J980" i="42"/>
  <c r="J981" i="42"/>
  <c r="J982" i="42"/>
  <c r="J983" i="42"/>
  <c r="J984" i="42"/>
  <c r="J985" i="42"/>
  <c r="J986" i="42"/>
  <c r="J987" i="42"/>
  <c r="J988" i="42"/>
  <c r="J989" i="42"/>
  <c r="J990" i="42"/>
  <c r="J991" i="42"/>
  <c r="J992" i="42"/>
  <c r="J993" i="42"/>
  <c r="J994" i="42"/>
  <c r="J995" i="42"/>
  <c r="J996" i="42"/>
  <c r="J997" i="42"/>
  <c r="J998" i="42"/>
  <c r="J999" i="42"/>
  <c r="J1000" i="42"/>
  <c r="J1001" i="42"/>
  <c r="J1002" i="42"/>
  <c r="J1003" i="42"/>
  <c r="J1004" i="42"/>
  <c r="J1005" i="42"/>
  <c r="J1006" i="42"/>
  <c r="J1007" i="42"/>
  <c r="J8" i="42"/>
  <c r="I37" i="40"/>
  <c r="G1008" i="42"/>
  <c r="AC4" i="36" s="1"/>
  <c r="H1008" i="42"/>
  <c r="AD4" i="36" s="1"/>
  <c r="J42" i="40"/>
  <c r="J41" i="40"/>
  <c r="I41" i="40"/>
  <c r="J40" i="40"/>
  <c r="I40" i="40"/>
  <c r="M40" i="40" s="1"/>
  <c r="D40" i="40" s="1"/>
  <c r="J39" i="40"/>
  <c r="I39" i="40"/>
  <c r="M39" i="40" s="1"/>
  <c r="D39" i="40" s="1"/>
  <c r="I38" i="40"/>
  <c r="J38" i="40" s="1"/>
  <c r="M38" i="40" s="1"/>
  <c r="D38" i="40" s="1"/>
  <c r="F21" i="39" s="1"/>
  <c r="H36" i="40"/>
  <c r="J36" i="40" s="1"/>
  <c r="J35" i="40"/>
  <c r="I35" i="40"/>
  <c r="M35" i="40" s="1"/>
  <c r="I34" i="40"/>
  <c r="J33" i="40"/>
  <c r="I33" i="40"/>
  <c r="J32" i="40"/>
  <c r="I32" i="40"/>
  <c r="M32" i="40" s="1"/>
  <c r="J31" i="40"/>
  <c r="I31" i="40"/>
  <c r="J30" i="40"/>
  <c r="I30" i="40"/>
  <c r="J29" i="40"/>
  <c r="I29" i="40"/>
  <c r="J28" i="40"/>
  <c r="I28" i="40"/>
  <c r="J27" i="40"/>
  <c r="I27" i="40"/>
  <c r="M27" i="40" s="1"/>
  <c r="J26" i="40"/>
  <c r="I26" i="40"/>
  <c r="M26" i="40" s="1"/>
  <c r="J25" i="40"/>
  <c r="I25" i="40"/>
  <c r="J24" i="40"/>
  <c r="I24" i="40"/>
  <c r="M24" i="40" s="1"/>
  <c r="J23" i="40"/>
  <c r="I23" i="40"/>
  <c r="J22" i="40"/>
  <c r="I22" i="40"/>
  <c r="J21" i="40"/>
  <c r="I21" i="40"/>
  <c r="M21" i="40" s="1"/>
  <c r="J20" i="40"/>
  <c r="I20" i="40"/>
  <c r="M20" i="40" s="1"/>
  <c r="J19" i="40"/>
  <c r="I19" i="40"/>
  <c r="H18" i="40"/>
  <c r="J18" i="40" s="1"/>
  <c r="J17" i="40"/>
  <c r="I17" i="40"/>
  <c r="J16" i="40"/>
  <c r="I16" i="40"/>
  <c r="I15" i="40"/>
  <c r="I14" i="40"/>
  <c r="I13" i="40"/>
  <c r="I12" i="40"/>
  <c r="J12" i="40" s="1"/>
  <c r="M12" i="40" s="1"/>
  <c r="I11" i="40"/>
  <c r="I10" i="40"/>
  <c r="I9" i="40"/>
  <c r="I8" i="40"/>
  <c r="I7" i="40"/>
  <c r="J7" i="40" s="1"/>
  <c r="I6" i="40"/>
  <c r="I5" i="40"/>
  <c r="I4" i="40"/>
  <c r="J4" i="40" s="1"/>
  <c r="I3" i="40"/>
  <c r="J3" i="40" s="1"/>
  <c r="M3" i="40" s="1"/>
  <c r="F41" i="39" l="1"/>
  <c r="F30" i="39"/>
  <c r="F42" i="39"/>
  <c r="F40" i="39"/>
  <c r="F31" i="39"/>
  <c r="F28" i="39"/>
  <c r="F19" i="39"/>
  <c r="F29" i="39"/>
  <c r="F18" i="39"/>
  <c r="F17" i="39"/>
  <c r="F16" i="39"/>
  <c r="F43" i="39"/>
  <c r="F13" i="39"/>
  <c r="M4" i="40"/>
  <c r="F15" i="39"/>
  <c r="M22" i="40"/>
  <c r="M28" i="40"/>
  <c r="F44" i="39"/>
  <c r="F32" i="39"/>
  <c r="F20" i="39"/>
  <c r="F38" i="39"/>
  <c r="F9" i="39"/>
  <c r="F48" i="39"/>
  <c r="F36" i="39"/>
  <c r="F24" i="39"/>
  <c r="F12" i="39"/>
  <c r="F47" i="39"/>
  <c r="F35" i="39"/>
  <c r="F23" i="39"/>
  <c r="F11" i="39"/>
  <c r="F27" i="39"/>
  <c r="F26" i="39"/>
  <c r="F37" i="39"/>
  <c r="F46" i="39"/>
  <c r="F34" i="39"/>
  <c r="F22" i="39"/>
  <c r="F10" i="39"/>
  <c r="F39" i="39"/>
  <c r="F14" i="39"/>
  <c r="F25" i="39"/>
  <c r="F45" i="39"/>
  <c r="F33" i="39"/>
  <c r="M19" i="40"/>
  <c r="M25" i="40"/>
  <c r="M31" i="40"/>
  <c r="M41" i="40"/>
  <c r="D41" i="40" s="1"/>
  <c r="R51" i="23" s="1"/>
  <c r="M30" i="40"/>
  <c r="J37" i="40"/>
  <c r="M37" i="40" s="1"/>
  <c r="D37" i="40" s="1"/>
  <c r="E42" i="39" s="1"/>
  <c r="I42" i="40"/>
  <c r="M42" i="40" s="1"/>
  <c r="D42" i="40" s="1"/>
  <c r="M33" i="40"/>
  <c r="M23" i="40"/>
  <c r="M29" i="40"/>
  <c r="J34" i="40"/>
  <c r="M34" i="40" s="1"/>
  <c r="I36" i="40"/>
  <c r="M36" i="40" s="1"/>
  <c r="I18" i="40"/>
  <c r="M18" i="40" s="1"/>
  <c r="M16" i="40"/>
  <c r="D16" i="40" s="1"/>
  <c r="D49" i="16" s="1"/>
  <c r="M17" i="40"/>
  <c r="J10" i="40"/>
  <c r="M10" i="40" s="1"/>
  <c r="D10" i="40" s="1"/>
  <c r="J14" i="40"/>
  <c r="M14" i="40" s="1"/>
  <c r="J11" i="40"/>
  <c r="M11" i="40" s="1"/>
  <c r="J15" i="40"/>
  <c r="M15" i="40" s="1"/>
  <c r="J13" i="40"/>
  <c r="M13" i="40" s="1"/>
  <c r="M7" i="40"/>
  <c r="J6" i="40"/>
  <c r="M6" i="40" s="1"/>
  <c r="D6" i="40" s="1"/>
  <c r="J9" i="40"/>
  <c r="M9" i="40" s="1"/>
  <c r="J8" i="40"/>
  <c r="M8" i="40" s="1"/>
  <c r="J5" i="40"/>
  <c r="M5" i="40" s="1"/>
  <c r="N51" i="23"/>
  <c r="M51" i="23"/>
  <c r="I51" i="23"/>
  <c r="H51" i="23"/>
  <c r="N50" i="23"/>
  <c r="M50" i="23"/>
  <c r="I50" i="23"/>
  <c r="H50" i="23"/>
  <c r="N49" i="23"/>
  <c r="M49" i="23"/>
  <c r="I49" i="23"/>
  <c r="H49" i="23"/>
  <c r="N48" i="23"/>
  <c r="M48" i="23"/>
  <c r="I48" i="23"/>
  <c r="H48" i="23"/>
  <c r="N47" i="23"/>
  <c r="M47" i="23"/>
  <c r="I47" i="23"/>
  <c r="H47" i="23"/>
  <c r="N46" i="23"/>
  <c r="M46" i="23"/>
  <c r="I46" i="23"/>
  <c r="H46" i="23"/>
  <c r="N45" i="23"/>
  <c r="M45" i="23"/>
  <c r="I45" i="23"/>
  <c r="H45" i="23"/>
  <c r="N44" i="23"/>
  <c r="M44" i="23"/>
  <c r="I44" i="23"/>
  <c r="H44" i="23"/>
  <c r="N43" i="23"/>
  <c r="M43" i="23"/>
  <c r="I43" i="23"/>
  <c r="H43" i="23"/>
  <c r="N42" i="23"/>
  <c r="M42" i="23"/>
  <c r="I42" i="23"/>
  <c r="H42" i="23"/>
  <c r="N41" i="23"/>
  <c r="M41" i="23"/>
  <c r="I41" i="23"/>
  <c r="H41" i="23"/>
  <c r="N40" i="23"/>
  <c r="M40" i="23"/>
  <c r="I40" i="23"/>
  <c r="H40" i="23"/>
  <c r="N39" i="23"/>
  <c r="M39" i="23"/>
  <c r="I39" i="23"/>
  <c r="H39" i="23"/>
  <c r="N38" i="23"/>
  <c r="M38" i="23"/>
  <c r="I38" i="23"/>
  <c r="H38" i="23"/>
  <c r="N37" i="23"/>
  <c r="M37" i="23"/>
  <c r="I37" i="23"/>
  <c r="H37" i="23"/>
  <c r="N36" i="23"/>
  <c r="M36" i="23"/>
  <c r="I36" i="23"/>
  <c r="H36" i="23"/>
  <c r="N35" i="23"/>
  <c r="M35" i="23"/>
  <c r="I35" i="23"/>
  <c r="H35" i="23"/>
  <c r="N34" i="23"/>
  <c r="M34" i="23"/>
  <c r="I34" i="23"/>
  <c r="H34" i="23"/>
  <c r="N33" i="23"/>
  <c r="M33" i="23"/>
  <c r="I33" i="23"/>
  <c r="H33" i="23"/>
  <c r="N32" i="23"/>
  <c r="M32" i="23"/>
  <c r="I32" i="23"/>
  <c r="H32" i="23"/>
  <c r="N31" i="23"/>
  <c r="M31" i="23"/>
  <c r="I31" i="23"/>
  <c r="H31" i="23"/>
  <c r="N30" i="23"/>
  <c r="M30" i="23"/>
  <c r="I30" i="23"/>
  <c r="H30" i="23"/>
  <c r="N29" i="23"/>
  <c r="M29" i="23"/>
  <c r="I29" i="23"/>
  <c r="H29" i="23"/>
  <c r="N28" i="23"/>
  <c r="M28" i="23"/>
  <c r="I28" i="23"/>
  <c r="H28" i="23"/>
  <c r="N27" i="23"/>
  <c r="M27" i="23"/>
  <c r="I27" i="23"/>
  <c r="H27" i="23"/>
  <c r="N26" i="23"/>
  <c r="M26" i="23"/>
  <c r="I26" i="23"/>
  <c r="H26" i="23"/>
  <c r="N25" i="23"/>
  <c r="M25" i="23"/>
  <c r="I25" i="23"/>
  <c r="H25" i="23"/>
  <c r="N24" i="23"/>
  <c r="M24" i="23"/>
  <c r="I24" i="23"/>
  <c r="H24" i="23"/>
  <c r="N23" i="23"/>
  <c r="M23" i="23"/>
  <c r="I23" i="23"/>
  <c r="H23" i="23"/>
  <c r="N22" i="23"/>
  <c r="M22" i="23"/>
  <c r="I22" i="23"/>
  <c r="H22" i="23"/>
  <c r="N21" i="23"/>
  <c r="M21" i="23"/>
  <c r="I21" i="23"/>
  <c r="H21" i="23"/>
  <c r="N20" i="23"/>
  <c r="M20" i="23"/>
  <c r="I20" i="23"/>
  <c r="H20" i="23"/>
  <c r="N19" i="23"/>
  <c r="M19" i="23"/>
  <c r="I19" i="23"/>
  <c r="H19" i="23"/>
  <c r="N18" i="23"/>
  <c r="M18" i="23"/>
  <c r="I18" i="23"/>
  <c r="H18" i="23"/>
  <c r="N17" i="23"/>
  <c r="M17" i="23"/>
  <c r="I17" i="23"/>
  <c r="H17" i="23"/>
  <c r="N16" i="23"/>
  <c r="M16" i="23"/>
  <c r="I16" i="23"/>
  <c r="H16" i="23"/>
  <c r="N15" i="23"/>
  <c r="M15" i="23"/>
  <c r="I15" i="23"/>
  <c r="H15" i="23"/>
  <c r="N14" i="23"/>
  <c r="M14" i="23"/>
  <c r="I14" i="23"/>
  <c r="H14" i="23"/>
  <c r="N13" i="23"/>
  <c r="M13" i="23"/>
  <c r="I13" i="23"/>
  <c r="H13" i="23"/>
  <c r="E8" i="23"/>
  <c r="E7" i="23"/>
  <c r="E6" i="23"/>
  <c r="E5" i="23"/>
  <c r="E4" i="23"/>
  <c r="O23" i="24"/>
  <c r="B22" i="24"/>
  <c r="B21" i="24"/>
  <c r="B20" i="24"/>
  <c r="B19" i="24"/>
  <c r="B18" i="24"/>
  <c r="B17" i="24"/>
  <c r="B16" i="24"/>
  <c r="B15" i="24"/>
  <c r="B14" i="24"/>
  <c r="AP13" i="24"/>
  <c r="AO13" i="24"/>
  <c r="AN13" i="24"/>
  <c r="AM13" i="24"/>
  <c r="AL13" i="24"/>
  <c r="AJ13" i="24"/>
  <c r="AH13" i="24"/>
  <c r="AG13" i="24"/>
  <c r="AE13" i="24"/>
  <c r="AD13" i="24"/>
  <c r="AC13" i="24"/>
  <c r="AB13" i="24"/>
  <c r="AA13" i="24"/>
  <c r="Y13" i="24"/>
  <c r="X13" i="24"/>
  <c r="W13" i="24"/>
  <c r="V13" i="24"/>
  <c r="AL12" i="24"/>
  <c r="AJ12" i="24"/>
  <c r="AH12" i="24"/>
  <c r="AG12" i="24"/>
  <c r="AE12" i="24"/>
  <c r="AD12" i="24"/>
  <c r="AC12" i="24"/>
  <c r="AB12" i="24"/>
  <c r="AA12" i="24"/>
  <c r="Y12" i="24"/>
  <c r="X12" i="24"/>
  <c r="W12" i="24"/>
  <c r="V12" i="24"/>
  <c r="AL11" i="24"/>
  <c r="AJ11" i="24"/>
  <c r="AH11" i="24"/>
  <c r="AG11" i="24"/>
  <c r="AE11" i="24"/>
  <c r="AD11" i="24"/>
  <c r="AC11" i="24"/>
  <c r="AB11" i="24"/>
  <c r="AA11" i="24"/>
  <c r="Y11" i="24"/>
  <c r="X11" i="24"/>
  <c r="W11" i="24"/>
  <c r="V11" i="24"/>
  <c r="K11" i="24"/>
  <c r="I11" i="24"/>
  <c r="AL10" i="24"/>
  <c r="AJ10" i="24"/>
  <c r="AH10" i="24"/>
  <c r="AG10" i="24"/>
  <c r="AE10" i="24"/>
  <c r="AD10" i="24"/>
  <c r="AC10" i="24"/>
  <c r="AB10" i="24"/>
  <c r="AA10" i="24"/>
  <c r="Y10" i="24"/>
  <c r="X10" i="24"/>
  <c r="W10" i="24"/>
  <c r="V10" i="24"/>
  <c r="I10" i="24"/>
  <c r="E10" i="24"/>
  <c r="AL9" i="24"/>
  <c r="AJ9" i="24"/>
  <c r="AH9" i="24"/>
  <c r="AG9" i="24"/>
  <c r="AE9" i="24"/>
  <c r="AD9" i="24"/>
  <c r="AC9" i="24"/>
  <c r="AB9" i="24"/>
  <c r="AA9" i="24"/>
  <c r="Y9" i="24"/>
  <c r="X9" i="24"/>
  <c r="W9" i="24"/>
  <c r="V9" i="24"/>
  <c r="K9" i="24"/>
  <c r="I9" i="24"/>
  <c r="E9" i="24"/>
  <c r="AL8" i="24"/>
  <c r="AJ8" i="24"/>
  <c r="AH8" i="24"/>
  <c r="AG8" i="24"/>
  <c r="AE8" i="24"/>
  <c r="AD8" i="24"/>
  <c r="AC8" i="24"/>
  <c r="AB8" i="24"/>
  <c r="AA8" i="24"/>
  <c r="Y8" i="24"/>
  <c r="X8" i="24"/>
  <c r="W8" i="24"/>
  <c r="V8" i="24"/>
  <c r="K8" i="24"/>
  <c r="I8" i="24"/>
  <c r="E8" i="24"/>
  <c r="AL7" i="24"/>
  <c r="AJ7" i="24"/>
  <c r="AH7" i="24"/>
  <c r="AG7" i="24"/>
  <c r="AE7" i="24"/>
  <c r="AD7" i="24"/>
  <c r="AC7" i="24"/>
  <c r="AB7" i="24"/>
  <c r="AA7" i="24"/>
  <c r="Y7" i="24"/>
  <c r="X7" i="24"/>
  <c r="W7" i="24"/>
  <c r="V7" i="24"/>
  <c r="K7" i="24"/>
  <c r="I7" i="24"/>
  <c r="E7" i="24"/>
  <c r="K6" i="24"/>
  <c r="E6" i="24"/>
  <c r="D12" i="40"/>
  <c r="D43" i="16" s="1"/>
  <c r="BB9" i="39"/>
  <c r="AZ9" i="39"/>
  <c r="AS9" i="39"/>
  <c r="AQ9" i="39"/>
  <c r="AA9" i="39"/>
  <c r="Y9" i="39"/>
  <c r="Q9" i="39"/>
  <c r="O9" i="39"/>
  <c r="I32" i="31"/>
  <c r="I31" i="31"/>
  <c r="I30" i="31"/>
  <c r="I29" i="31"/>
  <c r="I7" i="31"/>
  <c r="I6" i="31"/>
  <c r="I5" i="31"/>
  <c r="I4" i="31"/>
  <c r="AG36" i="17"/>
  <c r="AG35" i="17"/>
  <c r="AG33" i="17"/>
  <c r="AG32" i="17"/>
  <c r="AG31" i="17"/>
  <c r="AG30" i="17"/>
  <c r="AG29" i="17"/>
  <c r="AG27" i="17"/>
  <c r="Q27" i="17"/>
  <c r="R27" i="17" s="1"/>
  <c r="AG26" i="17"/>
  <c r="Q26" i="17"/>
  <c r="S26" i="17" s="1"/>
  <c r="AG25" i="17"/>
  <c r="Q25" i="17"/>
  <c r="R25" i="17" s="1"/>
  <c r="J25" i="17"/>
  <c r="I25" i="17"/>
  <c r="H25" i="17"/>
  <c r="AG24" i="17"/>
  <c r="Q24" i="17"/>
  <c r="S24" i="17" s="1"/>
  <c r="J24" i="17"/>
  <c r="I24" i="17"/>
  <c r="H24" i="17"/>
  <c r="AG23" i="17"/>
  <c r="Q23" i="17"/>
  <c r="S23" i="17" s="1"/>
  <c r="J23" i="17"/>
  <c r="I23" i="17"/>
  <c r="H23" i="17"/>
  <c r="AG22" i="17"/>
  <c r="J22" i="17"/>
  <c r="I22" i="17"/>
  <c r="H22" i="17"/>
  <c r="AG21" i="17"/>
  <c r="J21" i="17"/>
  <c r="I21" i="17"/>
  <c r="H21" i="17"/>
  <c r="AG20" i="17"/>
  <c r="J20" i="17"/>
  <c r="I20" i="17"/>
  <c r="H20" i="17"/>
  <c r="Q19" i="17"/>
  <c r="S19" i="17" s="1"/>
  <c r="J19" i="17"/>
  <c r="I19" i="17"/>
  <c r="H19" i="17"/>
  <c r="AG18" i="17"/>
  <c r="Q18" i="17"/>
  <c r="S18" i="17" s="1"/>
  <c r="J18" i="17"/>
  <c r="I18" i="17"/>
  <c r="H18" i="17"/>
  <c r="AG17" i="17"/>
  <c r="Q17" i="17"/>
  <c r="S17" i="17" s="1"/>
  <c r="J17" i="17"/>
  <c r="I17" i="17"/>
  <c r="H17" i="17"/>
  <c r="AG16" i="17"/>
  <c r="Q16" i="17"/>
  <c r="R16" i="17" s="1"/>
  <c r="AG15" i="17"/>
  <c r="Q15" i="17"/>
  <c r="S15" i="17" s="1"/>
  <c r="J15" i="17"/>
  <c r="I15" i="17"/>
  <c r="H15" i="17"/>
  <c r="AX14" i="17"/>
  <c r="AX16" i="17" s="1"/>
  <c r="AG14" i="17"/>
  <c r="J14" i="17"/>
  <c r="I14" i="17"/>
  <c r="H14" i="17"/>
  <c r="AX13" i="17"/>
  <c r="AX15" i="17" s="1"/>
  <c r="J13" i="17"/>
  <c r="I13" i="17"/>
  <c r="H13" i="17"/>
  <c r="J12" i="17"/>
  <c r="I12" i="17"/>
  <c r="H12" i="17"/>
  <c r="J11" i="17"/>
  <c r="I11" i="17"/>
  <c r="H11" i="17"/>
  <c r="Z10" i="17"/>
  <c r="U10" i="17"/>
  <c r="J10" i="17"/>
  <c r="I10" i="17"/>
  <c r="H10" i="17"/>
  <c r="Z9" i="17"/>
  <c r="U9" i="17"/>
  <c r="J9" i="17"/>
  <c r="I9" i="17"/>
  <c r="H9" i="17"/>
  <c r="Z8" i="17"/>
  <c r="U8" i="17"/>
  <c r="J8" i="17"/>
  <c r="I8" i="17"/>
  <c r="H8" i="17"/>
  <c r="BB7" i="17"/>
  <c r="Z7" i="17"/>
  <c r="U7" i="17"/>
  <c r="J7" i="17"/>
  <c r="I7" i="17"/>
  <c r="H7" i="17"/>
  <c r="Z6" i="17"/>
  <c r="U6" i="17"/>
  <c r="D144" i="16"/>
  <c r="D143" i="16"/>
  <c r="D126" i="16"/>
  <c r="F116" i="16"/>
  <c r="F115" i="16"/>
  <c r="F114" i="16"/>
  <c r="F113" i="16"/>
  <c r="F112" i="16"/>
  <c r="D94" i="16"/>
  <c r="D93" i="16"/>
  <c r="D92" i="16"/>
  <c r="D91" i="16"/>
  <c r="D90" i="16"/>
  <c r="D85" i="16"/>
  <c r="D84" i="16"/>
  <c r="D83" i="16"/>
  <c r="D82" i="16"/>
  <c r="D81" i="16"/>
  <c r="D80" i="16"/>
  <c r="D76" i="16"/>
  <c r="D74" i="16"/>
  <c r="D73" i="16"/>
  <c r="D72" i="16"/>
  <c r="D71" i="16"/>
  <c r="D70" i="16"/>
  <c r="D69" i="16"/>
  <c r="D67" i="16"/>
  <c r="W50" i="23" l="1"/>
  <c r="W13" i="23"/>
  <c r="X13" i="23"/>
  <c r="D142" i="16"/>
  <c r="D14" i="16"/>
  <c r="AJ7" i="17"/>
  <c r="AN7" i="17" s="1"/>
  <c r="AP7" i="17" s="1"/>
  <c r="AQ7" i="17" s="1"/>
  <c r="AR7" i="17" s="1"/>
  <c r="O7" i="17"/>
  <c r="P7" i="17" s="1"/>
  <c r="R23" i="17"/>
  <c r="S25" i="17"/>
  <c r="AG37" i="17"/>
  <c r="R15" i="17"/>
  <c r="R19" i="17"/>
  <c r="R26" i="17"/>
  <c r="R24" i="17"/>
  <c r="S16" i="17"/>
  <c r="R18" i="17"/>
  <c r="S27" i="17"/>
  <c r="R17" i="17"/>
  <c r="E45" i="39"/>
  <c r="E48" i="39"/>
  <c r="E13" i="39"/>
  <c r="E41" i="39"/>
  <c r="E25" i="39"/>
  <c r="E40" i="39"/>
  <c r="E24" i="39"/>
  <c r="E38" i="39"/>
  <c r="E44" i="39"/>
  <c r="E29" i="39"/>
  <c r="E10" i="39"/>
  <c r="E16" i="39"/>
  <c r="E30" i="39"/>
  <c r="E14" i="39"/>
  <c r="E32" i="39"/>
  <c r="E43" i="39"/>
  <c r="E21" i="39"/>
  <c r="E12" i="39"/>
  <c r="E31" i="39"/>
  <c r="E46" i="39"/>
  <c r="E28" i="39"/>
  <c r="E18" i="39"/>
  <c r="E33" i="39"/>
  <c r="E34" i="39"/>
  <c r="E19" i="39"/>
  <c r="E36" i="39"/>
  <c r="E37" i="39"/>
  <c r="E20" i="39"/>
  <c r="E22" i="39"/>
  <c r="E23" i="39"/>
  <c r="E35" i="39"/>
  <c r="E11" i="39"/>
  <c r="E15" i="39"/>
  <c r="E17" i="39"/>
  <c r="E39" i="39"/>
  <c r="E26" i="39"/>
  <c r="E27" i="39"/>
  <c r="E9" i="39"/>
  <c r="E47" i="39"/>
  <c r="R27" i="23"/>
  <c r="R13" i="23"/>
  <c r="R16" i="23"/>
  <c r="S27" i="23"/>
  <c r="R18" i="23"/>
  <c r="S25" i="23"/>
  <c r="R25" i="23"/>
  <c r="R30" i="23"/>
  <c r="R15" i="23"/>
  <c r="R23" i="23"/>
  <c r="R17" i="23"/>
  <c r="S47" i="23"/>
  <c r="R14" i="23"/>
  <c r="S14" i="23"/>
  <c r="S21" i="23"/>
  <c r="R48" i="23"/>
  <c r="S16" i="23"/>
  <c r="S34" i="23"/>
  <c r="R19" i="23"/>
  <c r="R29" i="23"/>
  <c r="S40" i="23"/>
  <c r="S19" i="23"/>
  <c r="S29" i="23"/>
  <c r="S13" i="23"/>
  <c r="S15" i="23"/>
  <c r="S17" i="23"/>
  <c r="R28" i="23"/>
  <c r="S38" i="23"/>
  <c r="R26" i="23"/>
  <c r="R38" i="23"/>
  <c r="S46" i="23"/>
  <c r="R24" i="23"/>
  <c r="S33" i="23"/>
  <c r="R22" i="23"/>
  <c r="R20" i="23"/>
  <c r="S31" i="23"/>
  <c r="R36" i="23"/>
  <c r="S44" i="23"/>
  <c r="S49" i="23"/>
  <c r="R21" i="23"/>
  <c r="S23" i="23"/>
  <c r="R32" i="23"/>
  <c r="S50" i="23"/>
  <c r="R34" i="23"/>
  <c r="S36" i="23"/>
  <c r="R44" i="23"/>
  <c r="S51" i="23"/>
  <c r="T51" i="23" s="1"/>
  <c r="S18" i="23"/>
  <c r="S20" i="23"/>
  <c r="S24" i="23"/>
  <c r="S26" i="23"/>
  <c r="S22" i="23"/>
  <c r="S28" i="23"/>
  <c r="S35" i="23"/>
  <c r="S45" i="23"/>
  <c r="R31" i="23"/>
  <c r="S37" i="23"/>
  <c r="R42" i="23"/>
  <c r="D145" i="16"/>
  <c r="R40" i="23"/>
  <c r="S42" i="23"/>
  <c r="S30" i="23"/>
  <c r="S32" i="23"/>
  <c r="S43" i="23"/>
  <c r="S41" i="23"/>
  <c r="S39" i="23"/>
  <c r="R50" i="23"/>
  <c r="R46" i="23"/>
  <c r="S48" i="23"/>
  <c r="R33" i="23"/>
  <c r="R35" i="23"/>
  <c r="R37" i="23"/>
  <c r="R39" i="23"/>
  <c r="R41" i="23"/>
  <c r="R43" i="23"/>
  <c r="R45" i="23"/>
  <c r="R47" i="23"/>
  <c r="R49" i="23"/>
  <c r="W15" i="23"/>
  <c r="X23" i="23"/>
  <c r="X37" i="23"/>
  <c r="X47" i="23"/>
  <c r="W49" i="23"/>
  <c r="X49" i="23"/>
  <c r="W28" i="23"/>
  <c r="X32" i="23"/>
  <c r="J27" i="23"/>
  <c r="J17" i="23"/>
  <c r="W40" i="23"/>
  <c r="D59" i="16"/>
  <c r="W24" i="23"/>
  <c r="X40" i="23"/>
  <c r="X29" i="23"/>
  <c r="J39" i="23"/>
  <c r="J32" i="23"/>
  <c r="J34" i="23"/>
  <c r="W37" i="23"/>
  <c r="X42" i="23"/>
  <c r="W51" i="23"/>
  <c r="X16" i="23"/>
  <c r="W27" i="23"/>
  <c r="W34" i="23"/>
  <c r="W39" i="23"/>
  <c r="W46" i="23"/>
  <c r="W16" i="23"/>
  <c r="W25" i="23"/>
  <c r="W18" i="23"/>
  <c r="X27" i="23"/>
  <c r="W36" i="23"/>
  <c r="X39" i="23"/>
  <c r="X46" i="23"/>
  <c r="J21" i="23"/>
  <c r="X36" i="23"/>
  <c r="J40" i="23"/>
  <c r="X15" i="23"/>
  <c r="X24" i="23"/>
  <c r="X41" i="23"/>
  <c r="J16" i="23"/>
  <c r="W33" i="23"/>
  <c r="X38" i="23"/>
  <c r="X14" i="23"/>
  <c r="X19" i="23"/>
  <c r="W45" i="23"/>
  <c r="X50" i="23"/>
  <c r="Y50" i="23" s="1"/>
  <c r="X21" i="23"/>
  <c r="J45" i="23"/>
  <c r="J50" i="23"/>
  <c r="X51" i="23"/>
  <c r="W21" i="23"/>
  <c r="X26" i="23"/>
  <c r="J30" i="23"/>
  <c r="X31" i="23"/>
  <c r="J47" i="23"/>
  <c r="J22" i="23"/>
  <c r="J42" i="23"/>
  <c r="J14" i="23"/>
  <c r="X18" i="23"/>
  <c r="X28" i="23"/>
  <c r="J19" i="23"/>
  <c r="J29" i="23"/>
  <c r="X25" i="23"/>
  <c r="X35" i="23"/>
  <c r="W43" i="23"/>
  <c r="W48" i="23"/>
  <c r="X17" i="23"/>
  <c r="W22" i="23"/>
  <c r="X30" i="23"/>
  <c r="X43" i="23"/>
  <c r="J18" i="23"/>
  <c r="J23" i="23"/>
  <c r="J31" i="23"/>
  <c r="J44" i="23"/>
  <c r="J28" i="23"/>
  <c r="J33" i="23"/>
  <c r="J41" i="23"/>
  <c r="J51" i="23"/>
  <c r="J20" i="23"/>
  <c r="J25" i="23"/>
  <c r="O19" i="23"/>
  <c r="J36" i="23"/>
  <c r="X48" i="23"/>
  <c r="J15" i="23"/>
  <c r="J46" i="23"/>
  <c r="O43" i="23"/>
  <c r="J43" i="23"/>
  <c r="O34" i="23"/>
  <c r="O31" i="23"/>
  <c r="O28" i="23"/>
  <c r="O25" i="23"/>
  <c r="J13" i="23"/>
  <c r="X20" i="23"/>
  <c r="O22" i="23"/>
  <c r="J24" i="23"/>
  <c r="W31" i="23"/>
  <c r="X34" i="23"/>
  <c r="J38" i="23"/>
  <c r="W42" i="23"/>
  <c r="X45" i="23"/>
  <c r="J49" i="23"/>
  <c r="J35" i="23"/>
  <c r="O40" i="23"/>
  <c r="O37" i="23"/>
  <c r="O16" i="23"/>
  <c r="O13" i="23"/>
  <c r="O49" i="23"/>
  <c r="W19" i="23"/>
  <c r="X22" i="23"/>
  <c r="J26" i="23"/>
  <c r="W30" i="23"/>
  <c r="X33" i="23"/>
  <c r="J37" i="23"/>
  <c r="X44" i="23"/>
  <c r="O46" i="23"/>
  <c r="J48" i="23"/>
  <c r="O15" i="23"/>
  <c r="O18" i="23"/>
  <c r="O21" i="23"/>
  <c r="O24" i="23"/>
  <c r="O30" i="23"/>
  <c r="O33" i="23"/>
  <c r="O36" i="23"/>
  <c r="O39" i="23"/>
  <c r="O42" i="23"/>
  <c r="O45" i="23"/>
  <c r="O48" i="23"/>
  <c r="O51" i="23"/>
  <c r="O14" i="23"/>
  <c r="O20" i="23"/>
  <c r="O27" i="23"/>
  <c r="W14" i="23"/>
  <c r="W17" i="23"/>
  <c r="W20" i="23"/>
  <c r="W23" i="23"/>
  <c r="W26" i="23"/>
  <c r="W29" i="23"/>
  <c r="W32" i="23"/>
  <c r="W35" i="23"/>
  <c r="W38" i="23"/>
  <c r="W41" i="23"/>
  <c r="W44" i="23"/>
  <c r="W47" i="23"/>
  <c r="O26" i="23"/>
  <c r="O32" i="23"/>
  <c r="O23" i="23"/>
  <c r="O29" i="23"/>
  <c r="O38" i="23"/>
  <c r="O44" i="23"/>
  <c r="O47" i="23"/>
  <c r="O50" i="23"/>
  <c r="O17" i="23"/>
  <c r="O35" i="23"/>
  <c r="O41" i="23"/>
  <c r="D29" i="40"/>
  <c r="D32" i="40"/>
  <c r="D31" i="40"/>
  <c r="D114" i="16" s="1"/>
  <c r="D21" i="40"/>
  <c r="D33" i="40"/>
  <c r="D28" i="40"/>
  <c r="D23" i="40"/>
  <c r="D35" i="40"/>
  <c r="D30" i="40"/>
  <c r="D19" i="40"/>
  <c r="D25" i="40"/>
  <c r="D20" i="40"/>
  <c r="D26" i="40"/>
  <c r="L844" i="42"/>
  <c r="L227" i="42"/>
  <c r="L659" i="42"/>
  <c r="L731" i="42"/>
  <c r="L959" i="42"/>
  <c r="L952" i="42"/>
  <c r="L935" i="42"/>
  <c r="L923" i="42"/>
  <c r="L899" i="42"/>
  <c r="L887" i="42"/>
  <c r="L863" i="42"/>
  <c r="L851" i="42"/>
  <c r="L827" i="42"/>
  <c r="L821" i="42"/>
  <c r="L815" i="42"/>
  <c r="L785" i="42"/>
  <c r="L784" i="42"/>
  <c r="L767" i="42"/>
  <c r="L712" i="42"/>
  <c r="L665" i="42"/>
  <c r="L556" i="42"/>
  <c r="L365" i="42"/>
  <c r="L341" i="42"/>
  <c r="L329" i="42"/>
  <c r="L323" i="42"/>
  <c r="L311" i="42"/>
  <c r="L287" i="42"/>
  <c r="L281" i="42"/>
  <c r="L185" i="42"/>
  <c r="L173" i="42"/>
  <c r="L131" i="42"/>
  <c r="L107" i="42"/>
  <c r="L71" i="42"/>
  <c r="L23" i="42"/>
  <c r="L11" i="42"/>
  <c r="D17" i="40"/>
  <c r="D50" i="16" s="1"/>
  <c r="D27" i="40"/>
  <c r="D22" i="40"/>
  <c r="D34" i="40"/>
  <c r="D124" i="16" s="1"/>
  <c r="D24" i="40"/>
  <c r="D8" i="40"/>
  <c r="O9" i="17" s="1"/>
  <c r="D13" i="40"/>
  <c r="D5" i="40"/>
  <c r="D9" i="40"/>
  <c r="D14" i="40"/>
  <c r="D44" i="16" s="1"/>
  <c r="D36" i="40"/>
  <c r="D11" i="40"/>
  <c r="D15" i="40"/>
  <c r="Y23" i="26" s="1"/>
  <c r="D18" i="40"/>
  <c r="D7" i="40"/>
  <c r="L456" i="42"/>
  <c r="L444" i="42"/>
  <c r="L82" i="42"/>
  <c r="L94" i="42"/>
  <c r="L106" i="42"/>
  <c r="L118" i="42"/>
  <c r="L130" i="42"/>
  <c r="L142" i="42"/>
  <c r="L166" i="42"/>
  <c r="L190" i="42"/>
  <c r="L202" i="42"/>
  <c r="L220" i="42"/>
  <c r="L226" i="42"/>
  <c r="L238" i="42"/>
  <c r="L250" i="42"/>
  <c r="L262" i="42"/>
  <c r="L280" i="42"/>
  <c r="L286" i="42"/>
  <c r="L310" i="42"/>
  <c r="L334" i="42"/>
  <c r="L346" i="42"/>
  <c r="L382" i="42"/>
  <c r="L394" i="42"/>
  <c r="L418" i="42"/>
  <c r="L430" i="42"/>
  <c r="L48" i="42"/>
  <c r="L60" i="42"/>
  <c r="L324" i="42"/>
  <c r="L87" i="42"/>
  <c r="L117" i="42"/>
  <c r="L171" i="42"/>
  <c r="L177" i="42"/>
  <c r="L631" i="42"/>
  <c r="L739" i="42"/>
  <c r="L751" i="42"/>
  <c r="L775" i="42"/>
  <c r="L805" i="42"/>
  <c r="L817" i="42"/>
  <c r="L829" i="42"/>
  <c r="L841" i="42"/>
  <c r="L865" i="42"/>
  <c r="L871" i="42"/>
  <c r="L907" i="42"/>
  <c r="L919" i="42"/>
  <c r="L931" i="42"/>
  <c r="L955" i="42"/>
  <c r="L979" i="42"/>
  <c r="L56" i="42"/>
  <c r="L68" i="42"/>
  <c r="L224" i="42"/>
  <c r="L296" i="42"/>
  <c r="L332" i="42"/>
  <c r="L368" i="42"/>
  <c r="L446" i="42"/>
  <c r="L494" i="42"/>
  <c r="L506" i="42"/>
  <c r="L530" i="42"/>
  <c r="L542" i="42"/>
  <c r="L560" i="42"/>
  <c r="L566" i="42"/>
  <c r="L578" i="42"/>
  <c r="L602" i="42"/>
  <c r="L626" i="42"/>
  <c r="L662" i="42"/>
  <c r="L698" i="42"/>
  <c r="L746" i="42"/>
  <c r="L770" i="42"/>
  <c r="L806" i="42"/>
  <c r="L854" i="42"/>
  <c r="L902" i="42"/>
  <c r="L914" i="42"/>
  <c r="L938" i="42"/>
  <c r="L944" i="42"/>
  <c r="L950" i="42"/>
  <c r="L962" i="42"/>
  <c r="L555" i="42"/>
  <c r="L573" i="42"/>
  <c r="L597" i="42"/>
  <c r="L693" i="42"/>
  <c r="L705" i="42"/>
  <c r="L723" i="42"/>
  <c r="L747" i="42"/>
  <c r="L759" i="42"/>
  <c r="L801" i="42"/>
  <c r="L807" i="42"/>
  <c r="L819" i="42"/>
  <c r="L831" i="42"/>
  <c r="L855" i="42"/>
  <c r="L873" i="42"/>
  <c r="L879" i="42"/>
  <c r="L891" i="42"/>
  <c r="L903" i="42"/>
  <c r="L933" i="42"/>
  <c r="L939" i="42"/>
  <c r="L957" i="42"/>
  <c r="L975" i="42"/>
  <c r="L471" i="42"/>
  <c r="L57" i="42"/>
  <c r="L90" i="42"/>
  <c r="L138" i="42"/>
  <c r="L150" i="42"/>
  <c r="L162" i="42"/>
  <c r="L186" i="42"/>
  <c r="L234" i="42"/>
  <c r="L246" i="42"/>
  <c r="L264" i="42"/>
  <c r="L270" i="42"/>
  <c r="L276" i="42"/>
  <c r="L282" i="42"/>
  <c r="L294" i="42"/>
  <c r="L306" i="42"/>
  <c r="L318" i="42"/>
  <c r="L342" i="42"/>
  <c r="L378" i="42"/>
  <c r="L390" i="42"/>
  <c r="L414" i="42"/>
  <c r="L426" i="42"/>
  <c r="L534" i="42"/>
  <c r="L546" i="42"/>
  <c r="L558" i="42"/>
  <c r="L606" i="42"/>
  <c r="L630" i="42"/>
  <c r="L654" i="42"/>
  <c r="L690" i="42"/>
  <c r="L702" i="42"/>
  <c r="L714" i="42"/>
  <c r="L738" i="42"/>
  <c r="L756" i="42"/>
  <c r="L774" i="42"/>
  <c r="L786" i="42"/>
  <c r="L798" i="42"/>
  <c r="L810" i="42"/>
  <c r="L822" i="42"/>
  <c r="L828" i="42"/>
  <c r="L846" i="42"/>
  <c r="L870" i="42"/>
  <c r="L882" i="42"/>
  <c r="L894" i="42"/>
  <c r="L924" i="42"/>
  <c r="L942" i="42"/>
  <c r="L948" i="42"/>
  <c r="L966" i="42"/>
  <c r="L25" i="42"/>
  <c r="L55" i="42"/>
  <c r="L61" i="42"/>
  <c r="L433" i="42"/>
  <c r="L86" i="42"/>
  <c r="L98" i="42"/>
  <c r="L110" i="42"/>
  <c r="L146" i="42"/>
  <c r="L158" i="42"/>
  <c r="L170" i="42"/>
  <c r="L176" i="42"/>
  <c r="L182" i="42"/>
  <c r="L194" i="42"/>
  <c r="L374" i="42"/>
  <c r="L529" i="42"/>
  <c r="L207" i="42"/>
  <c r="L279" i="42"/>
  <c r="L285" i="42"/>
  <c r="L309" i="42"/>
  <c r="L399" i="42"/>
  <c r="L76" i="42"/>
  <c r="L454" i="42"/>
  <c r="L490" i="42"/>
  <c r="L502" i="42"/>
  <c r="L526" i="42"/>
  <c r="L41" i="42"/>
  <c r="L366" i="42"/>
  <c r="L336" i="42"/>
  <c r="L73" i="42"/>
  <c r="L85" i="42"/>
  <c r="L91" i="42"/>
  <c r="L97" i="42"/>
  <c r="L103" i="42"/>
  <c r="L121" i="42"/>
  <c r="L217" i="42"/>
  <c r="L235" i="42"/>
  <c r="L271" i="42"/>
  <c r="L367" i="42"/>
  <c r="L372" i="42"/>
  <c r="L450" i="42"/>
  <c r="L462" i="42"/>
  <c r="L486" i="42"/>
  <c r="L498" i="42"/>
  <c r="L510" i="42"/>
  <c r="L629" i="42"/>
  <c r="L38" i="42"/>
  <c r="L50" i="42"/>
  <c r="L62" i="42"/>
  <c r="L978" i="42"/>
  <c r="L206" i="42"/>
  <c r="L230" i="42"/>
  <c r="L242" i="42"/>
  <c r="L254" i="42"/>
  <c r="L290" i="42"/>
  <c r="L326" i="42"/>
  <c r="L338" i="42"/>
  <c r="L475" i="42"/>
  <c r="L648" i="42"/>
  <c r="L780" i="42"/>
  <c r="L804" i="42"/>
  <c r="L960" i="42"/>
  <c r="L984" i="42"/>
  <c r="L15" i="42"/>
  <c r="L128" i="42"/>
  <c r="L188" i="42"/>
  <c r="L380" i="42"/>
  <c r="L410" i="42"/>
  <c r="L422" i="42"/>
  <c r="L434" i="42"/>
  <c r="L985" i="42"/>
  <c r="L518" i="42"/>
  <c r="L70" i="42"/>
  <c r="L153" i="42"/>
  <c r="L974" i="42"/>
  <c r="L986" i="42"/>
  <c r="L358" i="42"/>
  <c r="L483" i="42"/>
  <c r="L507" i="42"/>
  <c r="L513" i="42"/>
  <c r="L788" i="42"/>
  <c r="L800" i="42"/>
  <c r="L872" i="42"/>
  <c r="L956" i="42"/>
  <c r="L100" i="42"/>
  <c r="L256" i="42"/>
  <c r="L292" i="42"/>
  <c r="L316" i="42"/>
  <c r="L897" i="42"/>
  <c r="L909" i="42"/>
  <c r="L30" i="42"/>
  <c r="L66" i="42"/>
  <c r="L257" i="42"/>
  <c r="L538" i="42"/>
  <c r="L562" i="42"/>
  <c r="L586" i="42"/>
  <c r="L610" i="42"/>
  <c r="L622" i="42"/>
  <c r="L646" i="42"/>
  <c r="L670" i="42"/>
  <c r="L682" i="42"/>
  <c r="L694" i="42"/>
  <c r="L706" i="42"/>
  <c r="L730" i="42"/>
  <c r="L742" i="42"/>
  <c r="L802" i="42"/>
  <c r="L814" i="42"/>
  <c r="L898" i="42"/>
  <c r="L934" i="42"/>
  <c r="L982" i="42"/>
  <c r="L994" i="42"/>
  <c r="L1006" i="42"/>
  <c r="L1007" i="42"/>
  <c r="L1005" i="42"/>
  <c r="L1004" i="42"/>
  <c r="L1003" i="42"/>
  <c r="L1002" i="42"/>
  <c r="L1001" i="42"/>
  <c r="L1000" i="42"/>
  <c r="L999" i="42"/>
  <c r="L998" i="42"/>
  <c r="L997" i="42"/>
  <c r="L996" i="42"/>
  <c r="L995" i="42"/>
  <c r="L993" i="42"/>
  <c r="L992" i="42"/>
  <c r="L991" i="42"/>
  <c r="L990" i="42"/>
  <c r="L989" i="42"/>
  <c r="L988" i="42"/>
  <c r="L987" i="42"/>
  <c r="L983" i="42"/>
  <c r="L981" i="42"/>
  <c r="L980" i="42"/>
  <c r="L977" i="42"/>
  <c r="L976" i="42"/>
  <c r="L973" i="42"/>
  <c r="L972" i="42"/>
  <c r="L971" i="42"/>
  <c r="L970" i="42"/>
  <c r="L969" i="42"/>
  <c r="L968" i="42"/>
  <c r="L967" i="42"/>
  <c r="L965" i="42"/>
  <c r="L964" i="42"/>
  <c r="L963" i="42"/>
  <c r="L961" i="42"/>
  <c r="L958" i="42"/>
  <c r="L954" i="42"/>
  <c r="L953" i="42"/>
  <c r="L951" i="42"/>
  <c r="L949" i="42"/>
  <c r="L947" i="42"/>
  <c r="L946" i="42"/>
  <c r="L945" i="42"/>
  <c r="L943" i="42"/>
  <c r="L941" i="42"/>
  <c r="L940" i="42"/>
  <c r="L937" i="42"/>
  <c r="L936" i="42"/>
  <c r="L932" i="42"/>
  <c r="L930" i="42"/>
  <c r="L929" i="42"/>
  <c r="L928" i="42"/>
  <c r="L927" i="42"/>
  <c r="L926" i="42"/>
  <c r="L925" i="42"/>
  <c r="L922" i="42"/>
  <c r="L921" i="42"/>
  <c r="L920" i="42"/>
  <c r="L918" i="42"/>
  <c r="L917" i="42"/>
  <c r="L916" i="42"/>
  <c r="L915" i="42"/>
  <c r="L913" i="42"/>
  <c r="L912" i="42"/>
  <c r="L911" i="42"/>
  <c r="L910" i="42"/>
  <c r="L908" i="42"/>
  <c r="L906" i="42"/>
  <c r="L905" i="42"/>
  <c r="L904" i="42"/>
  <c r="L901" i="42"/>
  <c r="L900" i="42"/>
  <c r="L896" i="42"/>
  <c r="L895" i="42"/>
  <c r="L893" i="42"/>
  <c r="L892" i="42"/>
  <c r="L890" i="42"/>
  <c r="L889" i="42"/>
  <c r="L888" i="42"/>
  <c r="L886" i="42"/>
  <c r="L885" i="42"/>
  <c r="L884" i="42"/>
  <c r="L883" i="42"/>
  <c r="L881" i="42"/>
  <c r="L880" i="42"/>
  <c r="L878" i="42"/>
  <c r="L877" i="42"/>
  <c r="L876" i="42"/>
  <c r="L875" i="42"/>
  <c r="L874" i="42"/>
  <c r="L869" i="42"/>
  <c r="L868" i="42"/>
  <c r="L867" i="42"/>
  <c r="L866" i="42"/>
  <c r="L864" i="42"/>
  <c r="L862" i="42"/>
  <c r="L861" i="42"/>
  <c r="L860" i="42"/>
  <c r="L859" i="42"/>
  <c r="L858" i="42"/>
  <c r="L857" i="42"/>
  <c r="L856" i="42"/>
  <c r="L853" i="42"/>
  <c r="L852" i="42"/>
  <c r="L850" i="42"/>
  <c r="L849" i="42"/>
  <c r="L848" i="42"/>
  <c r="L847" i="42"/>
  <c r="L845" i="42"/>
  <c r="L843" i="42"/>
  <c r="L842" i="42"/>
  <c r="L840" i="42"/>
  <c r="L839" i="42"/>
  <c r="L838" i="42"/>
  <c r="L837" i="42"/>
  <c r="L836" i="42"/>
  <c r="L835" i="42"/>
  <c r="L834" i="42"/>
  <c r="L833" i="42"/>
  <c r="L832" i="42"/>
  <c r="L830" i="42"/>
  <c r="L826" i="42"/>
  <c r="L825" i="42"/>
  <c r="L824" i="42"/>
  <c r="L823" i="42"/>
  <c r="L820" i="42"/>
  <c r="L818" i="42"/>
  <c r="L816" i="42"/>
  <c r="L813" i="42"/>
  <c r="L812" i="42"/>
  <c r="L811" i="42"/>
  <c r="L809" i="42"/>
  <c r="L808" i="42"/>
  <c r="L803" i="42"/>
  <c r="L799" i="42"/>
  <c r="L797" i="42"/>
  <c r="L796" i="42"/>
  <c r="L795" i="42"/>
  <c r="L794" i="42"/>
  <c r="L793" i="42"/>
  <c r="L792" i="42"/>
  <c r="L791" i="42"/>
  <c r="L790" i="42"/>
  <c r="L789" i="42"/>
  <c r="L787" i="42"/>
  <c r="L783" i="42"/>
  <c r="L782" i="42"/>
  <c r="L781" i="42"/>
  <c r="L779" i="42"/>
  <c r="L778" i="42"/>
  <c r="L777" i="42"/>
  <c r="L776" i="42"/>
  <c r="L773" i="42"/>
  <c r="L772" i="42"/>
  <c r="L771" i="42"/>
  <c r="L769" i="42"/>
  <c r="L768" i="42"/>
  <c r="L766" i="42"/>
  <c r="L765" i="42"/>
  <c r="L764" i="42"/>
  <c r="L763" i="42"/>
  <c r="L762" i="42"/>
  <c r="L761" i="42"/>
  <c r="L760" i="42"/>
  <c r="L758" i="42"/>
  <c r="L757" i="42"/>
  <c r="L755" i="42"/>
  <c r="L754" i="42"/>
  <c r="L753" i="42"/>
  <c r="L752" i="42"/>
  <c r="L750" i="42"/>
  <c r="L749" i="42"/>
  <c r="L748" i="42"/>
  <c r="L745" i="42"/>
  <c r="L744" i="42"/>
  <c r="L743" i="42"/>
  <c r="L741" i="42"/>
  <c r="L740" i="42"/>
  <c r="L737" i="42"/>
  <c r="L736" i="42"/>
  <c r="L735" i="42"/>
  <c r="L734" i="42"/>
  <c r="L733" i="42"/>
  <c r="L732" i="42"/>
  <c r="L729" i="42"/>
  <c r="L728" i="42"/>
  <c r="L727" i="42"/>
  <c r="L726" i="42"/>
  <c r="L725" i="42"/>
  <c r="L724" i="42"/>
  <c r="L722" i="42"/>
  <c r="L721" i="42"/>
  <c r="L720" i="42"/>
  <c r="L719" i="42"/>
  <c r="L718" i="42"/>
  <c r="L717" i="42"/>
  <c r="L716" i="42"/>
  <c r="L715" i="42"/>
  <c r="L713" i="42"/>
  <c r="L711" i="42"/>
  <c r="L710" i="42"/>
  <c r="L709" i="42"/>
  <c r="L708" i="42"/>
  <c r="L707" i="42"/>
  <c r="L704" i="42"/>
  <c r="L703" i="42"/>
  <c r="L701" i="42"/>
  <c r="L700" i="42"/>
  <c r="L699" i="42"/>
  <c r="L697" i="42"/>
  <c r="L696" i="42"/>
  <c r="L695" i="42"/>
  <c r="L692" i="42"/>
  <c r="L691" i="42"/>
  <c r="L689" i="42"/>
  <c r="L688" i="42"/>
  <c r="L687" i="42"/>
  <c r="L686" i="42"/>
  <c r="L685" i="42"/>
  <c r="L684" i="42"/>
  <c r="L683" i="42"/>
  <c r="L681" i="42"/>
  <c r="L680" i="42"/>
  <c r="L679" i="42"/>
  <c r="L678" i="42"/>
  <c r="L677" i="42"/>
  <c r="L676" i="42"/>
  <c r="L675" i="42"/>
  <c r="L674" i="42"/>
  <c r="L673" i="42"/>
  <c r="L672" i="42"/>
  <c r="L671" i="42"/>
  <c r="L669" i="42"/>
  <c r="L668" i="42"/>
  <c r="L667" i="42"/>
  <c r="L666" i="42"/>
  <c r="L664" i="42"/>
  <c r="L663" i="42"/>
  <c r="L661" i="42"/>
  <c r="L660" i="42"/>
  <c r="L658" i="42"/>
  <c r="L657" i="42"/>
  <c r="L656" i="42"/>
  <c r="L655" i="42"/>
  <c r="L653" i="42"/>
  <c r="L652" i="42"/>
  <c r="L651" i="42"/>
  <c r="L650" i="42"/>
  <c r="L649" i="42"/>
  <c r="L647" i="42"/>
  <c r="L645" i="42"/>
  <c r="L644" i="42"/>
  <c r="L643" i="42"/>
  <c r="L642" i="42"/>
  <c r="L641" i="42"/>
  <c r="L640" i="42"/>
  <c r="L639" i="42"/>
  <c r="L638" i="42"/>
  <c r="L637" i="42"/>
  <c r="L636" i="42"/>
  <c r="L635" i="42"/>
  <c r="L634" i="42"/>
  <c r="L633" i="42"/>
  <c r="L632" i="42"/>
  <c r="L628" i="42"/>
  <c r="L627" i="42"/>
  <c r="L625" i="42"/>
  <c r="L624" i="42"/>
  <c r="L623" i="42"/>
  <c r="L621" i="42"/>
  <c r="L620" i="42"/>
  <c r="L619" i="42"/>
  <c r="L618" i="42"/>
  <c r="L617" i="42"/>
  <c r="L616" i="42"/>
  <c r="L615" i="42"/>
  <c r="L614" i="42"/>
  <c r="L613" i="42"/>
  <c r="L612" i="42"/>
  <c r="L611" i="42"/>
  <c r="L609" i="42"/>
  <c r="L608" i="42"/>
  <c r="L607" i="42"/>
  <c r="L605" i="42"/>
  <c r="L604" i="42"/>
  <c r="L603" i="42"/>
  <c r="L601" i="42"/>
  <c r="L600" i="42"/>
  <c r="L599" i="42"/>
  <c r="L598" i="42"/>
  <c r="L596" i="42"/>
  <c r="L595" i="42"/>
  <c r="L594" i="42"/>
  <c r="L593" i="42"/>
  <c r="L592" i="42"/>
  <c r="L591" i="42"/>
  <c r="L590" i="42"/>
  <c r="L589" i="42"/>
  <c r="L588" i="42"/>
  <c r="L587" i="42"/>
  <c r="L585" i="42"/>
  <c r="L584" i="42"/>
  <c r="L583" i="42"/>
  <c r="L582" i="42"/>
  <c r="L581" i="42"/>
  <c r="L580" i="42"/>
  <c r="L579" i="42"/>
  <c r="L577" i="42"/>
  <c r="L576" i="42"/>
  <c r="L575" i="42"/>
  <c r="L574" i="42"/>
  <c r="L572" i="42"/>
  <c r="L571" i="42"/>
  <c r="L570" i="42"/>
  <c r="L569" i="42"/>
  <c r="L568" i="42"/>
  <c r="L567" i="42"/>
  <c r="L565" i="42"/>
  <c r="L564" i="42"/>
  <c r="L563" i="42"/>
  <c r="L561" i="42"/>
  <c r="L559" i="42"/>
  <c r="L557" i="42"/>
  <c r="L554" i="42"/>
  <c r="L553" i="42"/>
  <c r="L552" i="42"/>
  <c r="L551" i="42"/>
  <c r="L550" i="42"/>
  <c r="L549" i="42"/>
  <c r="L548" i="42"/>
  <c r="L547" i="42"/>
  <c r="L545" i="42"/>
  <c r="L544" i="42"/>
  <c r="L543" i="42"/>
  <c r="L541" i="42"/>
  <c r="L540" i="42"/>
  <c r="L539" i="42"/>
  <c r="L537" i="42"/>
  <c r="L536" i="42"/>
  <c r="L535" i="42"/>
  <c r="L533" i="42"/>
  <c r="L532" i="42"/>
  <c r="L531" i="42"/>
  <c r="L528" i="42"/>
  <c r="L527" i="42"/>
  <c r="L525" i="42"/>
  <c r="L524" i="42"/>
  <c r="L523" i="42"/>
  <c r="L522" i="42"/>
  <c r="L521" i="42"/>
  <c r="L520" i="42"/>
  <c r="L519" i="42"/>
  <c r="L517" i="42"/>
  <c r="L516" i="42"/>
  <c r="L515" i="42"/>
  <c r="L514" i="42"/>
  <c r="L512" i="42"/>
  <c r="L511" i="42"/>
  <c r="L509" i="42"/>
  <c r="L508" i="42"/>
  <c r="L505" i="42"/>
  <c r="L504" i="42"/>
  <c r="L503" i="42"/>
  <c r="L501" i="42"/>
  <c r="L500" i="42"/>
  <c r="L499" i="42"/>
  <c r="L497" i="42"/>
  <c r="L496" i="42"/>
  <c r="L495" i="42"/>
  <c r="L493" i="42"/>
  <c r="L492" i="42"/>
  <c r="L491" i="42"/>
  <c r="L489" i="42"/>
  <c r="L488" i="42"/>
  <c r="L487" i="42"/>
  <c r="L485" i="42"/>
  <c r="L484" i="42"/>
  <c r="L482" i="42"/>
  <c r="L481" i="42"/>
  <c r="L480" i="42"/>
  <c r="L479" i="42"/>
  <c r="L478" i="42"/>
  <c r="L477" i="42"/>
  <c r="L476" i="42"/>
  <c r="L474" i="42"/>
  <c r="L473" i="42"/>
  <c r="L472" i="42"/>
  <c r="L470" i="42"/>
  <c r="L469" i="42"/>
  <c r="L468" i="42"/>
  <c r="L467" i="42"/>
  <c r="L466" i="42"/>
  <c r="L465" i="42"/>
  <c r="L464" i="42"/>
  <c r="L463" i="42"/>
  <c r="L461" i="42"/>
  <c r="L460" i="42"/>
  <c r="L459" i="42"/>
  <c r="L458" i="42"/>
  <c r="L457" i="42"/>
  <c r="L455" i="42"/>
  <c r="L453" i="42"/>
  <c r="L452" i="42"/>
  <c r="L451" i="42"/>
  <c r="L449" i="42"/>
  <c r="L448" i="42"/>
  <c r="L447" i="42"/>
  <c r="L445" i="42"/>
  <c r="L443" i="42"/>
  <c r="L442" i="42"/>
  <c r="L441" i="42"/>
  <c r="L440" i="42"/>
  <c r="L439" i="42"/>
  <c r="L438" i="42"/>
  <c r="L437" i="42"/>
  <c r="L436" i="42"/>
  <c r="L435" i="42"/>
  <c r="L432" i="42"/>
  <c r="L431" i="42"/>
  <c r="L429" i="42"/>
  <c r="L428" i="42"/>
  <c r="L427" i="42"/>
  <c r="L425" i="42"/>
  <c r="L424" i="42"/>
  <c r="L423" i="42"/>
  <c r="L421" i="42"/>
  <c r="L420" i="42"/>
  <c r="L419" i="42"/>
  <c r="L417" i="42"/>
  <c r="L416" i="42"/>
  <c r="L415" i="42"/>
  <c r="L413" i="42"/>
  <c r="L412" i="42"/>
  <c r="L411" i="42"/>
  <c r="L409" i="42"/>
  <c r="L408" i="42"/>
  <c r="L407" i="42"/>
  <c r="L406" i="42"/>
  <c r="L405" i="42"/>
  <c r="L404" i="42"/>
  <c r="L403" i="42"/>
  <c r="L402" i="42"/>
  <c r="L401" i="42"/>
  <c r="L400" i="42"/>
  <c r="L398" i="42"/>
  <c r="L397" i="42"/>
  <c r="L396" i="42"/>
  <c r="L395" i="42"/>
  <c r="L393" i="42"/>
  <c r="L392" i="42"/>
  <c r="L391" i="42"/>
  <c r="L389" i="42"/>
  <c r="L388" i="42"/>
  <c r="L387" i="42"/>
  <c r="L386" i="42"/>
  <c r="L385" i="42"/>
  <c r="L384" i="42"/>
  <c r="L383" i="42"/>
  <c r="L381" i="42"/>
  <c r="L379" i="42"/>
  <c r="L377" i="42"/>
  <c r="L376" i="42"/>
  <c r="L375" i="42"/>
  <c r="L373" i="42"/>
  <c r="L371" i="42"/>
  <c r="L370" i="42"/>
  <c r="L369" i="42"/>
  <c r="L364" i="42"/>
  <c r="L363" i="42"/>
  <c r="L362" i="42"/>
  <c r="L361" i="42"/>
  <c r="L360" i="42"/>
  <c r="L359" i="42"/>
  <c r="L357" i="42"/>
  <c r="L356" i="42"/>
  <c r="L355" i="42"/>
  <c r="L354" i="42"/>
  <c r="L353" i="42"/>
  <c r="L352" i="42"/>
  <c r="L351" i="42"/>
  <c r="L350" i="42"/>
  <c r="L349" i="42"/>
  <c r="L348" i="42"/>
  <c r="L347" i="42"/>
  <c r="L345" i="42"/>
  <c r="L344" i="42"/>
  <c r="L343" i="42"/>
  <c r="L340" i="42"/>
  <c r="L339" i="42"/>
  <c r="L337" i="42"/>
  <c r="L335" i="42"/>
  <c r="L333" i="42"/>
  <c r="L331" i="42"/>
  <c r="L330" i="42"/>
  <c r="L328" i="42"/>
  <c r="L327" i="42"/>
  <c r="L325" i="42"/>
  <c r="L322" i="42"/>
  <c r="L321" i="42"/>
  <c r="L320" i="42"/>
  <c r="L319" i="42"/>
  <c r="L317" i="42"/>
  <c r="L315" i="42"/>
  <c r="L314" i="42"/>
  <c r="L313" i="42"/>
  <c r="L312" i="42"/>
  <c r="L308" i="42"/>
  <c r="L307" i="42"/>
  <c r="L305" i="42"/>
  <c r="L304" i="42"/>
  <c r="L303" i="42"/>
  <c r="L302" i="42"/>
  <c r="L301" i="42"/>
  <c r="L300" i="42"/>
  <c r="L299" i="42"/>
  <c r="L298" i="42"/>
  <c r="L297" i="42"/>
  <c r="L295" i="42"/>
  <c r="L293" i="42"/>
  <c r="L291" i="42"/>
  <c r="L289" i="42"/>
  <c r="L288" i="42"/>
  <c r="L284" i="42"/>
  <c r="L283" i="42"/>
  <c r="L278" i="42"/>
  <c r="L277" i="42"/>
  <c r="L275" i="42"/>
  <c r="L274" i="42"/>
  <c r="L273" i="42"/>
  <c r="L272" i="42"/>
  <c r="L269" i="42"/>
  <c r="L268" i="42"/>
  <c r="L267" i="42"/>
  <c r="L266" i="42"/>
  <c r="L265" i="42"/>
  <c r="L263" i="42"/>
  <c r="L261" i="42"/>
  <c r="L260" i="42"/>
  <c r="L259" i="42"/>
  <c r="L258" i="42"/>
  <c r="L255" i="42"/>
  <c r="L253" i="42"/>
  <c r="L252" i="42"/>
  <c r="L251" i="42"/>
  <c r="L249" i="42"/>
  <c r="L248" i="42"/>
  <c r="L247" i="42"/>
  <c r="L245" i="42"/>
  <c r="L244" i="42"/>
  <c r="L243" i="42"/>
  <c r="L241" i="42"/>
  <c r="L240" i="42"/>
  <c r="L239" i="42"/>
  <c r="L237" i="42"/>
  <c r="L236" i="42"/>
  <c r="L233" i="42"/>
  <c r="L232" i="42"/>
  <c r="L231" i="42"/>
  <c r="L229" i="42"/>
  <c r="L228" i="42"/>
  <c r="L225" i="42"/>
  <c r="L223" i="42"/>
  <c r="L222" i="42"/>
  <c r="L221" i="42"/>
  <c r="L219" i="42"/>
  <c r="L218" i="42"/>
  <c r="L216" i="42"/>
  <c r="L215" i="42"/>
  <c r="L214" i="42"/>
  <c r="L213" i="42"/>
  <c r="L212" i="42"/>
  <c r="L211" i="42"/>
  <c r="L210" i="42"/>
  <c r="L209" i="42"/>
  <c r="L208" i="42"/>
  <c r="L205" i="42"/>
  <c r="L204" i="42"/>
  <c r="L203" i="42"/>
  <c r="L201" i="42"/>
  <c r="L200" i="42"/>
  <c r="L199" i="42"/>
  <c r="L198" i="42"/>
  <c r="L197" i="42"/>
  <c r="L196" i="42"/>
  <c r="L195" i="42"/>
  <c r="L193" i="42"/>
  <c r="L192" i="42"/>
  <c r="L191" i="42"/>
  <c r="L189" i="42"/>
  <c r="L187" i="42"/>
  <c r="L184" i="42"/>
  <c r="L183" i="42"/>
  <c r="L181" i="42"/>
  <c r="L180" i="42"/>
  <c r="L179" i="42"/>
  <c r="L178" i="42"/>
  <c r="L175" i="42"/>
  <c r="L174" i="42"/>
  <c r="L172" i="42"/>
  <c r="L169" i="42"/>
  <c r="L168" i="42"/>
  <c r="L167" i="42"/>
  <c r="L165" i="42"/>
  <c r="L164" i="42"/>
  <c r="L163" i="42"/>
  <c r="L161" i="42"/>
  <c r="L160" i="42"/>
  <c r="L159" i="42"/>
  <c r="L157" i="42"/>
  <c r="L156" i="42"/>
  <c r="L155" i="42"/>
  <c r="L154" i="42"/>
  <c r="L152" i="42"/>
  <c r="L151" i="42"/>
  <c r="L149" i="42"/>
  <c r="L148" i="42"/>
  <c r="L147" i="42"/>
  <c r="L145" i="42"/>
  <c r="L144" i="42"/>
  <c r="L143" i="42"/>
  <c r="L141" i="42"/>
  <c r="L140" i="42"/>
  <c r="L139" i="42"/>
  <c r="L137" i="42"/>
  <c r="L136" i="42"/>
  <c r="L135" i="42"/>
  <c r="L134" i="42"/>
  <c r="L133" i="42"/>
  <c r="L132" i="42"/>
  <c r="L129" i="42"/>
  <c r="L127" i="42"/>
  <c r="L126" i="42"/>
  <c r="L125" i="42"/>
  <c r="L124" i="42"/>
  <c r="L123" i="42"/>
  <c r="L122" i="42"/>
  <c r="L120" i="42"/>
  <c r="L119" i="42"/>
  <c r="L116" i="42"/>
  <c r="L115" i="42"/>
  <c r="L114" i="42"/>
  <c r="L113" i="42"/>
  <c r="L112" i="42"/>
  <c r="L111" i="42"/>
  <c r="L109" i="42"/>
  <c r="L108" i="42"/>
  <c r="L105" i="42"/>
  <c r="L104" i="42"/>
  <c r="L102" i="42"/>
  <c r="L101" i="42"/>
  <c r="L99" i="42"/>
  <c r="L96" i="42"/>
  <c r="L95" i="42"/>
  <c r="L93" i="42"/>
  <c r="L92" i="42"/>
  <c r="L89" i="42"/>
  <c r="L88" i="42"/>
  <c r="L84" i="42"/>
  <c r="L83" i="42"/>
  <c r="L81" i="42"/>
  <c r="L80" i="42"/>
  <c r="L79" i="42"/>
  <c r="L78" i="42"/>
  <c r="L77" i="42"/>
  <c r="L75" i="42"/>
  <c r="L74" i="42"/>
  <c r="L72" i="42"/>
  <c r="L69" i="42"/>
  <c r="L67" i="42"/>
  <c r="L65" i="42"/>
  <c r="L64" i="42"/>
  <c r="L63" i="42"/>
  <c r="L59" i="42"/>
  <c r="L58" i="42"/>
  <c r="L54" i="42"/>
  <c r="L53" i="42"/>
  <c r="L52" i="42"/>
  <c r="L51" i="42"/>
  <c r="L49" i="42"/>
  <c r="L47" i="42"/>
  <c r="L46" i="42"/>
  <c r="L45" i="42"/>
  <c r="L44" i="42"/>
  <c r="L43" i="42"/>
  <c r="L42" i="42"/>
  <c r="L40" i="42"/>
  <c r="L39" i="42"/>
  <c r="L37" i="42"/>
  <c r="L36" i="42"/>
  <c r="L35" i="42"/>
  <c r="L34" i="42"/>
  <c r="L33" i="42"/>
  <c r="L32" i="42"/>
  <c r="L31" i="42"/>
  <c r="L29" i="42"/>
  <c r="L28" i="42"/>
  <c r="L27" i="42"/>
  <c r="L26" i="42"/>
  <c r="L24" i="42"/>
  <c r="L22" i="42"/>
  <c r="L21" i="42"/>
  <c r="L20" i="42"/>
  <c r="L19" i="42"/>
  <c r="L18" i="42"/>
  <c r="L17" i="42"/>
  <c r="L16" i="42"/>
  <c r="L14" i="42"/>
  <c r="L13" i="42"/>
  <c r="L12" i="42"/>
  <c r="L10" i="42"/>
  <c r="L9" i="42"/>
  <c r="L8" i="42"/>
  <c r="K13" i="26"/>
  <c r="K32" i="26"/>
  <c r="K20" i="26"/>
  <c r="J50" i="26"/>
  <c r="J49" i="26"/>
  <c r="K29" i="26"/>
  <c r="K24" i="26"/>
  <c r="J13" i="26"/>
  <c r="K49" i="26"/>
  <c r="K36" i="26"/>
  <c r="J25" i="26"/>
  <c r="J14" i="26"/>
  <c r="K28" i="26"/>
  <c r="J18" i="26"/>
  <c r="J17" i="26"/>
  <c r="J45" i="26"/>
  <c r="K16" i="26"/>
  <c r="J38" i="26"/>
  <c r="K21" i="26"/>
  <c r="J21" i="26"/>
  <c r="J42" i="26"/>
  <c r="J46" i="26"/>
  <c r="K17" i="26"/>
  <c r="K25" i="26"/>
  <c r="J48" i="26"/>
  <c r="J44" i="26"/>
  <c r="J40" i="26"/>
  <c r="J36" i="26"/>
  <c r="J32" i="26"/>
  <c r="J28" i="26"/>
  <c r="J24" i="26"/>
  <c r="J20" i="26"/>
  <c r="J16" i="26"/>
  <c r="K51" i="26"/>
  <c r="K47" i="26"/>
  <c r="K43" i="26"/>
  <c r="K39" i="26"/>
  <c r="K35" i="26"/>
  <c r="K31" i="26"/>
  <c r="K27" i="26"/>
  <c r="K23" i="26"/>
  <c r="K19" i="26"/>
  <c r="K15" i="26"/>
  <c r="J51" i="26"/>
  <c r="J47" i="26"/>
  <c r="J43" i="26"/>
  <c r="J39" i="26"/>
  <c r="J35" i="26"/>
  <c r="J31" i="26"/>
  <c r="J27" i="26"/>
  <c r="J23" i="26"/>
  <c r="J19" i="26"/>
  <c r="J15" i="26"/>
  <c r="K50" i="26"/>
  <c r="K46" i="26"/>
  <c r="K42" i="26"/>
  <c r="K38" i="26"/>
  <c r="K34" i="26"/>
  <c r="K30" i="26"/>
  <c r="K26" i="26"/>
  <c r="K22" i="26"/>
  <c r="K18" i="26"/>
  <c r="K14" i="26"/>
  <c r="J34" i="26"/>
  <c r="J41" i="26"/>
  <c r="K45" i="26"/>
  <c r="J30" i="26"/>
  <c r="J37" i="26"/>
  <c r="K41" i="26"/>
  <c r="K48" i="26"/>
  <c r="J26" i="26"/>
  <c r="J33" i="26"/>
  <c r="K37" i="26"/>
  <c r="K44" i="26"/>
  <c r="J22" i="26"/>
  <c r="J29" i="26"/>
  <c r="K33" i="26"/>
  <c r="K40" i="26"/>
  <c r="D110" i="16" l="1"/>
  <c r="V10" i="17"/>
  <c r="D102" i="16"/>
  <c r="Q8" i="17"/>
  <c r="D101" i="16"/>
  <c r="Q7" i="17"/>
  <c r="T7" i="17" s="1"/>
  <c r="D20" i="16" s="1"/>
  <c r="D107" i="16"/>
  <c r="V7" i="17"/>
  <c r="Y7" i="17" s="1"/>
  <c r="D26" i="16" s="1"/>
  <c r="D100" i="16"/>
  <c r="Q6" i="17"/>
  <c r="D106" i="16"/>
  <c r="V6" i="17"/>
  <c r="D103" i="16"/>
  <c r="Q9" i="17"/>
  <c r="D104" i="16"/>
  <c r="Q10" i="17"/>
  <c r="D109" i="16"/>
  <c r="V9" i="17"/>
  <c r="D108" i="16"/>
  <c r="V8" i="17"/>
  <c r="D15" i="16"/>
  <c r="AJ8" i="17"/>
  <c r="AN8" i="17" s="1"/>
  <c r="AP8" i="17" s="1"/>
  <c r="AQ8" i="17" s="1"/>
  <c r="AR8" i="17" s="1"/>
  <c r="O8" i="17"/>
  <c r="P8" i="17" s="1"/>
  <c r="F50" i="26"/>
  <c r="D42" i="16"/>
  <c r="D16" i="16"/>
  <c r="P9" i="17"/>
  <c r="D17" i="16"/>
  <c r="O10" i="17"/>
  <c r="P10" i="17" s="1"/>
  <c r="O6" i="17"/>
  <c r="P6" i="17" s="1"/>
  <c r="D13" i="16"/>
  <c r="AJ6" i="17"/>
  <c r="AN6" i="17" s="1"/>
  <c r="AP6" i="17" s="1"/>
  <c r="AQ6" i="17" s="1"/>
  <c r="AR6" i="17" s="1"/>
  <c r="H12" i="39"/>
  <c r="G46" i="39"/>
  <c r="G15" i="39"/>
  <c r="H18" i="39"/>
  <c r="H15" i="39"/>
  <c r="H38" i="39"/>
  <c r="G45" i="39"/>
  <c r="G20" i="39"/>
  <c r="H35" i="39"/>
  <c r="G23" i="39"/>
  <c r="G25" i="39"/>
  <c r="H23" i="39"/>
  <c r="G35" i="39"/>
  <c r="H45" i="39"/>
  <c r="G33" i="39"/>
  <c r="G17" i="39"/>
  <c r="H26" i="39"/>
  <c r="G14" i="39"/>
  <c r="G32" i="39"/>
  <c r="H46" i="39"/>
  <c r="H32" i="39"/>
  <c r="G38" i="39"/>
  <c r="G36" i="39"/>
  <c r="H48" i="39"/>
  <c r="G26" i="39"/>
  <c r="G24" i="39"/>
  <c r="H19" i="39"/>
  <c r="H47" i="39"/>
  <c r="G22" i="39"/>
  <c r="H43" i="39"/>
  <c r="H40" i="39"/>
  <c r="H34" i="39"/>
  <c r="H39" i="39"/>
  <c r="H27" i="39"/>
  <c r="H13" i="39"/>
  <c r="G40" i="39"/>
  <c r="H36" i="39"/>
  <c r="H37" i="39"/>
  <c r="G47" i="39"/>
  <c r="H29" i="39"/>
  <c r="G39" i="39"/>
  <c r="G28" i="39"/>
  <c r="G11" i="39"/>
  <c r="G9" i="39"/>
  <c r="H44" i="39"/>
  <c r="H21" i="39"/>
  <c r="H31" i="39"/>
  <c r="G41" i="39"/>
  <c r="G30" i="39"/>
  <c r="G31" i="39"/>
  <c r="H30" i="39"/>
  <c r="H28" i="39"/>
  <c r="H41" i="39"/>
  <c r="G42" i="39"/>
  <c r="G27" i="39"/>
  <c r="G37" i="39"/>
  <c r="G18" i="39"/>
  <c r="H24" i="39"/>
  <c r="H22" i="39"/>
  <c r="G44" i="39"/>
  <c r="G29" i="39"/>
  <c r="G48" i="39"/>
  <c r="H25" i="39"/>
  <c r="G13" i="39"/>
  <c r="G21" i="39"/>
  <c r="G43" i="39"/>
  <c r="H16" i="39"/>
  <c r="G16" i="39"/>
  <c r="H33" i="39"/>
  <c r="H11" i="39"/>
  <c r="H9" i="39"/>
  <c r="H20" i="39"/>
  <c r="G12" i="39"/>
  <c r="G10" i="39"/>
  <c r="G19" i="39"/>
  <c r="H42" i="39"/>
  <c r="H10" i="39"/>
  <c r="H14" i="39"/>
  <c r="H17" i="39"/>
  <c r="T50" i="23"/>
  <c r="I48" i="39" s="1"/>
  <c r="T13" i="23"/>
  <c r="T34" i="23"/>
  <c r="T16" i="23"/>
  <c r="T27" i="23"/>
  <c r="T38" i="23"/>
  <c r="T20" i="23"/>
  <c r="T25" i="23"/>
  <c r="T19" i="23"/>
  <c r="T23" i="23"/>
  <c r="T32" i="23"/>
  <c r="T36" i="23"/>
  <c r="T18" i="23"/>
  <c r="T48" i="23"/>
  <c r="T17" i="23"/>
  <c r="T47" i="23"/>
  <c r="T26" i="23"/>
  <c r="T43" i="23"/>
  <c r="T21" i="23"/>
  <c r="T30" i="23"/>
  <c r="T24" i="23"/>
  <c r="T15" i="23"/>
  <c r="T31" i="23"/>
  <c r="T29" i="23"/>
  <c r="T14" i="23"/>
  <c r="T46" i="23"/>
  <c r="T28" i="23"/>
  <c r="T33" i="23"/>
  <c r="T44" i="23"/>
  <c r="T22" i="23"/>
  <c r="T49" i="23"/>
  <c r="I47" i="39" s="1"/>
  <c r="T40" i="23"/>
  <c r="T45" i="23"/>
  <c r="T37" i="23"/>
  <c r="T35" i="23"/>
  <c r="T41" i="23"/>
  <c r="T39" i="23"/>
  <c r="T42" i="23"/>
  <c r="Y15" i="23"/>
  <c r="Y23" i="23"/>
  <c r="Y47" i="23"/>
  <c r="Y37" i="23"/>
  <c r="Y49" i="23"/>
  <c r="Y28" i="23"/>
  <c r="Y32" i="23"/>
  <c r="Y40" i="23"/>
  <c r="Y29" i="23"/>
  <c r="Y24" i="23"/>
  <c r="Y27" i="23"/>
  <c r="Y42" i="23"/>
  <c r="Y38" i="23"/>
  <c r="Y46" i="23"/>
  <c r="Y39" i="23"/>
  <c r="Y33" i="23"/>
  <c r="Y16" i="23"/>
  <c r="Y21" i="23"/>
  <c r="Y25" i="23"/>
  <c r="Y35" i="23"/>
  <c r="Y34" i="23"/>
  <c r="Y19" i="23"/>
  <c r="Y14" i="23"/>
  <c r="J10" i="39" s="1"/>
  <c r="Y13" i="23"/>
  <c r="Y45" i="23"/>
  <c r="Y31" i="23"/>
  <c r="Y41" i="23"/>
  <c r="Y36" i="23"/>
  <c r="Y18" i="23"/>
  <c r="Y51" i="23"/>
  <c r="J48" i="39" s="1"/>
  <c r="Y26" i="23"/>
  <c r="Y17" i="23"/>
  <c r="Y22" i="23"/>
  <c r="Y30" i="23"/>
  <c r="Y48" i="23"/>
  <c r="J46" i="39" s="1"/>
  <c r="Y43" i="23"/>
  <c r="Y44" i="23"/>
  <c r="Y20" i="23"/>
  <c r="D4" i="40"/>
  <c r="D3" i="40"/>
  <c r="G36" i="31" s="1"/>
  <c r="D130" i="16"/>
  <c r="G4" i="31"/>
  <c r="E7" i="31"/>
  <c r="E5" i="31"/>
  <c r="E4" i="31"/>
  <c r="D79" i="16"/>
  <c r="D119" i="16"/>
  <c r="D125" i="16" s="1"/>
  <c r="G5" i="31"/>
  <c r="Z33" i="26"/>
  <c r="Z21" i="26"/>
  <c r="Z50" i="26"/>
  <c r="Y44" i="26"/>
  <c r="E30" i="26"/>
  <c r="E27" i="26"/>
  <c r="F26" i="26"/>
  <c r="E48" i="26"/>
  <c r="F21" i="26"/>
  <c r="F15" i="26"/>
  <c r="F19" i="26"/>
  <c r="E21" i="26"/>
  <c r="E25" i="26"/>
  <c r="F35" i="26"/>
  <c r="Z23" i="26"/>
  <c r="AA23" i="26" s="1"/>
  <c r="Z27" i="26"/>
  <c r="E40" i="26"/>
  <c r="Z31" i="26"/>
  <c r="E44" i="26"/>
  <c r="E29" i="26"/>
  <c r="E50" i="26"/>
  <c r="Z44" i="26"/>
  <c r="E38" i="26"/>
  <c r="E18" i="26"/>
  <c r="F16" i="26"/>
  <c r="Y31" i="26"/>
  <c r="Z48" i="26"/>
  <c r="E46" i="26"/>
  <c r="F22" i="26"/>
  <c r="E13" i="26"/>
  <c r="E39" i="26"/>
  <c r="F29" i="26"/>
  <c r="E17" i="26"/>
  <c r="F41" i="26"/>
  <c r="F23" i="26"/>
  <c r="E33" i="26"/>
  <c r="F34" i="26"/>
  <c r="F31" i="26"/>
  <c r="G119" i="16"/>
  <c r="Z46" i="26"/>
  <c r="Y46" i="26"/>
  <c r="E42" i="26"/>
  <c r="E15" i="26"/>
  <c r="E28" i="26"/>
  <c r="E35" i="26"/>
  <c r="E22" i="26"/>
  <c r="E32" i="26"/>
  <c r="F17" i="26"/>
  <c r="Y32" i="26"/>
  <c r="Y36" i="26"/>
  <c r="Y40" i="26"/>
  <c r="Z13" i="26"/>
  <c r="Y27" i="26"/>
  <c r="D40" i="16"/>
  <c r="H119" i="16"/>
  <c r="Y14" i="26"/>
  <c r="Y13" i="26"/>
  <c r="Y17" i="26"/>
  <c r="Z38" i="26"/>
  <c r="F13" i="26"/>
  <c r="F18" i="26"/>
  <c r="F39" i="26"/>
  <c r="F20" i="26"/>
  <c r="E37" i="26"/>
  <c r="F38" i="26"/>
  <c r="E19" i="26"/>
  <c r="F47" i="26"/>
  <c r="F28" i="26"/>
  <c r="E49" i="26"/>
  <c r="Y51" i="26"/>
  <c r="F24" i="26"/>
  <c r="F46" i="26"/>
  <c r="F118" i="16"/>
  <c r="G118" i="16" s="1"/>
  <c r="H118" i="16" s="1"/>
  <c r="F42" i="26"/>
  <c r="E26" i="26"/>
  <c r="F51" i="26"/>
  <c r="F36" i="26"/>
  <c r="E34" i="26"/>
  <c r="E47" i="26"/>
  <c r="F40" i="26"/>
  <c r="E43" i="26"/>
  <c r="F25" i="26"/>
  <c r="F43" i="26"/>
  <c r="E45" i="26"/>
  <c r="F120" i="16"/>
  <c r="G120" i="16" s="1"/>
  <c r="H120" i="16" s="1"/>
  <c r="E23" i="26"/>
  <c r="F37" i="26"/>
  <c r="E16" i="26"/>
  <c r="Z35" i="26"/>
  <c r="Y39" i="26"/>
  <c r="F49" i="26"/>
  <c r="F30" i="26"/>
  <c r="F14" i="26"/>
  <c r="E24" i="26"/>
  <c r="F44" i="26"/>
  <c r="F45" i="26"/>
  <c r="T50" i="26"/>
  <c r="U41" i="26"/>
  <c r="T33" i="26"/>
  <c r="U24" i="26"/>
  <c r="T35" i="26"/>
  <c r="T51" i="26"/>
  <c r="T46" i="26"/>
  <c r="U37" i="26"/>
  <c r="T29" i="26"/>
  <c r="U20" i="26"/>
  <c r="U38" i="26"/>
  <c r="T47" i="26"/>
  <c r="T30" i="26"/>
  <c r="T13" i="26"/>
  <c r="T49" i="26"/>
  <c r="U40" i="26"/>
  <c r="T24" i="26"/>
  <c r="U49" i="26"/>
  <c r="U45" i="26"/>
  <c r="U28" i="26"/>
  <c r="U15" i="26"/>
  <c r="U18" i="26"/>
  <c r="T42" i="26"/>
  <c r="U33" i="26"/>
  <c r="T25" i="26"/>
  <c r="U16" i="26"/>
  <c r="U31" i="26"/>
  <c r="U47" i="26"/>
  <c r="U29" i="26"/>
  <c r="T21" i="26"/>
  <c r="U30" i="26"/>
  <c r="T27" i="26"/>
  <c r="U43" i="26"/>
  <c r="T14" i="26"/>
  <c r="U36" i="26"/>
  <c r="U27" i="26"/>
  <c r="U51" i="26"/>
  <c r="U32" i="26"/>
  <c r="U14" i="26"/>
  <c r="T38" i="26"/>
  <c r="T18" i="26"/>
  <c r="U34" i="26"/>
  <c r="T45" i="26"/>
  <c r="U46" i="26"/>
  <c r="T37" i="26"/>
  <c r="T16" i="26"/>
  <c r="U50" i="26"/>
  <c r="T34" i="26"/>
  <c r="U25" i="26"/>
  <c r="T17" i="26"/>
  <c r="U23" i="26"/>
  <c r="T20" i="26"/>
  <c r="T36" i="26"/>
  <c r="U21" i="26"/>
  <c r="T19" i="26"/>
  <c r="U42" i="26"/>
  <c r="U19" i="26"/>
  <c r="U26" i="26"/>
  <c r="T26" i="26"/>
  <c r="U17" i="26"/>
  <c r="U48" i="26"/>
  <c r="U39" i="26"/>
  <c r="U35" i="26"/>
  <c r="T43" i="26"/>
  <c r="T39" i="26"/>
  <c r="T44" i="26"/>
  <c r="T15" i="26"/>
  <c r="T22" i="26"/>
  <c r="U13" i="26"/>
  <c r="U44" i="26"/>
  <c r="T28" i="26"/>
  <c r="T31" i="26"/>
  <c r="T32" i="26"/>
  <c r="T40" i="26"/>
  <c r="U22" i="26"/>
  <c r="T48" i="26"/>
  <c r="T41" i="26"/>
  <c r="T23" i="26"/>
  <c r="D132" i="16"/>
  <c r="E6" i="31"/>
  <c r="D38" i="16"/>
  <c r="G6" i="31"/>
  <c r="G7" i="31"/>
  <c r="P48" i="26"/>
  <c r="P32" i="26"/>
  <c r="P39" i="26"/>
  <c r="O35" i="26"/>
  <c r="P26" i="26"/>
  <c r="O18" i="26"/>
  <c r="O48" i="26"/>
  <c r="P36" i="26"/>
  <c r="O31" i="26"/>
  <c r="P22" i="26"/>
  <c r="O14" i="26"/>
  <c r="O41" i="26"/>
  <c r="O20" i="26"/>
  <c r="O15" i="26"/>
  <c r="P37" i="26"/>
  <c r="O51" i="26"/>
  <c r="O34" i="26"/>
  <c r="P25" i="26"/>
  <c r="O39" i="26"/>
  <c r="P43" i="26"/>
  <c r="O27" i="26"/>
  <c r="P18" i="26"/>
  <c r="P49" i="26"/>
  <c r="P27" i="26"/>
  <c r="O32" i="26"/>
  <c r="O28" i="26"/>
  <c r="O23" i="26"/>
  <c r="P14" i="26"/>
  <c r="P45" i="26"/>
  <c r="O16" i="26"/>
  <c r="O47" i="26"/>
  <c r="O30" i="26"/>
  <c r="P21" i="26"/>
  <c r="O40" i="26"/>
  <c r="O25" i="26"/>
  <c r="P42" i="26"/>
  <c r="P38" i="26"/>
  <c r="P30" i="26"/>
  <c r="P47" i="26"/>
  <c r="P40" i="26"/>
  <c r="O19" i="26"/>
  <c r="O50" i="26"/>
  <c r="P41" i="26"/>
  <c r="O45" i="26"/>
  <c r="O24" i="26"/>
  <c r="O46" i="26"/>
  <c r="P15" i="26"/>
  <c r="O21" i="26"/>
  <c r="O17" i="26"/>
  <c r="P35" i="26"/>
  <c r="O44" i="26"/>
  <c r="P31" i="26"/>
  <c r="P50" i="26"/>
  <c r="O42" i="26"/>
  <c r="P33" i="26"/>
  <c r="O49" i="26"/>
  <c r="O13" i="26"/>
  <c r="O36" i="26"/>
  <c r="P46" i="26"/>
  <c r="O38" i="26"/>
  <c r="P29" i="26"/>
  <c r="P19" i="26"/>
  <c r="P28" i="26"/>
  <c r="P23" i="26"/>
  <c r="O37" i="26"/>
  <c r="P16" i="26"/>
  <c r="P44" i="26"/>
  <c r="P24" i="26"/>
  <c r="O43" i="26"/>
  <c r="P34" i="26"/>
  <c r="O26" i="26"/>
  <c r="P17" i="26"/>
  <c r="P20" i="26"/>
  <c r="P51" i="26"/>
  <c r="O33" i="26"/>
  <c r="O29" i="26"/>
  <c r="O22" i="26"/>
  <c r="P13" i="26"/>
  <c r="I21" i="31"/>
  <c r="I12" i="31"/>
  <c r="I9" i="31"/>
  <c r="I19" i="31"/>
  <c r="I11" i="31"/>
  <c r="I10" i="31"/>
  <c r="D77" i="16"/>
  <c r="I22" i="31"/>
  <c r="I20" i="31"/>
  <c r="Z39" i="26"/>
  <c r="Y21" i="26"/>
  <c r="Y42" i="26"/>
  <c r="Z43" i="26"/>
  <c r="Z16" i="26"/>
  <c r="Y25" i="26"/>
  <c r="Z37" i="26"/>
  <c r="Z18" i="26"/>
  <c r="Z47" i="26"/>
  <c r="Z20" i="26"/>
  <c r="Y29" i="26"/>
  <c r="Y47" i="26"/>
  <c r="F33" i="26"/>
  <c r="E51" i="26"/>
  <c r="E20" i="26"/>
  <c r="F32" i="26"/>
  <c r="E41" i="26"/>
  <c r="Y15" i="26"/>
  <c r="Z41" i="26"/>
  <c r="Z34" i="26"/>
  <c r="Z49" i="26"/>
  <c r="Z51" i="26"/>
  <c r="Z24" i="26"/>
  <c r="Y26" i="26"/>
  <c r="Y19" i="26"/>
  <c r="Z42" i="26"/>
  <c r="Y16" i="26"/>
  <c r="Z28" i="26"/>
  <c r="Y37" i="26"/>
  <c r="Z26" i="26"/>
  <c r="Y30" i="26"/>
  <c r="Y20" i="26"/>
  <c r="Y41" i="26"/>
  <c r="D39" i="16"/>
  <c r="Z45" i="26"/>
  <c r="Z30" i="26"/>
  <c r="Z32" i="26"/>
  <c r="Y50" i="26"/>
  <c r="Y38" i="26"/>
  <c r="Z15" i="26"/>
  <c r="Y24" i="26"/>
  <c r="Z36" i="26"/>
  <c r="Y45" i="26"/>
  <c r="E31" i="26"/>
  <c r="E14" i="26"/>
  <c r="F27" i="26"/>
  <c r="E36" i="26"/>
  <c r="F48" i="26"/>
  <c r="D86" i="16"/>
  <c r="K31" i="31" s="1"/>
  <c r="Z22" i="26"/>
  <c r="Z14" i="26"/>
  <c r="Y48" i="26"/>
  <c r="Z25" i="26"/>
  <c r="Y35" i="26"/>
  <c r="Y33" i="26"/>
  <c r="Z17" i="26"/>
  <c r="Z19" i="26"/>
  <c r="Y28" i="26"/>
  <c r="Z40" i="26"/>
  <c r="Y49" i="26"/>
  <c r="Y43" i="26"/>
  <c r="Y34" i="26"/>
  <c r="Y18" i="26"/>
  <c r="Y22" i="26"/>
  <c r="Z29" i="26"/>
  <c r="L6" i="42"/>
  <c r="D51" i="16"/>
  <c r="L45" i="26"/>
  <c r="L36" i="26"/>
  <c r="L46" i="26"/>
  <c r="L50" i="26"/>
  <c r="L14" i="26"/>
  <c r="L39" i="26"/>
  <c r="L22" i="26"/>
  <c r="L32" i="26"/>
  <c r="L18" i="26"/>
  <c r="L35" i="26"/>
  <c r="L25" i="26"/>
  <c r="L42" i="26"/>
  <c r="L49" i="26"/>
  <c r="L38" i="26"/>
  <c r="L16" i="26"/>
  <c r="L17" i="26"/>
  <c r="L24" i="26"/>
  <c r="L28" i="26"/>
  <c r="L23" i="26"/>
  <c r="L40" i="26"/>
  <c r="L26" i="26"/>
  <c r="L27" i="26"/>
  <c r="L21" i="26"/>
  <c r="L20" i="26"/>
  <c r="L29" i="26"/>
  <c r="L13" i="26"/>
  <c r="L41" i="26"/>
  <c r="L34" i="26"/>
  <c r="L15" i="26"/>
  <c r="L37" i="26"/>
  <c r="L19" i="26"/>
  <c r="L47" i="26"/>
  <c r="L43" i="26"/>
  <c r="L51" i="26"/>
  <c r="AI48" i="39" s="1"/>
  <c r="L30" i="26"/>
  <c r="L44" i="26"/>
  <c r="L33" i="26"/>
  <c r="L31" i="26"/>
  <c r="L48" i="26"/>
  <c r="Y6" i="17" l="1"/>
  <c r="D25" i="16" s="1"/>
  <c r="G50" i="26"/>
  <c r="D37" i="16"/>
  <c r="E30" i="31" s="1"/>
  <c r="Y9" i="17"/>
  <c r="T9" i="17"/>
  <c r="T10" i="17"/>
  <c r="D23" i="16" s="1"/>
  <c r="Y10" i="17"/>
  <c r="D29" i="16" s="1"/>
  <c r="Y8" i="17"/>
  <c r="D27" i="16" s="1"/>
  <c r="T8" i="17"/>
  <c r="D21" i="16" s="1"/>
  <c r="P4" i="31"/>
  <c r="R4" i="31" s="1"/>
  <c r="J44" i="39"/>
  <c r="AI39" i="39"/>
  <c r="AI45" i="39"/>
  <c r="AI11" i="39"/>
  <c r="AI12" i="39"/>
  <c r="AI19" i="39"/>
  <c r="I42" i="39"/>
  <c r="I35" i="39"/>
  <c r="J23" i="39"/>
  <c r="I22" i="39"/>
  <c r="I17" i="39"/>
  <c r="J38" i="39"/>
  <c r="AI21" i="39"/>
  <c r="I38" i="39"/>
  <c r="I23" i="39"/>
  <c r="J16" i="39"/>
  <c r="AI38" i="39"/>
  <c r="AI28" i="39"/>
  <c r="AI47" i="39"/>
  <c r="J34" i="39"/>
  <c r="I29" i="39"/>
  <c r="I30" i="39"/>
  <c r="I24" i="39"/>
  <c r="J26" i="39"/>
  <c r="J20" i="39"/>
  <c r="AI35" i="39"/>
  <c r="AI13" i="39"/>
  <c r="J47" i="39"/>
  <c r="I41" i="39"/>
  <c r="J40" i="39"/>
  <c r="AI40" i="39"/>
  <c r="J28" i="39"/>
  <c r="J17" i="39"/>
  <c r="I12" i="39"/>
  <c r="AI41" i="39"/>
  <c r="J41" i="39"/>
  <c r="AI44" i="39"/>
  <c r="AI20" i="39"/>
  <c r="J32" i="39"/>
  <c r="J22" i="39"/>
  <c r="I39" i="39"/>
  <c r="I27" i="39"/>
  <c r="I16" i="39"/>
  <c r="J14" i="39"/>
  <c r="AI33" i="39"/>
  <c r="J29" i="39"/>
  <c r="J45" i="39"/>
  <c r="AI24" i="39"/>
  <c r="AI16" i="39"/>
  <c r="AI34" i="39"/>
  <c r="AI25" i="39"/>
  <c r="AI29" i="39"/>
  <c r="J15" i="39"/>
  <c r="J33" i="39"/>
  <c r="J27" i="39"/>
  <c r="I33" i="39"/>
  <c r="I10" i="39"/>
  <c r="I34" i="39"/>
  <c r="J24" i="39"/>
  <c r="AI31" i="39"/>
  <c r="AI14" i="39"/>
  <c r="AI36" i="39"/>
  <c r="J19" i="39"/>
  <c r="J30" i="39"/>
  <c r="I43" i="39"/>
  <c r="I13" i="39"/>
  <c r="I21" i="39"/>
  <c r="J31" i="39"/>
  <c r="I28" i="39"/>
  <c r="AI10" i="39"/>
  <c r="AI30" i="39"/>
  <c r="AI26" i="39"/>
  <c r="AI46" i="39"/>
  <c r="AI43" i="39"/>
  <c r="J39" i="39"/>
  <c r="J37" i="39"/>
  <c r="J35" i="39"/>
  <c r="I20" i="39"/>
  <c r="I19" i="39"/>
  <c r="I18" i="39"/>
  <c r="J18" i="39"/>
  <c r="I36" i="39"/>
  <c r="AI27" i="39"/>
  <c r="AI18" i="39"/>
  <c r="AI22" i="39"/>
  <c r="AI42" i="39"/>
  <c r="J42" i="39"/>
  <c r="J43" i="39"/>
  <c r="J36" i="39"/>
  <c r="J21" i="39"/>
  <c r="I31" i="39"/>
  <c r="I25" i="39"/>
  <c r="J11" i="39"/>
  <c r="J9" i="39"/>
  <c r="J13" i="39"/>
  <c r="I26" i="39"/>
  <c r="I45" i="39"/>
  <c r="I14" i="39"/>
  <c r="AI17" i="39"/>
  <c r="AI32" i="39"/>
  <c r="AI23" i="39"/>
  <c r="J12" i="39"/>
  <c r="J25" i="39"/>
  <c r="I40" i="39"/>
  <c r="I44" i="39"/>
  <c r="I15" i="39"/>
  <c r="I32" i="39"/>
  <c r="AI37" i="39"/>
  <c r="AI15" i="39"/>
  <c r="I37" i="39"/>
  <c r="I46" i="39"/>
  <c r="I11" i="39"/>
  <c r="I9" i="39"/>
  <c r="E36" i="31"/>
  <c r="E31" i="31"/>
  <c r="E34" i="31"/>
  <c r="G34" i="31"/>
  <c r="K4" i="31"/>
  <c r="N4" i="31" s="1"/>
  <c r="AA21" i="26"/>
  <c r="D131" i="16"/>
  <c r="AA33" i="26"/>
  <c r="G20" i="26"/>
  <c r="AA50" i="26"/>
  <c r="G26" i="26"/>
  <c r="AA44" i="26"/>
  <c r="G48" i="26"/>
  <c r="G27" i="26"/>
  <c r="G30" i="26"/>
  <c r="G25" i="26"/>
  <c r="G21" i="26"/>
  <c r="AA46" i="26"/>
  <c r="G35" i="26"/>
  <c r="G15" i="26"/>
  <c r="AA31" i="26"/>
  <c r="G40" i="26"/>
  <c r="AA13" i="26"/>
  <c r="K6" i="31"/>
  <c r="N6" i="31" s="1"/>
  <c r="G33" i="26"/>
  <c r="AA37" i="26"/>
  <c r="Q18" i="26"/>
  <c r="F119" i="16"/>
  <c r="AA25" i="26"/>
  <c r="G19" i="26"/>
  <c r="AA51" i="26"/>
  <c r="AL48" i="39" s="1"/>
  <c r="V24" i="26"/>
  <c r="V35" i="26"/>
  <c r="AA22" i="26"/>
  <c r="G32" i="26"/>
  <c r="G22" i="26"/>
  <c r="K5" i="31"/>
  <c r="N5" i="31" s="1"/>
  <c r="AA48" i="26"/>
  <c r="AA27" i="26"/>
  <c r="K32" i="31"/>
  <c r="G46" i="26"/>
  <c r="AA36" i="26"/>
  <c r="G34" i="26"/>
  <c r="G16" i="26"/>
  <c r="G41" i="26"/>
  <c r="G38" i="26"/>
  <c r="V26" i="26"/>
  <c r="G29" i="26"/>
  <c r="G23" i="26"/>
  <c r="G44" i="26"/>
  <c r="G39" i="26"/>
  <c r="G18" i="26"/>
  <c r="G13" i="26"/>
  <c r="G17" i="26"/>
  <c r="AA41" i="26"/>
  <c r="Q21" i="26"/>
  <c r="Q27" i="26"/>
  <c r="V23" i="26"/>
  <c r="G31" i="26"/>
  <c r="G47" i="26"/>
  <c r="G28" i="26"/>
  <c r="V21" i="26"/>
  <c r="P29" i="31"/>
  <c r="AA17" i="26"/>
  <c r="AA35" i="26"/>
  <c r="V17" i="26"/>
  <c r="V33" i="26"/>
  <c r="G51" i="26"/>
  <c r="AH48" i="39" s="1"/>
  <c r="Q38" i="26"/>
  <c r="Q33" i="26"/>
  <c r="V13" i="26"/>
  <c r="AA38" i="26"/>
  <c r="G42" i="26"/>
  <c r="Q37" i="26"/>
  <c r="AA32" i="26"/>
  <c r="Q35" i="26"/>
  <c r="Q43" i="26"/>
  <c r="Q13" i="26"/>
  <c r="V31" i="26"/>
  <c r="V34" i="26"/>
  <c r="V50" i="26"/>
  <c r="Q36" i="26"/>
  <c r="G15" i="31"/>
  <c r="E15" i="31"/>
  <c r="V32" i="26"/>
  <c r="G37" i="26"/>
  <c r="AA18" i="26"/>
  <c r="G45" i="26"/>
  <c r="V49" i="26"/>
  <c r="AA15" i="26"/>
  <c r="V25" i="26"/>
  <c r="D33" i="16"/>
  <c r="E10" i="31"/>
  <c r="G10" i="31"/>
  <c r="AA14" i="26"/>
  <c r="T6" i="17"/>
  <c r="K29" i="31"/>
  <c r="AA40" i="26"/>
  <c r="G36" i="26"/>
  <c r="AA45" i="26"/>
  <c r="AA29" i="26"/>
  <c r="Q15" i="26"/>
  <c r="V22" i="26"/>
  <c r="V46" i="26"/>
  <c r="V29" i="26"/>
  <c r="K7" i="31"/>
  <c r="N7" i="31" s="1"/>
  <c r="D54" i="16"/>
  <c r="Q17" i="26"/>
  <c r="V45" i="26"/>
  <c r="AA16" i="26"/>
  <c r="Q16" i="26"/>
  <c r="Q45" i="26"/>
  <c r="Q47" i="26"/>
  <c r="Q23" i="26"/>
  <c r="Q39" i="26"/>
  <c r="V27" i="26"/>
  <c r="G24" i="26"/>
  <c r="V30" i="26"/>
  <c r="G14" i="26"/>
  <c r="Q50" i="26"/>
  <c r="Q44" i="26"/>
  <c r="Q28" i="26"/>
  <c r="K30" i="31"/>
  <c r="AA28" i="26"/>
  <c r="V15" i="26"/>
  <c r="Q42" i="26"/>
  <c r="Q41" i="26"/>
  <c r="G49" i="26"/>
  <c r="AA34" i="26"/>
  <c r="Q25" i="26"/>
  <c r="Q49" i="26"/>
  <c r="V41" i="26"/>
  <c r="V18" i="26"/>
  <c r="V51" i="26"/>
  <c r="AK48" i="39" s="1"/>
  <c r="Q46" i="26"/>
  <c r="V48" i="26"/>
  <c r="AA43" i="26"/>
  <c r="AA24" i="26"/>
  <c r="G43" i="26"/>
  <c r="AA19" i="26"/>
  <c r="Q24" i="26"/>
  <c r="V40" i="26"/>
  <c r="Q20" i="26"/>
  <c r="Q30" i="26"/>
  <c r="V39" i="26"/>
  <c r="AA42" i="26"/>
  <c r="Q22" i="26"/>
  <c r="Q19" i="26"/>
  <c r="Q34" i="26"/>
  <c r="Q26" i="26"/>
  <c r="V28" i="26"/>
  <c r="V36" i="26"/>
  <c r="V42" i="26"/>
  <c r="V47" i="26"/>
  <c r="AA20" i="26"/>
  <c r="P7" i="31"/>
  <c r="R7" i="31" s="1"/>
  <c r="AA39" i="26"/>
  <c r="Q29" i="26"/>
  <c r="Q31" i="26"/>
  <c r="Q40" i="26"/>
  <c r="Q14" i="26"/>
  <c r="Q51" i="26"/>
  <c r="AJ48" i="39" s="1"/>
  <c r="V44" i="26"/>
  <c r="V16" i="26"/>
  <c r="V14" i="26"/>
  <c r="V38" i="26"/>
  <c r="Q32" i="26"/>
  <c r="AA49" i="26"/>
  <c r="AA30" i="26"/>
  <c r="AA26" i="26"/>
  <c r="AA47" i="26"/>
  <c r="V19" i="26"/>
  <c r="V37" i="26"/>
  <c r="V43" i="26"/>
  <c r="V20" i="26"/>
  <c r="G31" i="31"/>
  <c r="N31" i="31" s="1"/>
  <c r="Q48" i="26"/>
  <c r="P32" i="31"/>
  <c r="I24" i="31"/>
  <c r="I17" i="31"/>
  <c r="I25" i="31"/>
  <c r="I15" i="31"/>
  <c r="I26" i="31"/>
  <c r="I14" i="31"/>
  <c r="I27" i="31"/>
  <c r="I16" i="31"/>
  <c r="P5" i="31"/>
  <c r="R5" i="31" s="1"/>
  <c r="P30" i="31"/>
  <c r="E17" i="31" l="1"/>
  <c r="G17" i="31"/>
  <c r="G30" i="31"/>
  <c r="N30" i="31" s="1"/>
  <c r="G11" i="31"/>
  <c r="E11" i="31"/>
  <c r="E16" i="31"/>
  <c r="G14" i="31"/>
  <c r="E14" i="31"/>
  <c r="G16" i="31"/>
  <c r="D22" i="16"/>
  <c r="D87" i="16"/>
  <c r="D52" i="16"/>
  <c r="P22" i="31" s="1"/>
  <c r="D28" i="16"/>
  <c r="D88" i="16"/>
  <c r="K26" i="31" s="1"/>
  <c r="D53" i="16"/>
  <c r="P16" i="31" s="1"/>
  <c r="D36" i="16"/>
  <c r="E29" i="31" s="1"/>
  <c r="D19" i="16"/>
  <c r="AL18" i="39"/>
  <c r="AL20" i="39"/>
  <c r="AH45" i="39"/>
  <c r="AL26" i="39"/>
  <c r="AH35" i="39"/>
  <c r="AJ16" i="39"/>
  <c r="AH14" i="39"/>
  <c r="AK28" i="39"/>
  <c r="AH16" i="39"/>
  <c r="AL29" i="39"/>
  <c r="AL39" i="39"/>
  <c r="AJ27" i="39"/>
  <c r="AH34" i="39"/>
  <c r="AJ32" i="39"/>
  <c r="AL14" i="39"/>
  <c r="AH22" i="39"/>
  <c r="AK35" i="39"/>
  <c r="AJ19" i="39"/>
  <c r="AH43" i="39"/>
  <c r="AH18" i="39"/>
  <c r="AK19" i="39"/>
  <c r="AL10" i="39"/>
  <c r="AL40" i="39"/>
  <c r="AK40" i="39"/>
  <c r="AJ38" i="39"/>
  <c r="AH28" i="39"/>
  <c r="AH23" i="39"/>
  <c r="AJ11" i="39"/>
  <c r="AK12" i="39"/>
  <c r="AL28" i="39"/>
  <c r="AK24" i="39"/>
  <c r="AH40" i="39"/>
  <c r="AH29" i="39"/>
  <c r="AJ31" i="39"/>
  <c r="AH33" i="39"/>
  <c r="AK30" i="39"/>
  <c r="AL46" i="39"/>
  <c r="AJ41" i="39"/>
  <c r="AJ40" i="39"/>
  <c r="AK38" i="39"/>
  <c r="AJ14" i="39"/>
  <c r="AJ29" i="39"/>
  <c r="AJ46" i="39"/>
  <c r="AL11" i="39"/>
  <c r="AH36" i="39"/>
  <c r="AH27" i="39"/>
  <c r="AK44" i="39"/>
  <c r="AJ22" i="39"/>
  <c r="AJ34" i="39"/>
  <c r="AK18" i="39"/>
  <c r="AH41" i="39"/>
  <c r="AL45" i="39"/>
  <c r="AL34" i="39"/>
  <c r="AH24" i="39"/>
  <c r="AJ37" i="39"/>
  <c r="AJ18" i="39"/>
  <c r="AL23" i="39"/>
  <c r="AJ10" i="39"/>
  <c r="AL36" i="39"/>
  <c r="AH10" i="39"/>
  <c r="AJ47" i="39"/>
  <c r="AJ17" i="39"/>
  <c r="AK29" i="39"/>
  <c r="AL24" i="39"/>
  <c r="AK11" i="39"/>
  <c r="AK39" i="39"/>
  <c r="AJ21" i="39"/>
  <c r="AK45" i="39"/>
  <c r="AJ28" i="39"/>
  <c r="AJ26" i="39"/>
  <c r="AH15" i="39"/>
  <c r="AL17" i="39"/>
  <c r="AH11" i="39"/>
  <c r="AK17" i="39"/>
  <c r="AK13" i="39"/>
  <c r="AL16" i="39"/>
  <c r="AH46" i="39"/>
  <c r="AK43" i="39"/>
  <c r="AL35" i="39"/>
  <c r="AH26" i="39"/>
  <c r="AH19" i="39"/>
  <c r="AL41" i="39"/>
  <c r="AL31" i="39"/>
  <c r="AH21" i="39"/>
  <c r="AK26" i="39"/>
  <c r="AH39" i="39"/>
  <c r="AH25" i="39"/>
  <c r="AH20" i="39"/>
  <c r="AH30" i="39"/>
  <c r="AK25" i="39"/>
  <c r="AJ45" i="39"/>
  <c r="AK33" i="39"/>
  <c r="AK41" i="39"/>
  <c r="AJ36" i="39"/>
  <c r="AK10" i="39"/>
  <c r="AK23" i="39"/>
  <c r="AK34" i="39"/>
  <c r="AJ23" i="39"/>
  <c r="AL21" i="39"/>
  <c r="AJ39" i="39"/>
  <c r="AJ20" i="39"/>
  <c r="AJ12" i="39"/>
  <c r="AJ33" i="39"/>
  <c r="AJ30" i="39"/>
  <c r="AK20" i="39"/>
  <c r="AL19" i="39"/>
  <c r="AH37" i="39"/>
  <c r="AL47" i="39"/>
  <c r="AH44" i="39"/>
  <c r="AK16" i="39"/>
  <c r="AK22" i="39"/>
  <c r="AK47" i="39"/>
  <c r="AJ35" i="39"/>
  <c r="AJ24" i="39"/>
  <c r="AH38" i="39"/>
  <c r="AK32" i="39"/>
  <c r="AH17" i="39"/>
  <c r="AH47" i="39"/>
  <c r="AK37" i="39"/>
  <c r="AL44" i="39"/>
  <c r="AL25" i="39"/>
  <c r="AJ42" i="39"/>
  <c r="AL42" i="39"/>
  <c r="AL12" i="39"/>
  <c r="AK31" i="39"/>
  <c r="AH13" i="39"/>
  <c r="AK21" i="39"/>
  <c r="AH12" i="39"/>
  <c r="AL30" i="39"/>
  <c r="AK27" i="39"/>
  <c r="AJ44" i="39"/>
  <c r="AJ43" i="39"/>
  <c r="AJ13" i="39"/>
  <c r="AK46" i="39"/>
  <c r="AL38" i="39"/>
  <c r="AH31" i="39"/>
  <c r="AH32" i="39"/>
  <c r="AL27" i="39"/>
  <c r="AJ25" i="39"/>
  <c r="AL13" i="39"/>
  <c r="AL37" i="39"/>
  <c r="AH42" i="39"/>
  <c r="AK14" i="39"/>
  <c r="AL33" i="39"/>
  <c r="AL43" i="39"/>
  <c r="AJ15" i="39"/>
  <c r="AK36" i="39"/>
  <c r="AK15" i="39"/>
  <c r="AK42" i="39"/>
  <c r="AL15" i="39"/>
  <c r="AL32" i="39"/>
  <c r="AL22" i="39"/>
  <c r="P6" i="31"/>
  <c r="R6" i="31" s="1"/>
  <c r="E12" i="31"/>
  <c r="P31" i="31"/>
  <c r="R31" i="31" s="1"/>
  <c r="G9" i="31"/>
  <c r="U5" i="31"/>
  <c r="G20" i="31"/>
  <c r="G21" i="31"/>
  <c r="E21" i="31"/>
  <c r="E20" i="31"/>
  <c r="D34" i="16"/>
  <c r="G22" i="31"/>
  <c r="E19" i="31"/>
  <c r="E22" i="31"/>
  <c r="G19" i="31"/>
  <c r="E9" i="31"/>
  <c r="G12" i="31"/>
  <c r="R30" i="31" l="1"/>
  <c r="U6" i="31"/>
  <c r="R9" i="39" s="1"/>
  <c r="U4" i="31"/>
  <c r="X9" i="39" s="1"/>
  <c r="G32" i="31"/>
  <c r="N32" i="31" s="1"/>
  <c r="E32" i="31"/>
  <c r="P26" i="31"/>
  <c r="K24" i="31"/>
  <c r="K16" i="31"/>
  <c r="N16" i="31" s="1"/>
  <c r="K15" i="31"/>
  <c r="N15" i="31" s="1"/>
  <c r="R16" i="31"/>
  <c r="K14" i="31"/>
  <c r="N14" i="31" s="1"/>
  <c r="G29" i="31"/>
  <c r="N29" i="31" s="1"/>
  <c r="K25" i="31"/>
  <c r="P21" i="31"/>
  <c r="R21" i="31" s="1"/>
  <c r="P10" i="31"/>
  <c r="R10" i="31" s="1"/>
  <c r="P12" i="31"/>
  <c r="R12" i="31" s="1"/>
  <c r="K27" i="31"/>
  <c r="K17" i="31"/>
  <c r="N17" i="31" s="1"/>
  <c r="K9" i="31"/>
  <c r="N9" i="31" s="1"/>
  <c r="K12" i="31"/>
  <c r="N12" i="31" s="1"/>
  <c r="K21" i="31"/>
  <c r="N21" i="31" s="1"/>
  <c r="K19" i="31"/>
  <c r="N19" i="31" s="1"/>
  <c r="K22" i="31"/>
  <c r="N22" i="31" s="1"/>
  <c r="K10" i="31"/>
  <c r="N10" i="31" s="1"/>
  <c r="K11" i="31"/>
  <c r="N11" i="31" s="1"/>
  <c r="K20" i="31"/>
  <c r="N20" i="31" s="1"/>
  <c r="P19" i="31"/>
  <c r="R19" i="31" s="1"/>
  <c r="P9" i="31"/>
  <c r="R9" i="31" s="1"/>
  <c r="P20" i="31"/>
  <c r="R20" i="31" s="1"/>
  <c r="P11" i="31"/>
  <c r="R11" i="31" s="1"/>
  <c r="P24" i="31"/>
  <c r="P27" i="31"/>
  <c r="P15" i="31"/>
  <c r="R15" i="31" s="1"/>
  <c r="P25" i="31"/>
  <c r="P17" i="31"/>
  <c r="R17" i="31" s="1"/>
  <c r="P14" i="31"/>
  <c r="R14" i="31" s="1"/>
  <c r="U7" i="31"/>
  <c r="S9" i="39" s="1"/>
  <c r="R22" i="31"/>
  <c r="P9" i="39"/>
  <c r="P10" i="39" s="1"/>
  <c r="Z9" i="39"/>
  <c r="G25" i="31"/>
  <c r="E25" i="31"/>
  <c r="G26" i="31"/>
  <c r="E26" i="31"/>
  <c r="E27" i="31"/>
  <c r="G27" i="31"/>
  <c r="E24" i="31"/>
  <c r="G24" i="31"/>
  <c r="AB9" i="39" l="1"/>
  <c r="AE9" i="39" s="1"/>
  <c r="N9" i="39"/>
  <c r="U9" i="39" s="1"/>
  <c r="R32" i="31"/>
  <c r="R29" i="31"/>
  <c r="AA4" i="31"/>
  <c r="W4" i="31"/>
  <c r="BR9" i="39" s="1"/>
  <c r="AC9" i="39"/>
  <c r="N24" i="31"/>
  <c r="R24" i="31"/>
  <c r="N27" i="31"/>
  <c r="R27" i="31"/>
  <c r="U21" i="31"/>
  <c r="R26" i="31"/>
  <c r="N26" i="31"/>
  <c r="U22" i="31"/>
  <c r="R25" i="31"/>
  <c r="N25" i="31"/>
  <c r="U19" i="31"/>
  <c r="U20" i="31"/>
  <c r="CT10" i="39"/>
  <c r="BL10" i="39"/>
  <c r="AD9" i="39" l="1"/>
  <c r="O10" i="39"/>
  <c r="P11" i="39" s="1"/>
  <c r="N10" i="39"/>
  <c r="BJ10" i="39" s="1"/>
  <c r="Q10" i="39"/>
  <c r="CU10" i="39" s="1"/>
  <c r="T9" i="39"/>
  <c r="DA9" i="39"/>
  <c r="DB9" i="39"/>
  <c r="P36" i="31"/>
  <c r="R36" i="31" s="1"/>
  <c r="DD9" i="39"/>
  <c r="CU9" i="39"/>
  <c r="CS9" i="39"/>
  <c r="DF9" i="39"/>
  <c r="CW9" i="39"/>
  <c r="CR9" i="39"/>
  <c r="P34" i="31"/>
  <c r="R34" i="31" s="1"/>
  <c r="BM9" i="39"/>
  <c r="BT9" i="39"/>
  <c r="BO9" i="39"/>
  <c r="K36" i="31"/>
  <c r="N36" i="31" s="1"/>
  <c r="BS9" i="39"/>
  <c r="K34" i="31"/>
  <c r="N34" i="31" s="1"/>
  <c r="BK9" i="39"/>
  <c r="BJ9" i="39"/>
  <c r="BU9" i="39"/>
  <c r="BV9" i="39"/>
  <c r="BW9" i="39"/>
  <c r="U24" i="31"/>
  <c r="W22" i="31" s="1"/>
  <c r="CT11" i="39" l="1"/>
  <c r="BL11" i="39"/>
  <c r="BM10" i="39"/>
  <c r="CR10" i="39"/>
  <c r="O11" i="39"/>
  <c r="Q11" i="39"/>
  <c r="N11" i="39"/>
  <c r="BK10" i="39"/>
  <c r="CS10" i="39"/>
  <c r="DG9" i="39"/>
  <c r="AC4" i="31"/>
  <c r="DT9" i="39" s="1"/>
  <c r="CX9" i="39"/>
  <c r="BP9" i="39"/>
  <c r="Y4" i="31"/>
  <c r="CD9" i="39" s="1"/>
  <c r="BX9" i="39"/>
  <c r="W21" i="31"/>
  <c r="W20" i="31"/>
  <c r="W19" i="31"/>
  <c r="BD9" i="39"/>
  <c r="AU9" i="39"/>
  <c r="Z10" i="39"/>
  <c r="AR9" i="39" l="1"/>
  <c r="AR10" i="39" s="1"/>
  <c r="CL9" i="39"/>
  <c r="DK9" i="39"/>
  <c r="CC9" i="39"/>
  <c r="AY9" i="39"/>
  <c r="DS9" i="39"/>
  <c r="CA9" i="39"/>
  <c r="DJ9" i="39"/>
  <c r="P12" i="39"/>
  <c r="Z11" i="39" s="1"/>
  <c r="CS11" i="39"/>
  <c r="BK11" i="39"/>
  <c r="CO9" i="39"/>
  <c r="CF9" i="39"/>
  <c r="X10" i="39"/>
  <c r="BR10" i="39" s="1"/>
  <c r="CR11" i="39"/>
  <c r="BJ11" i="39"/>
  <c r="CU11" i="39"/>
  <c r="BM11" i="39"/>
  <c r="DM9" i="39"/>
  <c r="CN9" i="39"/>
  <c r="CE9" i="39"/>
  <c r="DO9" i="39"/>
  <c r="AA10" i="39"/>
  <c r="BU10" i="39" s="1"/>
  <c r="Y10" i="39"/>
  <c r="DB10" i="39" s="1"/>
  <c r="O12" i="39"/>
  <c r="N12" i="39"/>
  <c r="Q12" i="39"/>
  <c r="AG4" i="31"/>
  <c r="DX9" i="39"/>
  <c r="CK9" i="39"/>
  <c r="CM9" i="39"/>
  <c r="CB9" i="39"/>
  <c r="AE4" i="31"/>
  <c r="BA9" i="39"/>
  <c r="DU9" i="39" s="1"/>
  <c r="W24" i="31"/>
  <c r="AT9" i="39"/>
  <c r="BC9" i="39"/>
  <c r="DW9" i="39" s="1"/>
  <c r="CJ9" i="39"/>
  <c r="AP9" i="39"/>
  <c r="BT10" i="39"/>
  <c r="DC10" i="39"/>
  <c r="DP9" i="39" l="1"/>
  <c r="DA10" i="39"/>
  <c r="DC11" i="39"/>
  <c r="BT11" i="39"/>
  <c r="X11" i="39"/>
  <c r="BJ12" i="39"/>
  <c r="CR12" i="39"/>
  <c r="CT12" i="39"/>
  <c r="BL12" i="39"/>
  <c r="CU12" i="39"/>
  <c r="BM12" i="39"/>
  <c r="Y11" i="39"/>
  <c r="CS12" i="39"/>
  <c r="BK12" i="39"/>
  <c r="DD10" i="39"/>
  <c r="BS10" i="39"/>
  <c r="AA11" i="39"/>
  <c r="N13" i="39"/>
  <c r="P13" i="39"/>
  <c r="O13" i="39"/>
  <c r="Q13" i="39"/>
  <c r="AI4" i="31"/>
  <c r="CP9" i="39"/>
  <c r="CG9" i="39"/>
  <c r="DY9" i="39"/>
  <c r="AQ10" i="39"/>
  <c r="AR11" i="39" s="1"/>
  <c r="BE9" i="39"/>
  <c r="BF9" i="39"/>
  <c r="AW9" i="39"/>
  <c r="AV9" i="39"/>
  <c r="AS10" i="39"/>
  <c r="AP10" i="39"/>
  <c r="AS11" i="39" s="1"/>
  <c r="DL10" i="39"/>
  <c r="CC10" i="39"/>
  <c r="CC11" i="39" l="1"/>
  <c r="DL11" i="39"/>
  <c r="BS11" i="39"/>
  <c r="DB11" i="39"/>
  <c r="DM11" i="39"/>
  <c r="CD11" i="39"/>
  <c r="CS13" i="39"/>
  <c r="BK13" i="39"/>
  <c r="CU13" i="39"/>
  <c r="BM13" i="39"/>
  <c r="CT13" i="39"/>
  <c r="BL13" i="39"/>
  <c r="X12" i="39"/>
  <c r="CR13" i="39"/>
  <c r="BJ13" i="39"/>
  <c r="DD11" i="39"/>
  <c r="BU11" i="39"/>
  <c r="DA11" i="39"/>
  <c r="BR11" i="39"/>
  <c r="O14" i="39"/>
  <c r="Z12" i="39"/>
  <c r="N14" i="39"/>
  <c r="Y12" i="39"/>
  <c r="AA12" i="39"/>
  <c r="P14" i="39"/>
  <c r="Q14" i="39"/>
  <c r="DK10" i="39"/>
  <c r="CB10" i="39"/>
  <c r="AP11" i="39"/>
  <c r="AQ11" i="39"/>
  <c r="DJ10" i="39"/>
  <c r="CA10" i="39"/>
  <c r="CD10" i="39"/>
  <c r="DM10" i="39"/>
  <c r="BA10" i="39"/>
  <c r="BB10" i="39"/>
  <c r="CB11" i="39" l="1"/>
  <c r="DK11" i="39"/>
  <c r="CU14" i="39"/>
  <c r="BM14" i="39"/>
  <c r="Z13" i="39"/>
  <c r="CT14" i="39"/>
  <c r="BL14" i="39"/>
  <c r="BR12" i="39"/>
  <c r="DA12" i="39"/>
  <c r="DD12" i="39"/>
  <c r="BU12" i="39"/>
  <c r="DB12" i="39"/>
  <c r="BS12" i="39"/>
  <c r="Y13" i="39"/>
  <c r="CS14" i="39"/>
  <c r="BK14" i="39"/>
  <c r="AY10" i="39"/>
  <c r="CJ10" i="39" s="1"/>
  <c r="DJ11" i="39"/>
  <c r="CA11" i="39"/>
  <c r="X13" i="39"/>
  <c r="CR14" i="39"/>
  <c r="BJ14" i="39"/>
  <c r="DC12" i="39"/>
  <c r="BT12" i="39"/>
  <c r="O15" i="39"/>
  <c r="N15" i="39"/>
  <c r="Q15" i="39"/>
  <c r="P15" i="39"/>
  <c r="AA13" i="39"/>
  <c r="AR12" i="39"/>
  <c r="AZ10" i="39"/>
  <c r="DT10" i="39" s="1"/>
  <c r="AP12" i="39"/>
  <c r="AS12" i="39"/>
  <c r="AQ12" i="39"/>
  <c r="DU10" i="39"/>
  <c r="CL10" i="39"/>
  <c r="DV10" i="39"/>
  <c r="CM10" i="39"/>
  <c r="DS10" i="39" l="1"/>
  <c r="DM12" i="39"/>
  <c r="CD12" i="39"/>
  <c r="AY11" i="39"/>
  <c r="DJ12" i="39"/>
  <c r="CA12" i="39"/>
  <c r="DD13" i="39"/>
  <c r="BU13" i="39"/>
  <c r="DC13" i="39"/>
  <c r="BT13" i="39"/>
  <c r="DK12" i="39"/>
  <c r="CB12" i="39"/>
  <c r="DA13" i="39"/>
  <c r="BR13" i="39"/>
  <c r="X14" i="39"/>
  <c r="CR15" i="39"/>
  <c r="BJ15" i="39"/>
  <c r="BS13" i="39"/>
  <c r="DB13" i="39"/>
  <c r="BA11" i="39"/>
  <c r="DU11" i="39" s="1"/>
  <c r="DL12" i="39"/>
  <c r="CC12" i="39"/>
  <c r="Z14" i="39"/>
  <c r="BL15" i="39"/>
  <c r="CT15" i="39"/>
  <c r="AA14" i="39"/>
  <c r="CU15" i="39"/>
  <c r="BM15" i="39"/>
  <c r="CS15" i="39"/>
  <c r="BK15" i="39"/>
  <c r="Y14" i="39"/>
  <c r="N16" i="39"/>
  <c r="Q16" i="39"/>
  <c r="O16" i="39"/>
  <c r="P16" i="39"/>
  <c r="CK10" i="39"/>
  <c r="AZ11" i="39"/>
  <c r="AR13" i="39"/>
  <c r="BB11" i="39"/>
  <c r="AP13" i="39"/>
  <c r="AQ13" i="39"/>
  <c r="AS13" i="39"/>
  <c r="CL11" i="39" l="1"/>
  <c r="Y15" i="39"/>
  <c r="CS16" i="39"/>
  <c r="BK16" i="39"/>
  <c r="CU16" i="39"/>
  <c r="BM16" i="39"/>
  <c r="CD13" i="39"/>
  <c r="DM13" i="39"/>
  <c r="AP14" i="39"/>
  <c r="AQ15" i="39" s="1"/>
  <c r="DJ13" i="39"/>
  <c r="CA13" i="39"/>
  <c r="Z15" i="39"/>
  <c r="CT16" i="39"/>
  <c r="BL16" i="39"/>
  <c r="DC14" i="39"/>
  <c r="BT14" i="39"/>
  <c r="X15" i="39"/>
  <c r="CR16" i="39"/>
  <c r="BJ16" i="39"/>
  <c r="DB14" i="39"/>
  <c r="BS14" i="39"/>
  <c r="AZ12" i="39"/>
  <c r="CB13" i="39"/>
  <c r="DK13" i="39"/>
  <c r="CM11" i="39"/>
  <c r="DV11" i="39"/>
  <c r="BA12" i="39"/>
  <c r="CC13" i="39"/>
  <c r="DL13" i="39"/>
  <c r="DA14" i="39"/>
  <c r="BR14" i="39"/>
  <c r="DS11" i="39"/>
  <c r="CJ11" i="39"/>
  <c r="CK11" i="39"/>
  <c r="DT11" i="39"/>
  <c r="DD14" i="39"/>
  <c r="BU14" i="39"/>
  <c r="Q17" i="39"/>
  <c r="N17" i="39"/>
  <c r="O17" i="39"/>
  <c r="AA15" i="39"/>
  <c r="P17" i="39"/>
  <c r="AY12" i="39"/>
  <c r="AR14" i="39"/>
  <c r="AS14" i="39"/>
  <c r="AQ14" i="39"/>
  <c r="BB12" i="39"/>
  <c r="AS15" i="39" l="1"/>
  <c r="CD15" i="39" s="1"/>
  <c r="AP15" i="39"/>
  <c r="AY14" i="39" s="1"/>
  <c r="AA16" i="39"/>
  <c r="BM17" i="39"/>
  <c r="CU17" i="39"/>
  <c r="BT15" i="39"/>
  <c r="DC15" i="39"/>
  <c r="CM12" i="39"/>
  <c r="DV12" i="39"/>
  <c r="AZ13" i="39"/>
  <c r="CB14" i="39"/>
  <c r="DK14" i="39"/>
  <c r="AY13" i="39"/>
  <c r="DJ14" i="39"/>
  <c r="CA14" i="39"/>
  <c r="DK15" i="39"/>
  <c r="CB15" i="39"/>
  <c r="DT12" i="39"/>
  <c r="CK12" i="39"/>
  <c r="CD14" i="39"/>
  <c r="DM14" i="39"/>
  <c r="BA13" i="39"/>
  <c r="DL14" i="39"/>
  <c r="CC14" i="39"/>
  <c r="DS12" i="39"/>
  <c r="CJ12" i="39"/>
  <c r="Z16" i="39"/>
  <c r="BL17" i="39"/>
  <c r="CT17" i="39"/>
  <c r="DD15" i="39"/>
  <c r="BU15" i="39"/>
  <c r="DA15" i="39"/>
  <c r="BR15" i="39"/>
  <c r="Y16" i="39"/>
  <c r="CS17" i="39"/>
  <c r="BK17" i="39"/>
  <c r="X16" i="39"/>
  <c r="CR17" i="39"/>
  <c r="BJ17" i="39"/>
  <c r="DU12" i="39"/>
  <c r="CL12" i="39"/>
  <c r="BS15" i="39"/>
  <c r="DB15" i="39"/>
  <c r="O18" i="39"/>
  <c r="Q18" i="39"/>
  <c r="N18" i="39"/>
  <c r="P18" i="39"/>
  <c r="BB13" i="39"/>
  <c r="AR15" i="39"/>
  <c r="AZ14" i="39"/>
  <c r="AP16" i="39" l="1"/>
  <c r="DJ16" i="39" s="1"/>
  <c r="AQ16" i="39"/>
  <c r="CB16" i="39" s="1"/>
  <c r="CA15" i="39"/>
  <c r="AS16" i="39"/>
  <c r="BB15" i="39" s="1"/>
  <c r="DJ15" i="39"/>
  <c r="BB14" i="39"/>
  <c r="CM14" i="39" s="1"/>
  <c r="DM15" i="39"/>
  <c r="X17" i="39"/>
  <c r="CR18" i="39"/>
  <c r="BJ18" i="39"/>
  <c r="BS16" i="39"/>
  <c r="DB16" i="39"/>
  <c r="DU13" i="39"/>
  <c r="CL13" i="39"/>
  <c r="DD16" i="39"/>
  <c r="BU16" i="39"/>
  <c r="BM18" i="39"/>
  <c r="CU18" i="39"/>
  <c r="Y17" i="39"/>
  <c r="CS18" i="39"/>
  <c r="BK18" i="39"/>
  <c r="DS13" i="39"/>
  <c r="CJ13" i="39"/>
  <c r="DT13" i="39"/>
  <c r="CK13" i="39"/>
  <c r="DT14" i="39"/>
  <c r="CK14" i="39"/>
  <c r="DC16" i="39"/>
  <c r="BT16" i="39"/>
  <c r="DS14" i="39"/>
  <c r="CJ14" i="39"/>
  <c r="AR16" i="39"/>
  <c r="CC15" i="39"/>
  <c r="DL15" i="39"/>
  <c r="DA16" i="39"/>
  <c r="BR16" i="39"/>
  <c r="CM13" i="39"/>
  <c r="DV13" i="39"/>
  <c r="Z17" i="39"/>
  <c r="CT18" i="39"/>
  <c r="BL18" i="39"/>
  <c r="AA17" i="39"/>
  <c r="O19" i="39"/>
  <c r="N19" i="39"/>
  <c r="Q19" i="39"/>
  <c r="P19" i="39"/>
  <c r="BA14" i="39"/>
  <c r="AZ15" i="39" l="1"/>
  <c r="DT15" i="39" s="1"/>
  <c r="DM16" i="39"/>
  <c r="AP17" i="39"/>
  <c r="AY16" i="39" s="1"/>
  <c r="CD16" i="39"/>
  <c r="DK16" i="39"/>
  <c r="DV14" i="39"/>
  <c r="AY15" i="39"/>
  <c r="CJ15" i="39" s="1"/>
  <c r="CA16" i="39"/>
  <c r="AS17" i="39"/>
  <c r="CD17" i="39" s="1"/>
  <c r="AQ17" i="39"/>
  <c r="CB17" i="39" s="1"/>
  <c r="BA15" i="39"/>
  <c r="CC16" i="39"/>
  <c r="DL16" i="39"/>
  <c r="BU17" i="39"/>
  <c r="DD17" i="39"/>
  <c r="AR17" i="39"/>
  <c r="Z18" i="39"/>
  <c r="CT19" i="39"/>
  <c r="BL19" i="39"/>
  <c r="CR19" i="39"/>
  <c r="BJ19" i="39"/>
  <c r="BS17" i="39"/>
  <c r="DB17" i="39"/>
  <c r="CS19" i="39"/>
  <c r="BK19" i="39"/>
  <c r="BT17" i="39"/>
  <c r="DC17" i="39"/>
  <c r="DU14" i="39"/>
  <c r="CL14" i="39"/>
  <c r="BM19" i="39"/>
  <c r="CU19" i="39"/>
  <c r="CM15" i="39"/>
  <c r="DV15" i="39"/>
  <c r="DA17" i="39"/>
  <c r="BR17" i="39"/>
  <c r="Y18" i="39"/>
  <c r="Q20" i="39"/>
  <c r="AA18" i="39"/>
  <c r="N20" i="39"/>
  <c r="X18" i="39"/>
  <c r="O20" i="39"/>
  <c r="P20" i="39"/>
  <c r="AS18" i="39" l="1"/>
  <c r="BB17" i="39" s="1"/>
  <c r="AP18" i="39"/>
  <c r="AP19" i="39" s="1"/>
  <c r="AQ18" i="39"/>
  <c r="AZ17" i="39" s="1"/>
  <c r="CA17" i="39"/>
  <c r="CK15" i="39"/>
  <c r="DJ17" i="39"/>
  <c r="DK17" i="39"/>
  <c r="AZ16" i="39"/>
  <c r="CK16" i="39" s="1"/>
  <c r="AR18" i="39"/>
  <c r="BA17" i="39" s="1"/>
  <c r="DS15" i="39"/>
  <c r="DM17" i="39"/>
  <c r="BB16" i="39"/>
  <c r="CM16" i="39" s="1"/>
  <c r="BT18" i="39"/>
  <c r="DC18" i="39"/>
  <c r="Y19" i="39"/>
  <c r="CS20" i="39"/>
  <c r="BK20" i="39"/>
  <c r="DD18" i="39"/>
  <c r="BU18" i="39"/>
  <c r="DB18" i="39"/>
  <c r="BS18" i="39"/>
  <c r="CJ16" i="39"/>
  <c r="DS16" i="39"/>
  <c r="BA16" i="39"/>
  <c r="DL17" i="39"/>
  <c r="CC17" i="39"/>
  <c r="Z19" i="39"/>
  <c r="CT20" i="39"/>
  <c r="BL20" i="39"/>
  <c r="BR18" i="39"/>
  <c r="DA18" i="39"/>
  <c r="O21" i="39"/>
  <c r="Y20" i="39" s="1"/>
  <c r="CR20" i="39"/>
  <c r="BJ20" i="39"/>
  <c r="AA19" i="39"/>
  <c r="CU20" i="39"/>
  <c r="BM20" i="39"/>
  <c r="CL15" i="39"/>
  <c r="DU15" i="39"/>
  <c r="N21" i="39"/>
  <c r="Q21" i="39"/>
  <c r="X19" i="39"/>
  <c r="P21" i="39"/>
  <c r="CB18" i="39" l="1"/>
  <c r="DK18" i="39"/>
  <c r="AS19" i="39"/>
  <c r="BB18" i="39" s="1"/>
  <c r="AY17" i="39"/>
  <c r="DS17" i="39" s="1"/>
  <c r="AQ19" i="39"/>
  <c r="DK19" i="39" s="1"/>
  <c r="DJ18" i="39"/>
  <c r="DM18" i="39"/>
  <c r="CD18" i="39"/>
  <c r="CA18" i="39"/>
  <c r="DL18" i="39"/>
  <c r="DT16" i="39"/>
  <c r="CC18" i="39"/>
  <c r="DV16" i="39"/>
  <c r="AR19" i="39"/>
  <c r="DB20" i="39"/>
  <c r="BS20" i="39"/>
  <c r="DU16" i="39"/>
  <c r="CL16" i="39"/>
  <c r="BM21" i="39"/>
  <c r="CU21" i="39"/>
  <c r="BJ21" i="39"/>
  <c r="CR21" i="39"/>
  <c r="DV17" i="39"/>
  <c r="CM17" i="39"/>
  <c r="DB19" i="39"/>
  <c r="BS19" i="39"/>
  <c r="CK17" i="39"/>
  <c r="DT17" i="39"/>
  <c r="Z20" i="39"/>
  <c r="CT21" i="39"/>
  <c r="BL21" i="39"/>
  <c r="BR19" i="39"/>
  <c r="DA19" i="39"/>
  <c r="BK21" i="39"/>
  <c r="CS21" i="39"/>
  <c r="DJ19" i="39"/>
  <c r="CA19" i="39"/>
  <c r="BT19" i="39"/>
  <c r="DC19" i="39"/>
  <c r="DU17" i="39"/>
  <c r="CL17" i="39"/>
  <c r="DD19" i="39"/>
  <c r="BU19" i="39"/>
  <c r="O22" i="39"/>
  <c r="X20" i="39"/>
  <c r="Q22" i="39"/>
  <c r="N22" i="39"/>
  <c r="AA20" i="39"/>
  <c r="P22" i="39"/>
  <c r="AS20" i="39"/>
  <c r="AQ20" i="39"/>
  <c r="AP20" i="39"/>
  <c r="AY18" i="39"/>
  <c r="CJ17" i="39" l="1"/>
  <c r="CD19" i="39"/>
  <c r="DM19" i="39"/>
  <c r="AR20" i="39"/>
  <c r="DL20" i="39" s="1"/>
  <c r="AZ18" i="39"/>
  <c r="DT18" i="39" s="1"/>
  <c r="CB19" i="39"/>
  <c r="CC19" i="39"/>
  <c r="DL19" i="39"/>
  <c r="BA18" i="39"/>
  <c r="DU18" i="39" s="1"/>
  <c r="DJ20" i="39"/>
  <c r="CA20" i="39"/>
  <c r="AZ19" i="39"/>
  <c r="DK20" i="39"/>
  <c r="CB20" i="39"/>
  <c r="DV18" i="39"/>
  <c r="CM18" i="39"/>
  <c r="CD20" i="39"/>
  <c r="DM20" i="39"/>
  <c r="Z21" i="39"/>
  <c r="CT22" i="39"/>
  <c r="BL22" i="39"/>
  <c r="BT20" i="39"/>
  <c r="DC20" i="39"/>
  <c r="X21" i="39"/>
  <c r="BJ22" i="39"/>
  <c r="CR22" i="39"/>
  <c r="BR20" i="39"/>
  <c r="DA20" i="39"/>
  <c r="Y21" i="39"/>
  <c r="BK22" i="39"/>
  <c r="CS22" i="39"/>
  <c r="BU20" i="39"/>
  <c r="DD20" i="39"/>
  <c r="AA21" i="39"/>
  <c r="CU22" i="39"/>
  <c r="BM22" i="39"/>
  <c r="DS18" i="39"/>
  <c r="CJ18" i="39"/>
  <c r="N23" i="39"/>
  <c r="O23" i="39"/>
  <c r="Q23" i="39"/>
  <c r="P23" i="39"/>
  <c r="AQ21" i="39"/>
  <c r="AP21" i="39"/>
  <c r="AS21" i="39"/>
  <c r="BB19" i="39"/>
  <c r="AY19" i="39"/>
  <c r="CK18" i="39" l="1"/>
  <c r="CC20" i="39"/>
  <c r="BA19" i="39"/>
  <c r="CL19" i="39" s="1"/>
  <c r="AR21" i="39"/>
  <c r="BA20" i="39" s="1"/>
  <c r="CL18" i="39"/>
  <c r="X22" i="39"/>
  <c r="BJ23" i="39"/>
  <c r="CR23" i="39"/>
  <c r="BT21" i="39"/>
  <c r="DC21" i="39"/>
  <c r="DV19" i="39"/>
  <c r="CM19" i="39"/>
  <c r="BS21" i="39"/>
  <c r="DB21" i="39"/>
  <c r="AZ20" i="39"/>
  <c r="DK21" i="39"/>
  <c r="CB21" i="39"/>
  <c r="CJ19" i="39"/>
  <c r="DS19" i="39"/>
  <c r="BB20" i="39"/>
  <c r="DM21" i="39"/>
  <c r="CD21" i="39"/>
  <c r="DJ21" i="39"/>
  <c r="CA21" i="39"/>
  <c r="Z22" i="39"/>
  <c r="BL23" i="39"/>
  <c r="CT23" i="39"/>
  <c r="BR21" i="39"/>
  <c r="DA21" i="39"/>
  <c r="CK19" i="39"/>
  <c r="DT19" i="39"/>
  <c r="AA22" i="39"/>
  <c r="BM23" i="39"/>
  <c r="CU23" i="39"/>
  <c r="BK23" i="39"/>
  <c r="CS23" i="39"/>
  <c r="BU21" i="39"/>
  <c r="DD21" i="39"/>
  <c r="Q24" i="39"/>
  <c r="Y22" i="39"/>
  <c r="N24" i="39"/>
  <c r="O24" i="39"/>
  <c r="P24" i="39"/>
  <c r="AQ22" i="39"/>
  <c r="AP22" i="39"/>
  <c r="AS22" i="39"/>
  <c r="AY20" i="39"/>
  <c r="AR22" i="39" l="1"/>
  <c r="BA21" i="39" s="1"/>
  <c r="DL21" i="39"/>
  <c r="CC21" i="39"/>
  <c r="DU19" i="39"/>
  <c r="CJ20" i="39"/>
  <c r="DS20" i="39"/>
  <c r="DT20" i="39"/>
  <c r="CK20" i="39"/>
  <c r="AY21" i="39"/>
  <c r="CA22" i="39"/>
  <c r="DJ22" i="39"/>
  <c r="AZ21" i="39"/>
  <c r="DK22" i="39"/>
  <c r="CB22" i="39"/>
  <c r="DD22" i="39"/>
  <c r="BU22" i="39"/>
  <c r="Z23" i="39"/>
  <c r="CT24" i="39"/>
  <c r="BL24" i="39"/>
  <c r="Y23" i="39"/>
  <c r="CS24" i="39"/>
  <c r="BK24" i="39"/>
  <c r="DB22" i="39"/>
  <c r="BS22" i="39"/>
  <c r="BB21" i="39"/>
  <c r="DM22" i="39"/>
  <c r="CD22" i="39"/>
  <c r="DU20" i="39"/>
  <c r="CL20" i="39"/>
  <c r="X23" i="39"/>
  <c r="BJ24" i="39"/>
  <c r="CR24" i="39"/>
  <c r="DV20" i="39"/>
  <c r="CM20" i="39"/>
  <c r="BM24" i="39"/>
  <c r="CU24" i="39"/>
  <c r="BT22" i="39"/>
  <c r="DC22" i="39"/>
  <c r="BR22" i="39"/>
  <c r="DA22" i="39"/>
  <c r="N25" i="39"/>
  <c r="AA23" i="39"/>
  <c r="Q25" i="39"/>
  <c r="O25" i="39"/>
  <c r="P25" i="39"/>
  <c r="AQ23" i="39"/>
  <c r="AP23" i="39"/>
  <c r="AS23" i="39"/>
  <c r="AR23" i="39" l="1"/>
  <c r="DL23" i="39" s="1"/>
  <c r="CC22" i="39"/>
  <c r="DL22" i="39"/>
  <c r="CL21" i="39"/>
  <c r="DU21" i="39"/>
  <c r="AZ22" i="39"/>
  <c r="CB23" i="39"/>
  <c r="DK23" i="39"/>
  <c r="DS21" i="39"/>
  <c r="CJ21" i="39"/>
  <c r="CS25" i="39"/>
  <c r="BK25" i="39"/>
  <c r="DB23" i="39"/>
  <c r="BS23" i="39"/>
  <c r="DV21" i="39"/>
  <c r="CM21" i="39"/>
  <c r="BB22" i="39"/>
  <c r="DM23" i="39"/>
  <c r="CD23" i="39"/>
  <c r="CK21" i="39"/>
  <c r="DT21" i="39"/>
  <c r="DJ23" i="39"/>
  <c r="CA23" i="39"/>
  <c r="Z24" i="39"/>
  <c r="CT25" i="39"/>
  <c r="BL25" i="39"/>
  <c r="AA24" i="39"/>
  <c r="BM25" i="39"/>
  <c r="CU25" i="39"/>
  <c r="DD23" i="39"/>
  <c r="BU23" i="39"/>
  <c r="DA23" i="39"/>
  <c r="BR23" i="39"/>
  <c r="X24" i="39"/>
  <c r="BJ25" i="39"/>
  <c r="CR25" i="39"/>
  <c r="BT23" i="39"/>
  <c r="DC23" i="39"/>
  <c r="N26" i="39"/>
  <c r="O26" i="39"/>
  <c r="Q26" i="39"/>
  <c r="Y24" i="39"/>
  <c r="P26" i="39"/>
  <c r="AQ24" i="39"/>
  <c r="AP24" i="39"/>
  <c r="AS24" i="39"/>
  <c r="AY22" i="39"/>
  <c r="BA22" i="39" l="1"/>
  <c r="CL22" i="39" s="1"/>
  <c r="CC23" i="39"/>
  <c r="AR24" i="39"/>
  <c r="AR25" i="39" s="1"/>
  <c r="DC24" i="39"/>
  <c r="BT24" i="39"/>
  <c r="BR24" i="39"/>
  <c r="DA24" i="39"/>
  <c r="DK24" i="39"/>
  <c r="CB24" i="39"/>
  <c r="CT26" i="39"/>
  <c r="BL26" i="39"/>
  <c r="DB24" i="39"/>
  <c r="BS24" i="39"/>
  <c r="DT22" i="39"/>
  <c r="CK22" i="39"/>
  <c r="AA25" i="39"/>
  <c r="CU26" i="39"/>
  <c r="BM26" i="39"/>
  <c r="CM22" i="39"/>
  <c r="DV22" i="39"/>
  <c r="DS22" i="39"/>
  <c r="CJ22" i="39"/>
  <c r="BB23" i="39"/>
  <c r="DM24" i="39"/>
  <c r="CD24" i="39"/>
  <c r="DJ24" i="39"/>
  <c r="CA24" i="39"/>
  <c r="Y25" i="39"/>
  <c r="CS26" i="39"/>
  <c r="BK26" i="39"/>
  <c r="O27" i="39"/>
  <c r="CR26" i="39"/>
  <c r="BJ26" i="39"/>
  <c r="DD24" i="39"/>
  <c r="BU24" i="39"/>
  <c r="X25" i="39"/>
  <c r="N27" i="39"/>
  <c r="Q27" i="39"/>
  <c r="P27" i="39"/>
  <c r="Z25" i="39"/>
  <c r="AQ25" i="39"/>
  <c r="AP25" i="39"/>
  <c r="AS25" i="39"/>
  <c r="AY23" i="39"/>
  <c r="AZ23" i="39"/>
  <c r="DU22" i="39" l="1"/>
  <c r="DL24" i="39"/>
  <c r="CC24" i="39"/>
  <c r="BA23" i="39"/>
  <c r="DU23" i="39" s="1"/>
  <c r="DS23" i="39"/>
  <c r="CJ23" i="39"/>
  <c r="BB24" i="39"/>
  <c r="DM25" i="39"/>
  <c r="CD25" i="39"/>
  <c r="DJ25" i="39"/>
  <c r="CA25" i="39"/>
  <c r="AZ24" i="39"/>
  <c r="CB25" i="39"/>
  <c r="DK25" i="39"/>
  <c r="DV23" i="39"/>
  <c r="CM23" i="39"/>
  <c r="AA26" i="39"/>
  <c r="CU27" i="39"/>
  <c r="BM27" i="39"/>
  <c r="X26" i="39"/>
  <c r="BJ27" i="39"/>
  <c r="CR27" i="39"/>
  <c r="DB25" i="39"/>
  <c r="BS25" i="39"/>
  <c r="BA24" i="39"/>
  <c r="CC25" i="39"/>
  <c r="DL25" i="39"/>
  <c r="DC25" i="39"/>
  <c r="BT25" i="39"/>
  <c r="CS27" i="39"/>
  <c r="BK27" i="39"/>
  <c r="P28" i="39"/>
  <c r="CT27" i="39"/>
  <c r="BL27" i="39"/>
  <c r="DA25" i="39"/>
  <c r="BR25" i="39"/>
  <c r="Y26" i="39"/>
  <c r="CK23" i="39"/>
  <c r="DT23" i="39"/>
  <c r="BU25" i="39"/>
  <c r="DD25" i="39"/>
  <c r="Q28" i="39"/>
  <c r="O28" i="39"/>
  <c r="Z26" i="39"/>
  <c r="N28" i="39"/>
  <c r="AQ26" i="39"/>
  <c r="AP26" i="39"/>
  <c r="AS26" i="39"/>
  <c r="AY24" i="39"/>
  <c r="AR26" i="39"/>
  <c r="CL23" i="39" l="1"/>
  <c r="DB26" i="39"/>
  <c r="BS26" i="39"/>
  <c r="CL24" i="39"/>
  <c r="DU24" i="39"/>
  <c r="CK24" i="39"/>
  <c r="DT24" i="39"/>
  <c r="DC26" i="39"/>
  <c r="BT26" i="39"/>
  <c r="CS28" i="39"/>
  <c r="BK28" i="39"/>
  <c r="Z27" i="39"/>
  <c r="CT28" i="39"/>
  <c r="BL28" i="39"/>
  <c r="BA25" i="39"/>
  <c r="CC26" i="39"/>
  <c r="DL26" i="39"/>
  <c r="DS24" i="39"/>
  <c r="CJ24" i="39"/>
  <c r="DM26" i="39"/>
  <c r="CD26" i="39"/>
  <c r="AY25" i="39"/>
  <c r="DJ26" i="39"/>
  <c r="CA26" i="39"/>
  <c r="AZ25" i="39"/>
  <c r="DK26" i="39"/>
  <c r="CB26" i="39"/>
  <c r="CR28" i="39"/>
  <c r="BJ28" i="39"/>
  <c r="CU28" i="39"/>
  <c r="BM28" i="39"/>
  <c r="DA26" i="39"/>
  <c r="BR26" i="39"/>
  <c r="CM24" i="39"/>
  <c r="DV24" i="39"/>
  <c r="BU26" i="39"/>
  <c r="DD26" i="39"/>
  <c r="P29" i="39"/>
  <c r="Y27" i="39"/>
  <c r="AA27" i="39"/>
  <c r="X27" i="39"/>
  <c r="O29" i="39"/>
  <c r="N29" i="39"/>
  <c r="Q29" i="39"/>
  <c r="BB25" i="39"/>
  <c r="AR27" i="39"/>
  <c r="AS27" i="39"/>
  <c r="AQ27" i="39"/>
  <c r="AP27" i="39"/>
  <c r="AZ26" i="39" l="1"/>
  <c r="DK27" i="39"/>
  <c r="CB27" i="39"/>
  <c r="DC27" i="39"/>
  <c r="BT27" i="39"/>
  <c r="CK25" i="39"/>
  <c r="DT25" i="39"/>
  <c r="BB26" i="39"/>
  <c r="CD27" i="39"/>
  <c r="DM27" i="39"/>
  <c r="CC27" i="39"/>
  <c r="DL27" i="39"/>
  <c r="DS25" i="39"/>
  <c r="CJ25" i="39"/>
  <c r="Y28" i="39"/>
  <c r="CS29" i="39"/>
  <c r="BK29" i="39"/>
  <c r="DJ27" i="39"/>
  <c r="CA27" i="39"/>
  <c r="CM25" i="39"/>
  <c r="DV25" i="39"/>
  <c r="AA28" i="39"/>
  <c r="CU29" i="39"/>
  <c r="BM29" i="39"/>
  <c r="X28" i="39"/>
  <c r="CR29" i="39"/>
  <c r="BJ29" i="39"/>
  <c r="DA27" i="39"/>
  <c r="BR27" i="39"/>
  <c r="DD27" i="39"/>
  <c r="BU27" i="39"/>
  <c r="DB27" i="39"/>
  <c r="BS27" i="39"/>
  <c r="DU25" i="39"/>
  <c r="CL25" i="39"/>
  <c r="Z28" i="39"/>
  <c r="CT29" i="39"/>
  <c r="BL29" i="39"/>
  <c r="P30" i="39"/>
  <c r="N30" i="39"/>
  <c r="O30" i="39"/>
  <c r="Q30" i="39"/>
  <c r="AP28" i="39"/>
  <c r="AS28" i="39"/>
  <c r="AQ28" i="39"/>
  <c r="AR28" i="39"/>
  <c r="AY26" i="39"/>
  <c r="BA26" i="39"/>
  <c r="DM28" i="39" l="1"/>
  <c r="CD28" i="39"/>
  <c r="CM26" i="39"/>
  <c r="DV26" i="39"/>
  <c r="CU30" i="39"/>
  <c r="BM30" i="39"/>
  <c r="DU26" i="39"/>
  <c r="CL26" i="39"/>
  <c r="DC28" i="39"/>
  <c r="BT28" i="39"/>
  <c r="DL28" i="39"/>
  <c r="CC28" i="39"/>
  <c r="DD28" i="39"/>
  <c r="BU28" i="39"/>
  <c r="AZ27" i="39"/>
  <c r="DK28" i="39"/>
  <c r="CB28" i="39"/>
  <c r="CA28" i="39"/>
  <c r="DJ28" i="39"/>
  <c r="DS26" i="39"/>
  <c r="CJ26" i="39"/>
  <c r="Y29" i="39"/>
  <c r="CS30" i="39"/>
  <c r="BK30" i="39"/>
  <c r="X29" i="39"/>
  <c r="CR30" i="39"/>
  <c r="BJ30" i="39"/>
  <c r="Z29" i="39"/>
  <c r="CT30" i="39"/>
  <c r="BL30" i="39"/>
  <c r="DB28" i="39"/>
  <c r="BS28" i="39"/>
  <c r="DA28" i="39"/>
  <c r="BR28" i="39"/>
  <c r="DT26" i="39"/>
  <c r="CK26" i="39"/>
  <c r="Q31" i="39"/>
  <c r="O31" i="39"/>
  <c r="N31" i="39"/>
  <c r="P31" i="39"/>
  <c r="AA29" i="39"/>
  <c r="AQ29" i="39"/>
  <c r="AP29" i="39"/>
  <c r="AS29" i="39"/>
  <c r="BA27" i="39"/>
  <c r="AY27" i="39"/>
  <c r="BB27" i="39"/>
  <c r="AR29" i="39"/>
  <c r="CJ27" i="39" l="1"/>
  <c r="DS27" i="39"/>
  <c r="DB29" i="39"/>
  <c r="BS29" i="39"/>
  <c r="CA29" i="39"/>
  <c r="DJ29" i="39"/>
  <c r="AZ28" i="39"/>
  <c r="DK29" i="39"/>
  <c r="CB29" i="39"/>
  <c r="DL29" i="39"/>
  <c r="CC29" i="39"/>
  <c r="CM27" i="39"/>
  <c r="DV27" i="39"/>
  <c r="DU27" i="39"/>
  <c r="CL27" i="39"/>
  <c r="BB28" i="39"/>
  <c r="CD29" i="39"/>
  <c r="DM29" i="39"/>
  <c r="BU29" i="39"/>
  <c r="DD29" i="39"/>
  <c r="CT31" i="39"/>
  <c r="BL31" i="39"/>
  <c r="DC29" i="39"/>
  <c r="BT29" i="39"/>
  <c r="X30" i="39"/>
  <c r="CR31" i="39"/>
  <c r="BJ31" i="39"/>
  <c r="DT27" i="39"/>
  <c r="CK27" i="39"/>
  <c r="Y30" i="39"/>
  <c r="CS31" i="39"/>
  <c r="BK31" i="39"/>
  <c r="BM31" i="39"/>
  <c r="CU31" i="39"/>
  <c r="DA29" i="39"/>
  <c r="BR29" i="39"/>
  <c r="N32" i="39"/>
  <c r="Q32" i="39"/>
  <c r="AA30" i="39"/>
  <c r="P32" i="39"/>
  <c r="Z30" i="39"/>
  <c r="O32" i="39"/>
  <c r="AR30" i="39"/>
  <c r="AP30" i="39"/>
  <c r="AS30" i="39"/>
  <c r="AQ30" i="39"/>
  <c r="BA28" i="39"/>
  <c r="AY28" i="39"/>
  <c r="CJ28" i="39" l="1"/>
  <c r="DS28" i="39"/>
  <c r="DU28" i="39"/>
  <c r="CL28" i="39"/>
  <c r="CB30" i="39"/>
  <c r="DK30" i="39"/>
  <c r="AY29" i="39"/>
  <c r="DJ30" i="39"/>
  <c r="CA30" i="39"/>
  <c r="DM30" i="39"/>
  <c r="CD30" i="39"/>
  <c r="BA29" i="39"/>
  <c r="DL30" i="39"/>
  <c r="CC30" i="39"/>
  <c r="DT28" i="39"/>
  <c r="CK28" i="39"/>
  <c r="CS32" i="39"/>
  <c r="BK32" i="39"/>
  <c r="DB30" i="39"/>
  <c r="BS30" i="39"/>
  <c r="DC30" i="39"/>
  <c r="BT30" i="39"/>
  <c r="Z31" i="39"/>
  <c r="CT32" i="39"/>
  <c r="BL32" i="39"/>
  <c r="CM28" i="39"/>
  <c r="DV28" i="39"/>
  <c r="DD30" i="39"/>
  <c r="BU30" i="39"/>
  <c r="AA31" i="39"/>
  <c r="CU32" i="39"/>
  <c r="BM32" i="39"/>
  <c r="X31" i="39"/>
  <c r="CR32" i="39"/>
  <c r="BJ32" i="39"/>
  <c r="DA30" i="39"/>
  <c r="BR30" i="39"/>
  <c r="O33" i="39"/>
  <c r="N33" i="39"/>
  <c r="Q33" i="39"/>
  <c r="Y31" i="39"/>
  <c r="P33" i="39"/>
  <c r="AR31" i="39"/>
  <c r="AZ29" i="39"/>
  <c r="BB29" i="39"/>
  <c r="AP31" i="39"/>
  <c r="AS31" i="39"/>
  <c r="AQ31" i="39"/>
  <c r="DU29" i="39" l="1"/>
  <c r="CL29" i="39"/>
  <c r="DM31" i="39"/>
  <c r="CD31" i="39"/>
  <c r="DJ31" i="39"/>
  <c r="CA31" i="39"/>
  <c r="CM29" i="39"/>
  <c r="DV29" i="39"/>
  <c r="DA31" i="39"/>
  <c r="BR31" i="39"/>
  <c r="BA30" i="39"/>
  <c r="DL31" i="39"/>
  <c r="CC31" i="39"/>
  <c r="CJ29" i="39"/>
  <c r="DS29" i="39"/>
  <c r="BL33" i="39"/>
  <c r="CT33" i="39"/>
  <c r="DD31" i="39"/>
  <c r="BU31" i="39"/>
  <c r="O34" i="39"/>
  <c r="CR33" i="39"/>
  <c r="BJ33" i="39"/>
  <c r="CB31" i="39"/>
  <c r="DK31" i="39"/>
  <c r="DC31" i="39"/>
  <c r="BT31" i="39"/>
  <c r="DT29" i="39"/>
  <c r="CK29" i="39"/>
  <c r="DB31" i="39"/>
  <c r="BS31" i="39"/>
  <c r="BM33" i="39"/>
  <c r="CU33" i="39"/>
  <c r="Y32" i="39"/>
  <c r="CS33" i="39"/>
  <c r="BK33" i="39"/>
  <c r="N34" i="39"/>
  <c r="AA32" i="39"/>
  <c r="P34" i="39"/>
  <c r="X32" i="39"/>
  <c r="Q34" i="39"/>
  <c r="Z32" i="39"/>
  <c r="AY30" i="39"/>
  <c r="AP32" i="39"/>
  <c r="AS32" i="39"/>
  <c r="AQ32" i="39"/>
  <c r="AZ30" i="39"/>
  <c r="AR32" i="39"/>
  <c r="BB30" i="39"/>
  <c r="BA31" i="39" l="1"/>
  <c r="DL32" i="39"/>
  <c r="CC32" i="39"/>
  <c r="DU30" i="39"/>
  <c r="CL30" i="39"/>
  <c r="AZ31" i="39"/>
  <c r="DK32" i="39"/>
  <c r="CB32" i="39"/>
  <c r="DB32" i="39"/>
  <c r="BS32" i="39"/>
  <c r="CA32" i="39"/>
  <c r="DJ32" i="39"/>
  <c r="BK34" i="39"/>
  <c r="CS34" i="39"/>
  <c r="DC32" i="39"/>
  <c r="BT32" i="39"/>
  <c r="Y33" i="39"/>
  <c r="Z33" i="39"/>
  <c r="CT34" i="39"/>
  <c r="BL34" i="39"/>
  <c r="X33" i="39"/>
  <c r="CR34" i="39"/>
  <c r="BJ34" i="39"/>
  <c r="DT30" i="39"/>
  <c r="CK30" i="39"/>
  <c r="CD32" i="39"/>
  <c r="DM32" i="39"/>
  <c r="CJ30" i="39"/>
  <c r="DS30" i="39"/>
  <c r="AA33" i="39"/>
  <c r="CU34" i="39"/>
  <c r="BM34" i="39"/>
  <c r="DA32" i="39"/>
  <c r="BR32" i="39"/>
  <c r="DV30" i="39"/>
  <c r="CM30" i="39"/>
  <c r="DD32" i="39"/>
  <c r="BU32" i="39"/>
  <c r="O35" i="39"/>
  <c r="Q35" i="39"/>
  <c r="N35" i="39"/>
  <c r="P35" i="39"/>
  <c r="AQ33" i="39"/>
  <c r="AP33" i="39"/>
  <c r="AS33" i="39"/>
  <c r="BB31" i="39"/>
  <c r="AY31" i="39"/>
  <c r="AR33" i="39"/>
  <c r="CJ31" i="39" l="1"/>
  <c r="DS31" i="39"/>
  <c r="DV31" i="39"/>
  <c r="CM31" i="39"/>
  <c r="DA33" i="39"/>
  <c r="BR33" i="39"/>
  <c r="DD33" i="39"/>
  <c r="BU33" i="39"/>
  <c r="CK31" i="39"/>
  <c r="DT31" i="39"/>
  <c r="DB33" i="39"/>
  <c r="BS33" i="39"/>
  <c r="CC33" i="39"/>
  <c r="DL33" i="39"/>
  <c r="DM33" i="39"/>
  <c r="CD33" i="39"/>
  <c r="AY32" i="39"/>
  <c r="DJ33" i="39"/>
  <c r="CA33" i="39"/>
  <c r="DK33" i="39"/>
  <c r="CB33" i="39"/>
  <c r="CT35" i="39"/>
  <c r="BL35" i="39"/>
  <c r="DC33" i="39"/>
  <c r="BT33" i="39"/>
  <c r="X34" i="39"/>
  <c r="BJ35" i="39"/>
  <c r="CR35" i="39"/>
  <c r="CU35" i="39"/>
  <c r="BM35" i="39"/>
  <c r="Y34" i="39"/>
  <c r="BK35" i="39"/>
  <c r="CS35" i="39"/>
  <c r="CL31" i="39"/>
  <c r="DU31" i="39"/>
  <c r="P36" i="39"/>
  <c r="AA34" i="39"/>
  <c r="N36" i="39"/>
  <c r="Q36" i="39"/>
  <c r="O36" i="39"/>
  <c r="Z34" i="39"/>
  <c r="AR34" i="39"/>
  <c r="BB32" i="39"/>
  <c r="AQ34" i="39"/>
  <c r="AP34" i="39"/>
  <c r="AS34" i="39"/>
  <c r="AZ32" i="39"/>
  <c r="BA32" i="39"/>
  <c r="CA34" i="39" l="1"/>
  <c r="DJ34" i="39"/>
  <c r="DV32" i="39"/>
  <c r="CM32" i="39"/>
  <c r="DB34" i="39"/>
  <c r="BS34" i="39"/>
  <c r="BA33" i="39"/>
  <c r="CC34" i="39"/>
  <c r="DL34" i="39"/>
  <c r="CL32" i="39"/>
  <c r="DU32" i="39"/>
  <c r="DK34" i="39"/>
  <c r="CB34" i="39"/>
  <c r="BT34" i="39"/>
  <c r="DC34" i="39"/>
  <c r="AA35" i="39"/>
  <c r="CU36" i="39"/>
  <c r="BM36" i="39"/>
  <c r="CK32" i="39"/>
  <c r="DT32" i="39"/>
  <c r="CD34" i="39"/>
  <c r="DM34" i="39"/>
  <c r="Y35" i="39"/>
  <c r="BK36" i="39"/>
  <c r="CS36" i="39"/>
  <c r="X35" i="39"/>
  <c r="BJ36" i="39"/>
  <c r="CR36" i="39"/>
  <c r="DA34" i="39"/>
  <c r="BR34" i="39"/>
  <c r="CT36" i="39"/>
  <c r="BL36" i="39"/>
  <c r="DS32" i="39"/>
  <c r="CJ32" i="39"/>
  <c r="DD34" i="39"/>
  <c r="BU34" i="39"/>
  <c r="Z35" i="39"/>
  <c r="Q37" i="39"/>
  <c r="O37" i="39"/>
  <c r="N37" i="39"/>
  <c r="P37" i="39"/>
  <c r="AZ33" i="39"/>
  <c r="AR35" i="39"/>
  <c r="BB33" i="39"/>
  <c r="AY33" i="39"/>
  <c r="AS35" i="39"/>
  <c r="AP35" i="39"/>
  <c r="AQ35" i="39"/>
  <c r="BL37" i="39" l="1"/>
  <c r="CT37" i="39"/>
  <c r="X36" i="39"/>
  <c r="BJ37" i="39"/>
  <c r="CR37" i="39"/>
  <c r="BU35" i="39"/>
  <c r="DD35" i="39"/>
  <c r="Y36" i="39"/>
  <c r="BK37" i="39"/>
  <c r="CS37" i="39"/>
  <c r="CU37" i="39"/>
  <c r="BM37" i="39"/>
  <c r="DA35" i="39"/>
  <c r="BR35" i="39"/>
  <c r="BT35" i="39"/>
  <c r="DC35" i="39"/>
  <c r="DK35" i="39"/>
  <c r="CB35" i="39"/>
  <c r="CA35" i="39"/>
  <c r="DJ35" i="39"/>
  <c r="DB35" i="39"/>
  <c r="BS35" i="39"/>
  <c r="BB34" i="39"/>
  <c r="CD35" i="39"/>
  <c r="DM35" i="39"/>
  <c r="DS33" i="39"/>
  <c r="CJ33" i="39"/>
  <c r="CM33" i="39"/>
  <c r="DV33" i="39"/>
  <c r="CC35" i="39"/>
  <c r="DL35" i="39"/>
  <c r="CL33" i="39"/>
  <c r="DU33" i="39"/>
  <c r="CK33" i="39"/>
  <c r="DT33" i="39"/>
  <c r="AA36" i="39"/>
  <c r="O38" i="39"/>
  <c r="Q38" i="39"/>
  <c r="P38" i="39"/>
  <c r="N38" i="39"/>
  <c r="Z36" i="39"/>
  <c r="AR36" i="39"/>
  <c r="AS36" i="39"/>
  <c r="AQ36" i="39"/>
  <c r="AP36" i="39"/>
  <c r="AZ34" i="39"/>
  <c r="BA34" i="39"/>
  <c r="AY34" i="39"/>
  <c r="CL34" i="39" l="1"/>
  <c r="DU34" i="39"/>
  <c r="CM34" i="39"/>
  <c r="DV34" i="39"/>
  <c r="AY35" i="39"/>
  <c r="CA36" i="39"/>
  <c r="DJ36" i="39"/>
  <c r="DB36" i="39"/>
  <c r="BS36" i="39"/>
  <c r="BB35" i="39"/>
  <c r="CD36" i="39"/>
  <c r="DM36" i="39"/>
  <c r="CC36" i="39"/>
  <c r="DL36" i="39"/>
  <c r="AA37" i="39"/>
  <c r="CU38" i="39"/>
  <c r="BM38" i="39"/>
  <c r="Y37" i="39"/>
  <c r="CS38" i="39"/>
  <c r="BK38" i="39"/>
  <c r="DS34" i="39"/>
  <c r="CJ34" i="39"/>
  <c r="DD36" i="39"/>
  <c r="BU36" i="39"/>
  <c r="CK34" i="39"/>
  <c r="DT34" i="39"/>
  <c r="CB36" i="39"/>
  <c r="DK36" i="39"/>
  <c r="BT36" i="39"/>
  <c r="DC36" i="39"/>
  <c r="X37" i="39"/>
  <c r="CR38" i="39"/>
  <c r="BJ38" i="39"/>
  <c r="Z37" i="39"/>
  <c r="CT38" i="39"/>
  <c r="BL38" i="39"/>
  <c r="BR36" i="39"/>
  <c r="DA36" i="39"/>
  <c r="P39" i="39"/>
  <c r="O39" i="39"/>
  <c r="Q39" i="39"/>
  <c r="N39" i="39"/>
  <c r="AR37" i="39"/>
  <c r="BA35" i="39"/>
  <c r="AP37" i="39"/>
  <c r="AS37" i="39"/>
  <c r="AQ37" i="39"/>
  <c r="AZ35" i="39"/>
  <c r="CK35" i="39" l="1"/>
  <c r="DT35" i="39"/>
  <c r="AZ36" i="39"/>
  <c r="CB37" i="39"/>
  <c r="DK37" i="39"/>
  <c r="DV35" i="39"/>
  <c r="CM35" i="39"/>
  <c r="AA38" i="39"/>
  <c r="CU39" i="39"/>
  <c r="BM39" i="39"/>
  <c r="CJ35" i="39"/>
  <c r="DS35" i="39"/>
  <c r="Y38" i="39"/>
  <c r="CS39" i="39"/>
  <c r="BK39" i="39"/>
  <c r="Z38" i="39"/>
  <c r="CT39" i="39"/>
  <c r="BL39" i="39"/>
  <c r="DD37" i="39"/>
  <c r="BU37" i="39"/>
  <c r="BT37" i="39"/>
  <c r="DC37" i="39"/>
  <c r="CL35" i="39"/>
  <c r="DU35" i="39"/>
  <c r="DM37" i="39"/>
  <c r="CD37" i="39"/>
  <c r="DJ37" i="39"/>
  <c r="CA37" i="39"/>
  <c r="CC37" i="39"/>
  <c r="DL37" i="39"/>
  <c r="DA37" i="39"/>
  <c r="BR37" i="39"/>
  <c r="X38" i="39"/>
  <c r="BJ39" i="39"/>
  <c r="CR39" i="39"/>
  <c r="BS37" i="39"/>
  <c r="DB37" i="39"/>
  <c r="O40" i="39"/>
  <c r="N40" i="39"/>
  <c r="Q40" i="39"/>
  <c r="P40" i="39"/>
  <c r="AR38" i="39"/>
  <c r="BB36" i="39"/>
  <c r="AP38" i="39"/>
  <c r="AQ38" i="39"/>
  <c r="AS38" i="39"/>
  <c r="BA36" i="39"/>
  <c r="AY36" i="39"/>
  <c r="Y39" i="39" l="1"/>
  <c r="CS40" i="39"/>
  <c r="BK40" i="39"/>
  <c r="DB38" i="39"/>
  <c r="BS38" i="39"/>
  <c r="DS36" i="39"/>
  <c r="CJ36" i="39"/>
  <c r="CL36" i="39"/>
  <c r="DU36" i="39"/>
  <c r="DM38" i="39"/>
  <c r="CD38" i="39"/>
  <c r="AZ37" i="39"/>
  <c r="CB38" i="39"/>
  <c r="DK38" i="39"/>
  <c r="BR38" i="39"/>
  <c r="DA38" i="39"/>
  <c r="DJ38" i="39"/>
  <c r="CA38" i="39"/>
  <c r="DD38" i="39"/>
  <c r="BU38" i="39"/>
  <c r="CM36" i="39"/>
  <c r="DV36" i="39"/>
  <c r="CC38" i="39"/>
  <c r="DL38" i="39"/>
  <c r="CT40" i="39"/>
  <c r="BL40" i="39"/>
  <c r="AA39" i="39"/>
  <c r="BM40" i="39"/>
  <c r="CU40" i="39"/>
  <c r="DC38" i="39"/>
  <c r="BT38" i="39"/>
  <c r="X39" i="39"/>
  <c r="CR40" i="39"/>
  <c r="BJ40" i="39"/>
  <c r="CK36" i="39"/>
  <c r="DT36" i="39"/>
  <c r="Q41" i="39"/>
  <c r="O41" i="39"/>
  <c r="N41" i="39"/>
  <c r="Z39" i="39"/>
  <c r="P41" i="39"/>
  <c r="BA37" i="39"/>
  <c r="BB37" i="39"/>
  <c r="AP39" i="39"/>
  <c r="AS39" i="39"/>
  <c r="AQ39" i="39"/>
  <c r="AY37" i="39"/>
  <c r="AR39" i="39"/>
  <c r="CC39" i="39" l="1"/>
  <c r="DL39" i="39"/>
  <c r="DT37" i="39"/>
  <c r="CK37" i="39"/>
  <c r="CL37" i="39"/>
  <c r="DU37" i="39"/>
  <c r="BT39" i="39"/>
  <c r="DC39" i="39"/>
  <c r="N42" i="39"/>
  <c r="O43" i="39" s="1"/>
  <c r="CR41" i="39"/>
  <c r="BJ41" i="39"/>
  <c r="BU39" i="39"/>
  <c r="DD39" i="39"/>
  <c r="DS37" i="39"/>
  <c r="CJ37" i="39"/>
  <c r="DJ39" i="39"/>
  <c r="CA39" i="39"/>
  <c r="BR39" i="39"/>
  <c r="DA39" i="39"/>
  <c r="DV37" i="39"/>
  <c r="CM37" i="39"/>
  <c r="Y40" i="39"/>
  <c r="CS41" i="39"/>
  <c r="BK41" i="39"/>
  <c r="AZ38" i="39"/>
  <c r="DK39" i="39"/>
  <c r="CB39" i="39"/>
  <c r="CD39" i="39"/>
  <c r="DM39" i="39"/>
  <c r="Z40" i="39"/>
  <c r="BL41" i="39"/>
  <c r="CT41" i="39"/>
  <c r="BM41" i="39"/>
  <c r="CU41" i="39"/>
  <c r="BS39" i="39"/>
  <c r="DB39" i="39"/>
  <c r="AA40" i="39"/>
  <c r="X40" i="39"/>
  <c r="O42" i="39"/>
  <c r="Q42" i="39"/>
  <c r="P42" i="39"/>
  <c r="AY38" i="39"/>
  <c r="AS40" i="39"/>
  <c r="AP40" i="39"/>
  <c r="AQ40" i="39"/>
  <c r="AR40" i="39"/>
  <c r="BB38" i="39"/>
  <c r="BA38" i="39"/>
  <c r="N43" i="39" l="1"/>
  <c r="O44" i="39" s="1"/>
  <c r="Q43" i="39"/>
  <c r="CU43" i="39" s="1"/>
  <c r="BK43" i="39"/>
  <c r="CS43" i="39"/>
  <c r="BR40" i="39"/>
  <c r="DA40" i="39"/>
  <c r="DD40" i="39"/>
  <c r="BU40" i="39"/>
  <c r="DT38" i="39"/>
  <c r="CK38" i="39"/>
  <c r="DV38" i="39"/>
  <c r="CM38" i="39"/>
  <c r="BA39" i="39"/>
  <c r="CC40" i="39"/>
  <c r="DL40" i="39"/>
  <c r="BS40" i="39"/>
  <c r="DB40" i="39"/>
  <c r="DK40" i="39"/>
  <c r="CB40" i="39"/>
  <c r="X41" i="39"/>
  <c r="BJ42" i="39"/>
  <c r="CR42" i="39"/>
  <c r="AY39" i="39"/>
  <c r="DJ40" i="39"/>
  <c r="CA40" i="39"/>
  <c r="DM40" i="39"/>
  <c r="CD40" i="39"/>
  <c r="DS38" i="39"/>
  <c r="CJ38" i="39"/>
  <c r="DC40" i="39"/>
  <c r="BT40" i="39"/>
  <c r="Z41" i="39"/>
  <c r="CT42" i="39"/>
  <c r="BL42" i="39"/>
  <c r="AA41" i="39"/>
  <c r="CU42" i="39"/>
  <c r="BM42" i="39"/>
  <c r="DU38" i="39"/>
  <c r="CL38" i="39"/>
  <c r="Y41" i="39"/>
  <c r="CS42" i="39"/>
  <c r="BK42" i="39"/>
  <c r="P43" i="39"/>
  <c r="AS41" i="39"/>
  <c r="AQ41" i="39"/>
  <c r="AP41" i="39"/>
  <c r="AR41" i="39"/>
  <c r="AZ39" i="39"/>
  <c r="BB39" i="39"/>
  <c r="Y42" i="39"/>
  <c r="Q44" i="39" l="1"/>
  <c r="BM44" i="39" s="1"/>
  <c r="BJ43" i="39"/>
  <c r="X42" i="39"/>
  <c r="DA42" i="39" s="1"/>
  <c r="CR43" i="39"/>
  <c r="N44" i="39"/>
  <c r="BJ44" i="39" s="1"/>
  <c r="AA42" i="39"/>
  <c r="DD42" i="39" s="1"/>
  <c r="BM43" i="39"/>
  <c r="DK41" i="39"/>
  <c r="CB41" i="39"/>
  <c r="CD41" i="39"/>
  <c r="DM41" i="39"/>
  <c r="BR41" i="39"/>
  <c r="DA41" i="39"/>
  <c r="Z42" i="39"/>
  <c r="BL43" i="39"/>
  <c r="CT43" i="39"/>
  <c r="DT39" i="39"/>
  <c r="CK39" i="39"/>
  <c r="BS41" i="39"/>
  <c r="DB41" i="39"/>
  <c r="BA40" i="39"/>
  <c r="DL41" i="39"/>
  <c r="CC41" i="39"/>
  <c r="DU39" i="39"/>
  <c r="CL39" i="39"/>
  <c r="BT41" i="39"/>
  <c r="DC41" i="39"/>
  <c r="BS42" i="39"/>
  <c r="DB42" i="39"/>
  <c r="DV39" i="39"/>
  <c r="CM39" i="39"/>
  <c r="CS44" i="39"/>
  <c r="BK44" i="39"/>
  <c r="AY40" i="39"/>
  <c r="DJ41" i="39"/>
  <c r="CA41" i="39"/>
  <c r="BU41" i="39"/>
  <c r="DD41" i="39"/>
  <c r="CJ39" i="39"/>
  <c r="DS39" i="39"/>
  <c r="P44" i="39"/>
  <c r="AR42" i="39"/>
  <c r="AZ40" i="39"/>
  <c r="AP42" i="39"/>
  <c r="AS42" i="39"/>
  <c r="AQ42" i="39"/>
  <c r="Y43" i="39"/>
  <c r="BB40" i="39"/>
  <c r="BR42" i="39" l="1"/>
  <c r="X43" i="39"/>
  <c r="DA43" i="39" s="1"/>
  <c r="O45" i="39"/>
  <c r="Y44" i="39" s="1"/>
  <c r="Q45" i="39"/>
  <c r="AA44" i="39" s="1"/>
  <c r="N45" i="39"/>
  <c r="CR45" i="39" s="1"/>
  <c r="CU44" i="39"/>
  <c r="AA43" i="39"/>
  <c r="BU43" i="39" s="1"/>
  <c r="CR44" i="39"/>
  <c r="BU42" i="39"/>
  <c r="DU40" i="39"/>
  <c r="CL40" i="39"/>
  <c r="BS43" i="39"/>
  <c r="DB43" i="39"/>
  <c r="CB42" i="39"/>
  <c r="DK42" i="39"/>
  <c r="BB41" i="39"/>
  <c r="DM42" i="39"/>
  <c r="CD42" i="39"/>
  <c r="DJ42" i="39"/>
  <c r="CA42" i="39"/>
  <c r="DS40" i="39"/>
  <c r="CJ40" i="39"/>
  <c r="DT40" i="39"/>
  <c r="CK40" i="39"/>
  <c r="DL42" i="39"/>
  <c r="CC42" i="39"/>
  <c r="DC42" i="39"/>
  <c r="BT42" i="39"/>
  <c r="CT44" i="39"/>
  <c r="BL44" i="39"/>
  <c r="CM40" i="39"/>
  <c r="DV40" i="39"/>
  <c r="Z43" i="39"/>
  <c r="P45" i="39"/>
  <c r="AS43" i="39"/>
  <c r="AQ43" i="39"/>
  <c r="AP43" i="39"/>
  <c r="AZ41" i="39"/>
  <c r="AR43" i="39"/>
  <c r="AY41" i="39"/>
  <c r="BA41" i="39"/>
  <c r="Q46" i="39" l="1"/>
  <c r="AA45" i="39" s="1"/>
  <c r="BM45" i="39"/>
  <c r="CU45" i="39"/>
  <c r="DD43" i="39"/>
  <c r="BR43" i="39"/>
  <c r="BJ45" i="39"/>
  <c r="N46" i="39"/>
  <c r="Q47" i="39" s="1"/>
  <c r="X44" i="39"/>
  <c r="DA44" i="39" s="1"/>
  <c r="O46" i="39"/>
  <c r="Y45" i="39" s="1"/>
  <c r="CS45" i="39"/>
  <c r="BK45" i="39"/>
  <c r="DU41" i="39"/>
  <c r="CL41" i="39"/>
  <c r="BS44" i="39"/>
  <c r="DB44" i="39"/>
  <c r="DT41" i="39"/>
  <c r="CK41" i="39"/>
  <c r="DJ43" i="39"/>
  <c r="CA43" i="39"/>
  <c r="Z44" i="39"/>
  <c r="BL45" i="39"/>
  <c r="CT45" i="39"/>
  <c r="CJ41" i="39"/>
  <c r="DS41" i="39"/>
  <c r="DL43" i="39"/>
  <c r="CC43" i="39"/>
  <c r="AZ42" i="39"/>
  <c r="CB43" i="39"/>
  <c r="DK43" i="39"/>
  <c r="BB42" i="39"/>
  <c r="DM43" i="39"/>
  <c r="CD43" i="39"/>
  <c r="DC43" i="39"/>
  <c r="BT43" i="39"/>
  <c r="CM41" i="39"/>
  <c r="DV41" i="39"/>
  <c r="BU44" i="39"/>
  <c r="DD44" i="39"/>
  <c r="P46" i="39"/>
  <c r="AS44" i="39"/>
  <c r="AP44" i="39"/>
  <c r="AQ44" i="39"/>
  <c r="AR44" i="39"/>
  <c r="AY42" i="39"/>
  <c r="BA42" i="39"/>
  <c r="X45" i="39" l="1"/>
  <c r="DA45" i="39" s="1"/>
  <c r="BJ46" i="39"/>
  <c r="BM46" i="39"/>
  <c r="CU46" i="39"/>
  <c r="CR46" i="39"/>
  <c r="BR44" i="39"/>
  <c r="O47" i="39"/>
  <c r="Y46" i="39" s="1"/>
  <c r="N47" i="39"/>
  <c r="O48" i="39" s="1"/>
  <c r="BK46" i="39"/>
  <c r="CS46" i="39"/>
  <c r="AA46" i="39"/>
  <c r="BM47" i="39"/>
  <c r="CU47" i="39"/>
  <c r="DU42" i="39"/>
  <c r="CL42" i="39"/>
  <c r="DB45" i="39"/>
  <c r="BS45" i="39"/>
  <c r="BU45" i="39"/>
  <c r="DD45" i="39"/>
  <c r="BA43" i="39"/>
  <c r="DL44" i="39"/>
  <c r="CC44" i="39"/>
  <c r="AZ43" i="39"/>
  <c r="DK44" i="39"/>
  <c r="CB44" i="39"/>
  <c r="DC44" i="39"/>
  <c r="BT44" i="39"/>
  <c r="CA44" i="39"/>
  <c r="DJ44" i="39"/>
  <c r="BB43" i="39"/>
  <c r="DM44" i="39"/>
  <c r="CD44" i="39"/>
  <c r="CJ42" i="39"/>
  <c r="DS42" i="39"/>
  <c r="DV42" i="39"/>
  <c r="CM42" i="39"/>
  <c r="BL46" i="39"/>
  <c r="CT46" i="39"/>
  <c r="DT42" i="39"/>
  <c r="CK42" i="39"/>
  <c r="Z45" i="39"/>
  <c r="P47" i="39"/>
  <c r="AY43" i="39"/>
  <c r="AS45" i="39"/>
  <c r="AQ45" i="39"/>
  <c r="AP45" i="39"/>
  <c r="AR45" i="39"/>
  <c r="BR45" i="39" l="1"/>
  <c r="N48" i="39"/>
  <c r="X47" i="39" s="1"/>
  <c r="CS47" i="39"/>
  <c r="BK47" i="39"/>
  <c r="BJ47" i="39"/>
  <c r="CR47" i="39"/>
  <c r="Q48" i="39"/>
  <c r="AA47" i="39" s="1"/>
  <c r="X46" i="39"/>
  <c r="BR46" i="39" s="1"/>
  <c r="Z46" i="39"/>
  <c r="CT47" i="39"/>
  <c r="BL47" i="39"/>
  <c r="BT45" i="39"/>
  <c r="DC45" i="39"/>
  <c r="CS48" i="39"/>
  <c r="BK48" i="39"/>
  <c r="DU43" i="39"/>
  <c r="CL43" i="39"/>
  <c r="BA44" i="39"/>
  <c r="DL45" i="39"/>
  <c r="CC45" i="39"/>
  <c r="AY44" i="39"/>
  <c r="CA45" i="39"/>
  <c r="DJ45" i="39"/>
  <c r="AZ44" i="39"/>
  <c r="DK45" i="39"/>
  <c r="CB45" i="39"/>
  <c r="DM45" i="39"/>
  <c r="CD45" i="39"/>
  <c r="CK43" i="39"/>
  <c r="DT43" i="39"/>
  <c r="CJ43" i="39"/>
  <c r="DS43" i="39"/>
  <c r="DV43" i="39"/>
  <c r="CM43" i="39"/>
  <c r="DD46" i="39"/>
  <c r="BU46" i="39"/>
  <c r="DB46" i="39"/>
  <c r="BS46" i="39"/>
  <c r="P48" i="39"/>
  <c r="BB44" i="39"/>
  <c r="Y47" i="39"/>
  <c r="Y48" i="39"/>
  <c r="AP46" i="39"/>
  <c r="AS46" i="39"/>
  <c r="AQ46" i="39"/>
  <c r="AR46" i="39"/>
  <c r="AA48" i="39" l="1"/>
  <c r="DD48" i="39" s="1"/>
  <c r="X48" i="39"/>
  <c r="DA48" i="39" s="1"/>
  <c r="BJ48" i="39"/>
  <c r="CR48" i="39"/>
  <c r="CU48" i="39"/>
  <c r="DA46" i="39"/>
  <c r="BM48" i="39"/>
  <c r="BA45" i="39"/>
  <c r="CC46" i="39"/>
  <c r="DL46" i="39"/>
  <c r="DM46" i="39"/>
  <c r="CD46" i="39"/>
  <c r="DA47" i="39"/>
  <c r="BR47" i="39"/>
  <c r="DB48" i="39"/>
  <c r="BS48" i="39"/>
  <c r="DU44" i="39"/>
  <c r="CL44" i="39"/>
  <c r="DB47" i="39"/>
  <c r="BS47" i="39"/>
  <c r="DV44" i="39"/>
  <c r="CM44" i="39"/>
  <c r="Z47" i="39"/>
  <c r="CT48" i="39"/>
  <c r="BL48" i="39"/>
  <c r="DK46" i="39"/>
  <c r="CB46" i="39"/>
  <c r="CJ44" i="39"/>
  <c r="DS44" i="39"/>
  <c r="AY45" i="39"/>
  <c r="CA46" i="39"/>
  <c r="DJ46" i="39"/>
  <c r="DT44" i="39"/>
  <c r="CK44" i="39"/>
  <c r="DC46" i="39"/>
  <c r="BT46" i="39"/>
  <c r="DD47" i="39"/>
  <c r="BU47" i="39"/>
  <c r="Z48" i="39"/>
  <c r="AP47" i="39"/>
  <c r="AS47" i="39"/>
  <c r="AQ47" i="39"/>
  <c r="AR47" i="39"/>
  <c r="BB45" i="39"/>
  <c r="AZ45" i="39"/>
  <c r="BU48" i="39" l="1"/>
  <c r="BR48" i="39"/>
  <c r="CD47" i="39"/>
  <c r="DM47" i="39"/>
  <c r="DJ47" i="39"/>
  <c r="CA47" i="39"/>
  <c r="DC48" i="39"/>
  <c r="BT48" i="39"/>
  <c r="DC47" i="39"/>
  <c r="BT47" i="39"/>
  <c r="CK45" i="39"/>
  <c r="DT45" i="39"/>
  <c r="DV45" i="39"/>
  <c r="CM45" i="39"/>
  <c r="BA46" i="39"/>
  <c r="DL47" i="39"/>
  <c r="CC47" i="39"/>
  <c r="DK47" i="39"/>
  <c r="CB47" i="39"/>
  <c r="CJ45" i="39"/>
  <c r="DS45" i="39"/>
  <c r="CL45" i="39"/>
  <c r="DU45" i="39"/>
  <c r="AR48" i="39"/>
  <c r="AZ46" i="39"/>
  <c r="BB46" i="39"/>
  <c r="AP48" i="39"/>
  <c r="AQ48" i="39"/>
  <c r="AS48" i="39"/>
  <c r="AY46" i="39"/>
  <c r="AZ47" i="39" l="1"/>
  <c r="DK48" i="39"/>
  <c r="CB48" i="39"/>
  <c r="AY47" i="39"/>
  <c r="DJ48" i="39"/>
  <c r="CA48" i="39"/>
  <c r="CL46" i="39"/>
  <c r="DU46" i="39"/>
  <c r="CM46" i="39"/>
  <c r="DV46" i="39"/>
  <c r="DT46" i="39"/>
  <c r="CK46" i="39"/>
  <c r="BA47" i="39"/>
  <c r="DL48" i="39"/>
  <c r="CC48" i="39"/>
  <c r="DS46" i="39"/>
  <c r="CJ46" i="39"/>
  <c r="BB47" i="39"/>
  <c r="CD48" i="39"/>
  <c r="DM48" i="39"/>
  <c r="BA48" i="39"/>
  <c r="AY48" i="39"/>
  <c r="BB48" i="39"/>
  <c r="AZ48" i="39"/>
  <c r="CM48" i="39" l="1"/>
  <c r="DV48" i="39"/>
  <c r="DT48" i="39"/>
  <c r="CK48" i="39"/>
  <c r="DS48" i="39"/>
  <c r="CJ48" i="39"/>
  <c r="CL48" i="39"/>
  <c r="DU48" i="39"/>
  <c r="CM47" i="39"/>
  <c r="DV47" i="39"/>
  <c r="DS47" i="39"/>
  <c r="CJ47" i="39"/>
  <c r="CL47" i="39"/>
  <c r="DU47" i="39"/>
  <c r="DT47" i="39"/>
  <c r="CK47" i="39"/>
  <c r="I43" i="40"/>
  <c r="J43" i="40"/>
  <c r="M43" i="40" l="1"/>
  <c r="D43" i="40" s="1"/>
  <c r="AB37" i="23" l="1"/>
  <c r="AC13" i="23"/>
  <c r="AB13" i="23"/>
  <c r="AB24" i="23"/>
  <c r="AB41" i="23"/>
  <c r="AC16" i="23"/>
  <c r="AB42" i="23"/>
  <c r="AC43" i="23"/>
  <c r="AC18" i="23"/>
  <c r="AC42" i="23"/>
  <c r="AB44" i="23"/>
  <c r="AB39" i="23"/>
  <c r="AB33" i="23"/>
  <c r="AB14" i="23"/>
  <c r="AB23" i="23"/>
  <c r="AC45" i="23"/>
  <c r="AB51" i="23"/>
  <c r="AB48" i="23"/>
  <c r="AB38" i="23"/>
  <c r="AB30" i="23"/>
  <c r="AC36" i="23"/>
  <c r="AC22" i="23"/>
  <c r="AB32" i="23"/>
  <c r="AC25" i="23"/>
  <c r="AB19" i="23"/>
  <c r="AB50" i="23"/>
  <c r="AC19" i="23"/>
  <c r="AC48" i="23"/>
  <c r="AC23" i="23"/>
  <c r="AC51" i="23"/>
  <c r="AB17" i="23"/>
  <c r="AB26" i="23"/>
  <c r="AB31" i="23"/>
  <c r="AB16" i="23"/>
  <c r="AC34" i="23"/>
  <c r="AC37" i="23"/>
  <c r="AC40" i="23"/>
  <c r="AC50" i="23"/>
  <c r="AC28" i="23"/>
  <c r="AC20" i="23"/>
  <c r="AC35" i="23"/>
  <c r="AB36" i="23"/>
  <c r="AC44" i="23"/>
  <c r="AB25" i="23"/>
  <c r="AB35" i="23"/>
  <c r="AC32" i="23"/>
  <c r="AB22" i="23"/>
  <c r="AC21" i="23"/>
  <c r="AB45" i="23"/>
  <c r="AC33" i="23"/>
  <c r="D60" i="16"/>
  <c r="AB43" i="23"/>
  <c r="AC15" i="23"/>
  <c r="AC17" i="23"/>
  <c r="AB46" i="23"/>
  <c r="AB40" i="23"/>
  <c r="AC29" i="23"/>
  <c r="AC46" i="23"/>
  <c r="AC49" i="23"/>
  <c r="AB49" i="23"/>
  <c r="AC39" i="23"/>
  <c r="AB29" i="23"/>
  <c r="AB15" i="23"/>
  <c r="AC47" i="23"/>
  <c r="AC38" i="23"/>
  <c r="AC31" i="23"/>
  <c r="AB34" i="23"/>
  <c r="AB20" i="23"/>
  <c r="AC26" i="23"/>
  <c r="AB47" i="23"/>
  <c r="AB27" i="23"/>
  <c r="AC30" i="23"/>
  <c r="AC24" i="23"/>
  <c r="AB21" i="23"/>
  <c r="AB28" i="23"/>
  <c r="AB18" i="23"/>
  <c r="AC27" i="23"/>
  <c r="AC14" i="23"/>
  <c r="AC41" i="23"/>
  <c r="AD37" i="23" l="1"/>
  <c r="AD22" i="23"/>
  <c r="AD49" i="23"/>
  <c r="AD28" i="23"/>
  <c r="AD33" i="23"/>
  <c r="AD51" i="23"/>
  <c r="AD31" i="23"/>
  <c r="AD14" i="23"/>
  <c r="AD20" i="23"/>
  <c r="AD25" i="23"/>
  <c r="AD30" i="23"/>
  <c r="AD48" i="23"/>
  <c r="AD17" i="23"/>
  <c r="AD44" i="23"/>
  <c r="AD42" i="23"/>
  <c r="AD38" i="23"/>
  <c r="AD27" i="23"/>
  <c r="AD43" i="23"/>
  <c r="AD15" i="23"/>
  <c r="AD23" i="23"/>
  <c r="AD21" i="23"/>
  <c r="AD50" i="23"/>
  <c r="AD13" i="23"/>
  <c r="AD45" i="23"/>
  <c r="AD40" i="23"/>
  <c r="AD47" i="23"/>
  <c r="AD16" i="23"/>
  <c r="AD35" i="23"/>
  <c r="AD41" i="23"/>
  <c r="AD26" i="23"/>
  <c r="AD34" i="23"/>
  <c r="AD24" i="23"/>
  <c r="AD39" i="23"/>
  <c r="AD19" i="23"/>
  <c r="AD32" i="23"/>
  <c r="AD36" i="23"/>
  <c r="AD29" i="23"/>
  <c r="AD46" i="23"/>
  <c r="AD18" i="23"/>
  <c r="K33" i="39" l="1"/>
  <c r="K19" i="39"/>
  <c r="K30" i="39"/>
  <c r="K22" i="39"/>
  <c r="K48" i="39"/>
  <c r="K46" i="39"/>
  <c r="K31" i="39"/>
  <c r="K23" i="39"/>
  <c r="K34" i="39"/>
  <c r="K37" i="39"/>
  <c r="K24" i="39"/>
  <c r="K17" i="39"/>
  <c r="K12" i="39"/>
  <c r="K29" i="39"/>
  <c r="K27" i="39"/>
  <c r="K38" i="39"/>
  <c r="K15" i="39"/>
  <c r="K35" i="39"/>
  <c r="K43" i="39"/>
  <c r="K28" i="39"/>
  <c r="K18" i="39"/>
  <c r="K21" i="39"/>
  <c r="K39" i="39"/>
  <c r="K14" i="39"/>
  <c r="K40" i="39"/>
  <c r="K47" i="39"/>
  <c r="K41" i="39"/>
  <c r="K13" i="39"/>
  <c r="K25" i="39"/>
  <c r="K11" i="39"/>
  <c r="K9" i="39"/>
  <c r="K16" i="39"/>
  <c r="K36" i="39"/>
  <c r="K26" i="39"/>
  <c r="K32" i="39"/>
  <c r="K10" i="39"/>
  <c r="K44" i="39"/>
  <c r="K45" i="39"/>
  <c r="K42" i="39"/>
  <c r="K20" i="39"/>
  <c r="R10" i="39" l="1"/>
  <c r="S10" i="39"/>
  <c r="AT10" i="39"/>
  <c r="AU10" i="39"/>
  <c r="CE10" i="39" l="1"/>
  <c r="AV10" i="39"/>
  <c r="DN10" i="39"/>
  <c r="AW10" i="39"/>
  <c r="AT11" i="39"/>
  <c r="BO10" i="39"/>
  <c r="S11" i="39"/>
  <c r="AC10" i="39" s="1"/>
  <c r="BW10" i="39" s="1"/>
  <c r="CF10" i="39"/>
  <c r="DO10" i="39"/>
  <c r="AU11" i="39"/>
  <c r="BN10" i="39"/>
  <c r="CV10" i="39"/>
  <c r="CX10" i="39" s="1"/>
  <c r="T10" i="39"/>
  <c r="U10" i="39"/>
  <c r="R11" i="39"/>
  <c r="CV11" i="39" l="1"/>
  <c r="CX11" i="39" s="1"/>
  <c r="BN11" i="39"/>
  <c r="BP10" i="39"/>
  <c r="CG10" i="39"/>
  <c r="DP10" i="39"/>
  <c r="DO11" i="39"/>
  <c r="BD10" i="39"/>
  <c r="CF11" i="39"/>
  <c r="AU12" i="39"/>
  <c r="BO11" i="39"/>
  <c r="S12" i="39"/>
  <c r="AW11" i="39"/>
  <c r="CE11" i="39"/>
  <c r="AT12" i="39"/>
  <c r="DN11" i="39"/>
  <c r="AV11" i="39"/>
  <c r="U11" i="39"/>
  <c r="R12" i="39"/>
  <c r="T11" i="39"/>
  <c r="AB10" i="39"/>
  <c r="BC10" i="39"/>
  <c r="CV12" i="39" l="1"/>
  <c r="CX12" i="39" s="1"/>
  <c r="BN12" i="39"/>
  <c r="DP11" i="39"/>
  <c r="BP11" i="39"/>
  <c r="BC11" i="39"/>
  <c r="DW11" i="39" s="1"/>
  <c r="AT13" i="39"/>
  <c r="CE12" i="39"/>
  <c r="AW12" i="39"/>
  <c r="DN12" i="39"/>
  <c r="AV12" i="39"/>
  <c r="BF10" i="39"/>
  <c r="CN10" i="39"/>
  <c r="DW10" i="39"/>
  <c r="BE10" i="39"/>
  <c r="BV10" i="39"/>
  <c r="BX10" i="39" s="1"/>
  <c r="AE10" i="39"/>
  <c r="DE10" i="39"/>
  <c r="DG10" i="39" s="1"/>
  <c r="AC11" i="39"/>
  <c r="S13" i="39"/>
  <c r="BO12" i="39"/>
  <c r="AD10" i="39"/>
  <c r="AB11" i="39"/>
  <c r="R13" i="39"/>
  <c r="U12" i="39"/>
  <c r="T12" i="39"/>
  <c r="BD11" i="39"/>
  <c r="AU13" i="39"/>
  <c r="CF12" i="39"/>
  <c r="DO12" i="39"/>
  <c r="CG11" i="39"/>
  <c r="CO10" i="39"/>
  <c r="DX10" i="39"/>
  <c r="CV13" i="39" l="1"/>
  <c r="CX13" i="39" s="1"/>
  <c r="BN13" i="39"/>
  <c r="DE11" i="39"/>
  <c r="DG11" i="39" s="1"/>
  <c r="BV11" i="39"/>
  <c r="BP12" i="39"/>
  <c r="CP10" i="39"/>
  <c r="DY10" i="39"/>
  <c r="DP12" i="39"/>
  <c r="AC12" i="39"/>
  <c r="BW12" i="39" s="1"/>
  <c r="S14" i="39"/>
  <c r="BO13" i="39"/>
  <c r="CG12" i="39"/>
  <c r="DX11" i="39"/>
  <c r="CO11" i="39"/>
  <c r="U13" i="39"/>
  <c r="T13" i="39"/>
  <c r="R14" i="39"/>
  <c r="AE11" i="39"/>
  <c r="AB12" i="39"/>
  <c r="BW11" i="39"/>
  <c r="AD11" i="39"/>
  <c r="BC12" i="39"/>
  <c r="CE13" i="39"/>
  <c r="AW13" i="39"/>
  <c r="AT14" i="39"/>
  <c r="DN13" i="39"/>
  <c r="AV13" i="39"/>
  <c r="BD12" i="39"/>
  <c r="CF13" i="39"/>
  <c r="DO13" i="39"/>
  <c r="AU14" i="39"/>
  <c r="CN11" i="39"/>
  <c r="BF11" i="39"/>
  <c r="BE11" i="39"/>
  <c r="DW12" i="39" l="1"/>
  <c r="CN12" i="39"/>
  <c r="DE12" i="39"/>
  <c r="DG12" i="39" s="1"/>
  <c r="BV12" i="39"/>
  <c r="BX12" i="39" s="1"/>
  <c r="CV14" i="39"/>
  <c r="CX14" i="39" s="1"/>
  <c r="BN14" i="39"/>
  <c r="BP13" i="39"/>
  <c r="DY11" i="39"/>
  <c r="CP11" i="39"/>
  <c r="CG13" i="39"/>
  <c r="BX11" i="39"/>
  <c r="BF12" i="39"/>
  <c r="AD12" i="39"/>
  <c r="AE12" i="39"/>
  <c r="BO14" i="39"/>
  <c r="S15" i="39"/>
  <c r="AC14" i="39" s="1"/>
  <c r="BW14" i="39" s="1"/>
  <c r="BE12" i="39"/>
  <c r="CO12" i="39"/>
  <c r="DX12" i="39"/>
  <c r="AC13" i="39"/>
  <c r="AB13" i="39"/>
  <c r="U14" i="39"/>
  <c r="T14" i="39"/>
  <c r="R15" i="39"/>
  <c r="BC13" i="39"/>
  <c r="AW14" i="39"/>
  <c r="AT15" i="39"/>
  <c r="DN14" i="39"/>
  <c r="CE14" i="39"/>
  <c r="AV14" i="39"/>
  <c r="CF14" i="39"/>
  <c r="BD13" i="39"/>
  <c r="DO14" i="39"/>
  <c r="AU15" i="39"/>
  <c r="DP13" i="39"/>
  <c r="CN13" i="39" l="1"/>
  <c r="DW13" i="39"/>
  <c r="CV15" i="39"/>
  <c r="CX15" i="39" s="1"/>
  <c r="BN15" i="39"/>
  <c r="BV13" i="39"/>
  <c r="DE13" i="39"/>
  <c r="DG13" i="39" s="1"/>
  <c r="BP14" i="39"/>
  <c r="DY12" i="39"/>
  <c r="BE13" i="39"/>
  <c r="DX13" i="39"/>
  <c r="CO13" i="39"/>
  <c r="AE13" i="39"/>
  <c r="AD13" i="39"/>
  <c r="BW13" i="39"/>
  <c r="CG14" i="39"/>
  <c r="CP12" i="39"/>
  <c r="BC14" i="39"/>
  <c r="AT16" i="39"/>
  <c r="CE15" i="39"/>
  <c r="AW15" i="39"/>
  <c r="DN15" i="39"/>
  <c r="BO15" i="39"/>
  <c r="S16" i="39"/>
  <c r="BF13" i="39"/>
  <c r="AB14" i="39"/>
  <c r="R16" i="39"/>
  <c r="U15" i="39"/>
  <c r="T15" i="39"/>
  <c r="AV15" i="39"/>
  <c r="CF15" i="39"/>
  <c r="AU16" i="39"/>
  <c r="BD14" i="39"/>
  <c r="DO15" i="39"/>
  <c r="DP14" i="39"/>
  <c r="DW14" i="39" l="1"/>
  <c r="CN14" i="39"/>
  <c r="CV16" i="39"/>
  <c r="CX16" i="39" s="1"/>
  <c r="BN16" i="39"/>
  <c r="BV14" i="39"/>
  <c r="BX14" i="39" s="1"/>
  <c r="DE14" i="39"/>
  <c r="DG14" i="39" s="1"/>
  <c r="DP15" i="39"/>
  <c r="BP15" i="39"/>
  <c r="AB15" i="39"/>
  <c r="T16" i="39"/>
  <c r="U16" i="39"/>
  <c r="R17" i="39"/>
  <c r="AE14" i="39"/>
  <c r="AD14" i="39"/>
  <c r="BX13" i="39"/>
  <c r="BF14" i="39"/>
  <c r="BE14" i="39"/>
  <c r="DX14" i="39"/>
  <c r="CO14" i="39"/>
  <c r="BD15" i="39"/>
  <c r="AU17" i="39"/>
  <c r="DO16" i="39"/>
  <c r="CF16" i="39"/>
  <c r="CG15" i="39"/>
  <c r="CP13" i="39"/>
  <c r="AC15" i="39"/>
  <c r="S17" i="39"/>
  <c r="BO16" i="39"/>
  <c r="DY13" i="39"/>
  <c r="BC15" i="39"/>
  <c r="CE16" i="39"/>
  <c r="AT17" i="39"/>
  <c r="BC16" i="39" s="1"/>
  <c r="DN16" i="39"/>
  <c r="AW16" i="39"/>
  <c r="AV16" i="39"/>
  <c r="BN17" i="39" l="1"/>
  <c r="CV17" i="39"/>
  <c r="CX17" i="39" s="1"/>
  <c r="DW16" i="39"/>
  <c r="CN16" i="39"/>
  <c r="DW15" i="39"/>
  <c r="CN15" i="39"/>
  <c r="BV15" i="39"/>
  <c r="DE15" i="39"/>
  <c r="DG15" i="39" s="1"/>
  <c r="DP16" i="39"/>
  <c r="DY14" i="39"/>
  <c r="BP16" i="39"/>
  <c r="BF15" i="39"/>
  <c r="BE15" i="39"/>
  <c r="BO17" i="39"/>
  <c r="AC16" i="39"/>
  <c r="S18" i="39"/>
  <c r="AD15" i="39"/>
  <c r="BW15" i="39"/>
  <c r="BF16" i="39"/>
  <c r="CG16" i="39"/>
  <c r="AU18" i="39"/>
  <c r="DO17" i="39"/>
  <c r="BD16" i="39"/>
  <c r="CF17" i="39"/>
  <c r="DN17" i="39"/>
  <c r="AW17" i="39"/>
  <c r="AT18" i="39"/>
  <c r="CE17" i="39"/>
  <c r="AV17" i="39"/>
  <c r="DX15" i="39"/>
  <c r="CO15" i="39"/>
  <c r="AE15" i="39"/>
  <c r="CP14" i="39"/>
  <c r="AB16" i="39"/>
  <c r="R18" i="39"/>
  <c r="U17" i="39"/>
  <c r="T17" i="39"/>
  <c r="BN18" i="39" l="1"/>
  <c r="CV18" i="39"/>
  <c r="CX18" i="39" s="1"/>
  <c r="DE16" i="39"/>
  <c r="DG16" i="39" s="1"/>
  <c r="BV16" i="39"/>
  <c r="BP17" i="39"/>
  <c r="DP17" i="39"/>
  <c r="DY15" i="39"/>
  <c r="BX15" i="39"/>
  <c r="CF18" i="39"/>
  <c r="DO18" i="39"/>
  <c r="AU19" i="39"/>
  <c r="BC17" i="39"/>
  <c r="CE18" i="39"/>
  <c r="AV18" i="39"/>
  <c r="DN18" i="39"/>
  <c r="AT19" i="39"/>
  <c r="AW18" i="39"/>
  <c r="BE16" i="39"/>
  <c r="DX16" i="39"/>
  <c r="DY16" i="39" s="1"/>
  <c r="CO16" i="39"/>
  <c r="CP16" i="39" s="1"/>
  <c r="CP15" i="39"/>
  <c r="U18" i="39"/>
  <c r="T18" i="39"/>
  <c r="R19" i="39"/>
  <c r="AB17" i="39"/>
  <c r="AC17" i="39"/>
  <c r="BW17" i="39" s="1"/>
  <c r="S19" i="39"/>
  <c r="BO18" i="39"/>
  <c r="AE16" i="39"/>
  <c r="BD17" i="39"/>
  <c r="BW16" i="39"/>
  <c r="AD16" i="39"/>
  <c r="CG17" i="39"/>
  <c r="DW17" i="39" l="1"/>
  <c r="CN17" i="39"/>
  <c r="DE17" i="39"/>
  <c r="DG17" i="39" s="1"/>
  <c r="BV17" i="39"/>
  <c r="BX17" i="39" s="1"/>
  <c r="BN19" i="39"/>
  <c r="CV19" i="39"/>
  <c r="CX19" i="39" s="1"/>
  <c r="DP18" i="39"/>
  <c r="BP18" i="39"/>
  <c r="BX16" i="39"/>
  <c r="BF17" i="39"/>
  <c r="BE17" i="39"/>
  <c r="DX17" i="39"/>
  <c r="CO17" i="39"/>
  <c r="BD18" i="39"/>
  <c r="CF19" i="39"/>
  <c r="DO19" i="39"/>
  <c r="AU20" i="39"/>
  <c r="AC18" i="39"/>
  <c r="BW18" i="39" s="1"/>
  <c r="S20" i="39"/>
  <c r="BO19" i="39"/>
  <c r="BC18" i="39"/>
  <c r="CE19" i="39"/>
  <c r="DN19" i="39"/>
  <c r="AW19" i="39"/>
  <c r="AV19" i="39"/>
  <c r="AT20" i="39"/>
  <c r="AD17" i="39"/>
  <c r="AE17" i="39"/>
  <c r="R20" i="39"/>
  <c r="U19" i="39"/>
  <c r="AB18" i="39"/>
  <c r="T19" i="39"/>
  <c r="CG18" i="39"/>
  <c r="DE18" i="39" l="1"/>
  <c r="DG18" i="39" s="1"/>
  <c r="BV18" i="39"/>
  <c r="BX18" i="39" s="1"/>
  <c r="BN20" i="39"/>
  <c r="CV20" i="39"/>
  <c r="CX20" i="39" s="1"/>
  <c r="DW18" i="39"/>
  <c r="CN18" i="39"/>
  <c r="BP19" i="39"/>
  <c r="CG19" i="39"/>
  <c r="BF18" i="39"/>
  <c r="BE18" i="39"/>
  <c r="AB19" i="39"/>
  <c r="U20" i="39"/>
  <c r="R21" i="39"/>
  <c r="T20" i="39"/>
  <c r="AC19" i="39"/>
  <c r="BO20" i="39"/>
  <c r="S21" i="39"/>
  <c r="BD19" i="39"/>
  <c r="DO20" i="39"/>
  <c r="CF20" i="39"/>
  <c r="AU21" i="39"/>
  <c r="BD20" i="39" s="1"/>
  <c r="CP17" i="39"/>
  <c r="AD18" i="39"/>
  <c r="AE18" i="39"/>
  <c r="BC19" i="39"/>
  <c r="AW20" i="39"/>
  <c r="CE20" i="39"/>
  <c r="DN20" i="39"/>
  <c r="AV20" i="39"/>
  <c r="AT21" i="39"/>
  <c r="DX18" i="39"/>
  <c r="CO18" i="39"/>
  <c r="DY17" i="39"/>
  <c r="DP19" i="39"/>
  <c r="BV19" i="39" l="1"/>
  <c r="DE19" i="39"/>
  <c r="DG19" i="39" s="1"/>
  <c r="BN21" i="39"/>
  <c r="CV21" i="39"/>
  <c r="CX21" i="39" s="1"/>
  <c r="CN19" i="39"/>
  <c r="DW19" i="39"/>
  <c r="DP20" i="39"/>
  <c r="DY18" i="39"/>
  <c r="CG20" i="39"/>
  <c r="BP20" i="39"/>
  <c r="CO19" i="39"/>
  <c r="DX19" i="39"/>
  <c r="AC20" i="39"/>
  <c r="S22" i="39"/>
  <c r="BO21" i="39"/>
  <c r="BF19" i="39"/>
  <c r="BE19" i="39"/>
  <c r="AD19" i="39"/>
  <c r="BW19" i="39"/>
  <c r="CP18" i="39"/>
  <c r="AB20" i="39"/>
  <c r="R22" i="39"/>
  <c r="U21" i="39"/>
  <c r="T21" i="39"/>
  <c r="DX20" i="39"/>
  <c r="CO20" i="39"/>
  <c r="BC20" i="39"/>
  <c r="AT22" i="39"/>
  <c r="BC21" i="39" s="1"/>
  <c r="AV21" i="39"/>
  <c r="DN21" i="39"/>
  <c r="AW21" i="39"/>
  <c r="CE21" i="39"/>
  <c r="CF21" i="39"/>
  <c r="AU22" i="39"/>
  <c r="BD21" i="39" s="1"/>
  <c r="DO21" i="39"/>
  <c r="AE19" i="39"/>
  <c r="DE20" i="39" l="1"/>
  <c r="DG20" i="39" s="1"/>
  <c r="BV20" i="39"/>
  <c r="CV22" i="39"/>
  <c r="CX22" i="39" s="1"/>
  <c r="BN22" i="39"/>
  <c r="DW21" i="39"/>
  <c r="CN21" i="39"/>
  <c r="DW20" i="39"/>
  <c r="DY20" i="39" s="1"/>
  <c r="CN20" i="39"/>
  <c r="CP20" i="39" s="1"/>
  <c r="CG21" i="39"/>
  <c r="DY19" i="39"/>
  <c r="DP21" i="39"/>
  <c r="BX19" i="39"/>
  <c r="AD20" i="39"/>
  <c r="BW20" i="39"/>
  <c r="AE20" i="39"/>
  <c r="BF20" i="39"/>
  <c r="BE20" i="39"/>
  <c r="BF21" i="39"/>
  <c r="BE21" i="39"/>
  <c r="U22" i="39"/>
  <c r="R23" i="39"/>
  <c r="T22" i="39"/>
  <c r="AW22" i="39"/>
  <c r="AV22" i="39"/>
  <c r="CE22" i="39"/>
  <c r="AT23" i="39"/>
  <c r="DN22" i="39"/>
  <c r="AC21" i="39"/>
  <c r="BO22" i="39"/>
  <c r="S23" i="39"/>
  <c r="DX21" i="39"/>
  <c r="CO21" i="39"/>
  <c r="CP19" i="39"/>
  <c r="DO22" i="39"/>
  <c r="AU23" i="39"/>
  <c r="CF22" i="39"/>
  <c r="AB21" i="39"/>
  <c r="BP21" i="39"/>
  <c r="BV21" i="39" l="1"/>
  <c r="DE21" i="39"/>
  <c r="DG21" i="39" s="1"/>
  <c r="AB22" i="39"/>
  <c r="CV23" i="39"/>
  <c r="CX23" i="39" s="1"/>
  <c r="BN23" i="39"/>
  <c r="CP21" i="39"/>
  <c r="DP22" i="39"/>
  <c r="DY21" i="39"/>
  <c r="CG22" i="39"/>
  <c r="BD22" i="39"/>
  <c r="DO23" i="39"/>
  <c r="CF23" i="39"/>
  <c r="AU24" i="39"/>
  <c r="AC22" i="39"/>
  <c r="S24" i="39"/>
  <c r="AC23" i="39" s="1"/>
  <c r="BO23" i="39"/>
  <c r="BP22" i="39"/>
  <c r="AE21" i="39"/>
  <c r="BC22" i="39"/>
  <c r="AW23" i="39"/>
  <c r="AV23" i="39"/>
  <c r="AT24" i="39"/>
  <c r="DN23" i="39"/>
  <c r="CE23" i="39"/>
  <c r="R24" i="39"/>
  <c r="U23" i="39"/>
  <c r="T23" i="39"/>
  <c r="AD21" i="39"/>
  <c r="BW21" i="39"/>
  <c r="BX20" i="39"/>
  <c r="DE22" i="39" l="1"/>
  <c r="DG22" i="39" s="1"/>
  <c r="BV22" i="39"/>
  <c r="DW22" i="39"/>
  <c r="CN22" i="39"/>
  <c r="CV24" i="39"/>
  <c r="CX24" i="39" s="1"/>
  <c r="BN24" i="39"/>
  <c r="AE22" i="39"/>
  <c r="AT25" i="39"/>
  <c r="DN24" i="39"/>
  <c r="AV24" i="39"/>
  <c r="CE24" i="39"/>
  <c r="AW24" i="39"/>
  <c r="CO22" i="39"/>
  <c r="DX22" i="39"/>
  <c r="BF22" i="39"/>
  <c r="BE22" i="39"/>
  <c r="CG23" i="39"/>
  <c r="BW22" i="39"/>
  <c r="AD22" i="39"/>
  <c r="AB23" i="39"/>
  <c r="U24" i="39"/>
  <c r="R25" i="39"/>
  <c r="T24" i="39"/>
  <c r="BW23" i="39"/>
  <c r="BP23" i="39"/>
  <c r="BC23" i="39"/>
  <c r="BO24" i="39"/>
  <c r="S25" i="39"/>
  <c r="BX21" i="39"/>
  <c r="DP23" i="39"/>
  <c r="BD23" i="39"/>
  <c r="CF24" i="39"/>
  <c r="AU25" i="39"/>
  <c r="BD24" i="39" s="1"/>
  <c r="DO24" i="39"/>
  <c r="BX22" i="39" l="1"/>
  <c r="CV25" i="39"/>
  <c r="CX25" i="39" s="1"/>
  <c r="BN25" i="39"/>
  <c r="AD23" i="39"/>
  <c r="DE23" i="39"/>
  <c r="DG23" i="39" s="1"/>
  <c r="BV23" i="39"/>
  <c r="BX23" i="39" s="1"/>
  <c r="CN23" i="39"/>
  <c r="DW23" i="39"/>
  <c r="DY22" i="39"/>
  <c r="DP24" i="39"/>
  <c r="CG24" i="39"/>
  <c r="AC24" i="39"/>
  <c r="BO25" i="39"/>
  <c r="S26" i="39"/>
  <c r="AC25" i="39" s="1"/>
  <c r="BC24" i="39"/>
  <c r="AT26" i="39"/>
  <c r="BC25" i="39" s="1"/>
  <c r="CE25" i="39"/>
  <c r="AW25" i="39"/>
  <c r="DN25" i="39"/>
  <c r="AV25" i="39"/>
  <c r="DX24" i="39"/>
  <c r="CO24" i="39"/>
  <c r="BP24" i="39"/>
  <c r="BE23" i="39"/>
  <c r="BF23" i="39"/>
  <c r="CP22" i="39"/>
  <c r="DO25" i="39"/>
  <c r="AU26" i="39"/>
  <c r="CF25" i="39"/>
  <c r="AB24" i="39"/>
  <c r="U25" i="39"/>
  <c r="R26" i="39"/>
  <c r="T25" i="39"/>
  <c r="CO23" i="39"/>
  <c r="DX23" i="39"/>
  <c r="AE23" i="39"/>
  <c r="CV26" i="39" l="1"/>
  <c r="CX26" i="39" s="1"/>
  <c r="BN26" i="39"/>
  <c r="DE24" i="39"/>
  <c r="DG24" i="39" s="1"/>
  <c r="BV24" i="39"/>
  <c r="CN25" i="39"/>
  <c r="DW25" i="39"/>
  <c r="CN24" i="39"/>
  <c r="CP24" i="39" s="1"/>
  <c r="DW24" i="39"/>
  <c r="DY24" i="39" s="1"/>
  <c r="CG25" i="39"/>
  <c r="CP23" i="39"/>
  <c r="DP25" i="39"/>
  <c r="DY23" i="39"/>
  <c r="BW25" i="39"/>
  <c r="BD25" i="39"/>
  <c r="BE25" i="39" s="1"/>
  <c r="CF26" i="39"/>
  <c r="DO26" i="39"/>
  <c r="AU27" i="39"/>
  <c r="BD26" i="39" s="1"/>
  <c r="BF25" i="39"/>
  <c r="BF24" i="39"/>
  <c r="AE24" i="39"/>
  <c r="AB25" i="39"/>
  <c r="R27" i="39"/>
  <c r="U26" i="39"/>
  <c r="T26" i="39"/>
  <c r="BO26" i="39"/>
  <c r="S27" i="39"/>
  <c r="BE24" i="39"/>
  <c r="AT27" i="39"/>
  <c r="BC26" i="39" s="1"/>
  <c r="DN26" i="39"/>
  <c r="CE26" i="39"/>
  <c r="AW26" i="39"/>
  <c r="AV26" i="39"/>
  <c r="BP25" i="39"/>
  <c r="AD24" i="39"/>
  <c r="BW24" i="39"/>
  <c r="AD25" i="39" l="1"/>
  <c r="DE25" i="39"/>
  <c r="DG25" i="39" s="1"/>
  <c r="BV25" i="39"/>
  <c r="BX25" i="39" s="1"/>
  <c r="DW26" i="39"/>
  <c r="CN26" i="39"/>
  <c r="BN27" i="39"/>
  <c r="CV27" i="39"/>
  <c r="CX27" i="39" s="1"/>
  <c r="BX24" i="39"/>
  <c r="BP26" i="39"/>
  <c r="CO25" i="39"/>
  <c r="CP25" i="39" s="1"/>
  <c r="DX25" i="39"/>
  <c r="DY25" i="39" s="1"/>
  <c r="AC26" i="39"/>
  <c r="S28" i="39"/>
  <c r="BO27" i="39"/>
  <c r="AB26" i="39"/>
  <c r="R28" i="39"/>
  <c r="U27" i="39"/>
  <c r="T27" i="39"/>
  <c r="AE25" i="39"/>
  <c r="CO26" i="39"/>
  <c r="DX26" i="39"/>
  <c r="DP26" i="39"/>
  <c r="BF26" i="39"/>
  <c r="BE26" i="39"/>
  <c r="CF27" i="39"/>
  <c r="DO27" i="39"/>
  <c r="AU28" i="39"/>
  <c r="AW27" i="39"/>
  <c r="CE27" i="39"/>
  <c r="DN27" i="39"/>
  <c r="AT28" i="39"/>
  <c r="AV27" i="39"/>
  <c r="CG26" i="39"/>
  <c r="BN28" i="39" l="1"/>
  <c r="CV28" i="39"/>
  <c r="CX28" i="39" s="1"/>
  <c r="DE26" i="39"/>
  <c r="DG26" i="39" s="1"/>
  <c r="BV26" i="39"/>
  <c r="CP26" i="39"/>
  <c r="DP27" i="39"/>
  <c r="AE26" i="39"/>
  <c r="BC27" i="39"/>
  <c r="AW28" i="39"/>
  <c r="AT29" i="39"/>
  <c r="BC28" i="39" s="1"/>
  <c r="CE28" i="39"/>
  <c r="DN28" i="39"/>
  <c r="AV28" i="39"/>
  <c r="AC27" i="39"/>
  <c r="BO28" i="39"/>
  <c r="S29" i="39"/>
  <c r="AB27" i="39"/>
  <c r="R29" i="39"/>
  <c r="U28" i="39"/>
  <c r="T28" i="39"/>
  <c r="BP27" i="39"/>
  <c r="DY26" i="39"/>
  <c r="CG27" i="39"/>
  <c r="AD26" i="39"/>
  <c r="BW26" i="39"/>
  <c r="BD27" i="39"/>
  <c r="DO28" i="39"/>
  <c r="CF28" i="39"/>
  <c r="AU29" i="39"/>
  <c r="CN28" i="39" l="1"/>
  <c r="DW28" i="39"/>
  <c r="DW27" i="39"/>
  <c r="CN27" i="39"/>
  <c r="CV29" i="39"/>
  <c r="CX29" i="39" s="1"/>
  <c r="BN29" i="39"/>
  <c r="DE27" i="39"/>
  <c r="DG27" i="39" s="1"/>
  <c r="BV27" i="39"/>
  <c r="CG28" i="39"/>
  <c r="DP28" i="39"/>
  <c r="BF28" i="39"/>
  <c r="AC28" i="39"/>
  <c r="BO29" i="39"/>
  <c r="S30" i="39"/>
  <c r="BX26" i="39"/>
  <c r="BP28" i="39"/>
  <c r="BW27" i="39"/>
  <c r="AD27" i="39"/>
  <c r="AU30" i="39"/>
  <c r="CF29" i="39"/>
  <c r="DO29" i="39"/>
  <c r="BF27" i="39"/>
  <c r="BE27" i="39"/>
  <c r="AE27" i="39"/>
  <c r="DN29" i="39"/>
  <c r="AW29" i="39"/>
  <c r="AT30" i="39"/>
  <c r="BC29" i="39" s="1"/>
  <c r="CE29" i="39"/>
  <c r="AV29" i="39"/>
  <c r="BD28" i="39"/>
  <c r="AB28" i="39"/>
  <c r="R30" i="39"/>
  <c r="U29" i="39"/>
  <c r="T29" i="39"/>
  <c r="DX27" i="39"/>
  <c r="CO27" i="39"/>
  <c r="AB29" i="39" l="1"/>
  <c r="BN30" i="39"/>
  <c r="CV30" i="39"/>
  <c r="CX30" i="39" s="1"/>
  <c r="CN29" i="39"/>
  <c r="DW29" i="39"/>
  <c r="DE28" i="39"/>
  <c r="DG28" i="39" s="1"/>
  <c r="BV28" i="39"/>
  <c r="DY27" i="39"/>
  <c r="DP29" i="39"/>
  <c r="CG29" i="39"/>
  <c r="CP27" i="39"/>
  <c r="BF29" i="39"/>
  <c r="CE30" i="39"/>
  <c r="AT31" i="39"/>
  <c r="DN30" i="39"/>
  <c r="AW30" i="39"/>
  <c r="AV30" i="39"/>
  <c r="BD29" i="39"/>
  <c r="BE29" i="39" s="1"/>
  <c r="DO30" i="39"/>
  <c r="CF30" i="39"/>
  <c r="AU31" i="39"/>
  <c r="BX27" i="39"/>
  <c r="AC29" i="39"/>
  <c r="S31" i="39"/>
  <c r="BO30" i="39"/>
  <c r="BP29" i="39"/>
  <c r="BE28" i="39"/>
  <c r="DX28" i="39"/>
  <c r="DY28" i="39" s="1"/>
  <c r="CO28" i="39"/>
  <c r="CP28" i="39" s="1"/>
  <c r="R31" i="39"/>
  <c r="U30" i="39"/>
  <c r="T30" i="39"/>
  <c r="AE28" i="39"/>
  <c r="AD28" i="39"/>
  <c r="BW28" i="39"/>
  <c r="BV29" i="39" l="1"/>
  <c r="DE29" i="39"/>
  <c r="DG29" i="39" s="1"/>
  <c r="AE29" i="39"/>
  <c r="BN31" i="39"/>
  <c r="CV31" i="39"/>
  <c r="CX31" i="39" s="1"/>
  <c r="BX28" i="39"/>
  <c r="U31" i="39"/>
  <c r="R32" i="39"/>
  <c r="T31" i="39"/>
  <c r="DP30" i="39"/>
  <c r="BC30" i="39"/>
  <c r="CE31" i="39"/>
  <c r="AV31" i="39"/>
  <c r="AT32" i="39"/>
  <c r="BC31" i="39" s="1"/>
  <c r="DN31" i="39"/>
  <c r="AW31" i="39"/>
  <c r="BD30" i="39"/>
  <c r="CF31" i="39"/>
  <c r="DO31" i="39"/>
  <c r="AU32" i="39"/>
  <c r="BP30" i="39"/>
  <c r="AB30" i="39"/>
  <c r="BW29" i="39"/>
  <c r="AD29" i="39"/>
  <c r="CG30" i="39"/>
  <c r="AC30" i="39"/>
  <c r="BO31" i="39"/>
  <c r="S32" i="39"/>
  <c r="CO29" i="39"/>
  <c r="CP29" i="39" s="1"/>
  <c r="DX29" i="39"/>
  <c r="DY29" i="39" s="1"/>
  <c r="DW30" i="39" l="1"/>
  <c r="CN30" i="39"/>
  <c r="BN32" i="39"/>
  <c r="CV32" i="39"/>
  <c r="CX32" i="39" s="1"/>
  <c r="BX29" i="39"/>
  <c r="DE30" i="39"/>
  <c r="DG30" i="39" s="1"/>
  <c r="BV30" i="39"/>
  <c r="DW31" i="39"/>
  <c r="CN31" i="39"/>
  <c r="DP31" i="39"/>
  <c r="AT33" i="39"/>
  <c r="DN32" i="39"/>
  <c r="AW32" i="39"/>
  <c r="AV32" i="39"/>
  <c r="CE32" i="39"/>
  <c r="AB31" i="39"/>
  <c r="U32" i="39"/>
  <c r="R33" i="39"/>
  <c r="T32" i="39"/>
  <c r="CO30" i="39"/>
  <c r="DX30" i="39"/>
  <c r="BW30" i="39"/>
  <c r="AD30" i="39"/>
  <c r="BO32" i="39"/>
  <c r="AC31" i="39"/>
  <c r="S33" i="39"/>
  <c r="BF31" i="39"/>
  <c r="BP31" i="39"/>
  <c r="CG31" i="39"/>
  <c r="AE30" i="39"/>
  <c r="BE30" i="39"/>
  <c r="BF30" i="39"/>
  <c r="BD31" i="39"/>
  <c r="BE31" i="39" s="1"/>
  <c r="CF32" i="39"/>
  <c r="DO32" i="39"/>
  <c r="AU33" i="39"/>
  <c r="AB32" i="39" l="1"/>
  <c r="BN33" i="39"/>
  <c r="CV33" i="39"/>
  <c r="CX33" i="39" s="1"/>
  <c r="DE31" i="39"/>
  <c r="DG31" i="39" s="1"/>
  <c r="BV31" i="39"/>
  <c r="BP32" i="39"/>
  <c r="BX30" i="39"/>
  <c r="DP32" i="39"/>
  <c r="BD32" i="39"/>
  <c r="CF33" i="39"/>
  <c r="AU34" i="39"/>
  <c r="DO33" i="39"/>
  <c r="CO31" i="39"/>
  <c r="CP31" i="39" s="1"/>
  <c r="DX31" i="39"/>
  <c r="DY31" i="39" s="1"/>
  <c r="U33" i="39"/>
  <c r="R34" i="39"/>
  <c r="T33" i="39"/>
  <c r="BC32" i="39"/>
  <c r="AW33" i="39"/>
  <c r="AV33" i="39"/>
  <c r="AT34" i="39"/>
  <c r="CE33" i="39"/>
  <c r="DN33" i="39"/>
  <c r="CP30" i="39"/>
  <c r="DY30" i="39"/>
  <c r="AD31" i="39"/>
  <c r="BW31" i="39"/>
  <c r="AE31" i="39"/>
  <c r="AC32" i="39"/>
  <c r="S34" i="39"/>
  <c r="BO33" i="39"/>
  <c r="CG32" i="39"/>
  <c r="DW32" i="39" l="1"/>
  <c r="CN32" i="39"/>
  <c r="AB33" i="39"/>
  <c r="AE33" i="39" s="1"/>
  <c r="CV34" i="39"/>
  <c r="CX34" i="39" s="1"/>
  <c r="BN34" i="39"/>
  <c r="DE32" i="39"/>
  <c r="DG32" i="39" s="1"/>
  <c r="BV32" i="39"/>
  <c r="AE32" i="39"/>
  <c r="BE32" i="39"/>
  <c r="BF32" i="39"/>
  <c r="BD33" i="39"/>
  <c r="AU35" i="39"/>
  <c r="DO34" i="39"/>
  <c r="CF34" i="39"/>
  <c r="BX31" i="39"/>
  <c r="DP33" i="39"/>
  <c r="BP33" i="39"/>
  <c r="CG33" i="39"/>
  <c r="R35" i="39"/>
  <c r="U34" i="39"/>
  <c r="T34" i="39"/>
  <c r="CO32" i="39"/>
  <c r="DX32" i="39"/>
  <c r="AC33" i="39"/>
  <c r="BO34" i="39"/>
  <c r="S35" i="39"/>
  <c r="BC33" i="39"/>
  <c r="DN34" i="39"/>
  <c r="CE34" i="39"/>
  <c r="AT35" i="39"/>
  <c r="BC34" i="39" s="1"/>
  <c r="AV34" i="39"/>
  <c r="AW34" i="39"/>
  <c r="BW32" i="39"/>
  <c r="AD32" i="39"/>
  <c r="BX32" i="39" l="1"/>
  <c r="DW34" i="39"/>
  <c r="CN34" i="39"/>
  <c r="DW33" i="39"/>
  <c r="CN33" i="39"/>
  <c r="AB34" i="39"/>
  <c r="BN35" i="39"/>
  <c r="CV35" i="39"/>
  <c r="CX35" i="39" s="1"/>
  <c r="DE33" i="39"/>
  <c r="DG33" i="39" s="1"/>
  <c r="BV33" i="39"/>
  <c r="CG34" i="39"/>
  <c r="DY32" i="39"/>
  <c r="DP34" i="39"/>
  <c r="BP34" i="39"/>
  <c r="CP32" i="39"/>
  <c r="BF34" i="39"/>
  <c r="BF33" i="39"/>
  <c r="BE33" i="39"/>
  <c r="AC34" i="39"/>
  <c r="BO35" i="39"/>
  <c r="S36" i="39"/>
  <c r="AC35" i="39" s="1"/>
  <c r="BW33" i="39"/>
  <c r="AD33" i="39"/>
  <c r="BD34" i="39"/>
  <c r="BE34" i="39" s="1"/>
  <c r="DO35" i="39"/>
  <c r="AU36" i="39"/>
  <c r="CF35" i="39"/>
  <c r="R36" i="39"/>
  <c r="U35" i="39"/>
  <c r="T35" i="39"/>
  <c r="DX33" i="39"/>
  <c r="CO33" i="39"/>
  <c r="AV35" i="39"/>
  <c r="AT36" i="39"/>
  <c r="AW35" i="39"/>
  <c r="DN35" i="39"/>
  <c r="CE35" i="39"/>
  <c r="BX33" i="39" l="1"/>
  <c r="AB35" i="39"/>
  <c r="CV36" i="39"/>
  <c r="CX36" i="39" s="1"/>
  <c r="BN36" i="39"/>
  <c r="DE34" i="39"/>
  <c r="DG34" i="39" s="1"/>
  <c r="BV34" i="39"/>
  <c r="AE34" i="39"/>
  <c r="BP35" i="39"/>
  <c r="BW35" i="39"/>
  <c r="CG35" i="39"/>
  <c r="DP35" i="39"/>
  <c r="S37" i="39"/>
  <c r="BO36" i="39"/>
  <c r="DY33" i="39"/>
  <c r="CP33" i="39"/>
  <c r="DX34" i="39"/>
  <c r="DY34" i="39" s="1"/>
  <c r="CO34" i="39"/>
  <c r="CP34" i="39" s="1"/>
  <c r="BW34" i="39"/>
  <c r="AD34" i="39"/>
  <c r="U36" i="39"/>
  <c r="R37" i="39"/>
  <c r="T36" i="39"/>
  <c r="BC35" i="39"/>
  <c r="AW36" i="39"/>
  <c r="DN36" i="39"/>
  <c r="CE36" i="39"/>
  <c r="AV36" i="39"/>
  <c r="AT37" i="39"/>
  <c r="BD35" i="39"/>
  <c r="CF36" i="39"/>
  <c r="AU37" i="39"/>
  <c r="DO36" i="39"/>
  <c r="BX34" i="39" l="1"/>
  <c r="BV35" i="39"/>
  <c r="BX35" i="39" s="1"/>
  <c r="DE35" i="39"/>
  <c r="DG35" i="39" s="1"/>
  <c r="AD35" i="39"/>
  <c r="CV37" i="39"/>
  <c r="CX37" i="39" s="1"/>
  <c r="BN37" i="39"/>
  <c r="CN35" i="39"/>
  <c r="DW35" i="39"/>
  <c r="AE35" i="39"/>
  <c r="CF37" i="39"/>
  <c r="AU38" i="39"/>
  <c r="DO37" i="39"/>
  <c r="BP36" i="39"/>
  <c r="AC36" i="39"/>
  <c r="S38" i="39"/>
  <c r="AC37" i="39" s="1"/>
  <c r="BO37" i="39"/>
  <c r="CG36" i="39"/>
  <c r="DP36" i="39"/>
  <c r="AB36" i="39"/>
  <c r="U37" i="39"/>
  <c r="R38" i="39"/>
  <c r="T37" i="39"/>
  <c r="DX35" i="39"/>
  <c r="CO35" i="39"/>
  <c r="BC36" i="39"/>
  <c r="AV37" i="39"/>
  <c r="AW37" i="39"/>
  <c r="CE37" i="39"/>
  <c r="DN37" i="39"/>
  <c r="AT38" i="39"/>
  <c r="BC37" i="39" s="1"/>
  <c r="BF35" i="39"/>
  <c r="BE35" i="39"/>
  <c r="BD36" i="39"/>
  <c r="CV38" i="39" l="1"/>
  <c r="CX38" i="39" s="1"/>
  <c r="BN38" i="39"/>
  <c r="CN37" i="39"/>
  <c r="DW37" i="39"/>
  <c r="BV36" i="39"/>
  <c r="DE36" i="39"/>
  <c r="DG36" i="39" s="1"/>
  <c r="CN36" i="39"/>
  <c r="DW36" i="39"/>
  <c r="DY35" i="39"/>
  <c r="CP35" i="39"/>
  <c r="BW37" i="39"/>
  <c r="AD36" i="39"/>
  <c r="BW36" i="39"/>
  <c r="AB37" i="39"/>
  <c r="U38" i="39"/>
  <c r="R39" i="39"/>
  <c r="T38" i="39"/>
  <c r="BF37" i="39"/>
  <c r="AT39" i="39"/>
  <c r="CE38" i="39"/>
  <c r="AW38" i="39"/>
  <c r="DN38" i="39"/>
  <c r="AV38" i="39"/>
  <c r="DP37" i="39"/>
  <c r="AE36" i="39"/>
  <c r="CG37" i="39"/>
  <c r="BD37" i="39"/>
  <c r="CF38" i="39"/>
  <c r="AU39" i="39"/>
  <c r="DO38" i="39"/>
  <c r="BF36" i="39"/>
  <c r="BE36" i="39"/>
  <c r="BP37" i="39"/>
  <c r="CO36" i="39"/>
  <c r="DX36" i="39"/>
  <c r="BO38" i="39"/>
  <c r="S39" i="39"/>
  <c r="CV39" i="39" l="1"/>
  <c r="CX39" i="39" s="1"/>
  <c r="BN39" i="39"/>
  <c r="BV37" i="39"/>
  <c r="BX37" i="39" s="1"/>
  <c r="DE37" i="39"/>
  <c r="DG37" i="39" s="1"/>
  <c r="CP36" i="39"/>
  <c r="BP38" i="39"/>
  <c r="DY36" i="39"/>
  <c r="CG38" i="39"/>
  <c r="BX36" i="39"/>
  <c r="AE37" i="39"/>
  <c r="CE39" i="39"/>
  <c r="DN39" i="39"/>
  <c r="AV39" i="39"/>
  <c r="AW39" i="39"/>
  <c r="AT40" i="39"/>
  <c r="BC39" i="39" s="1"/>
  <c r="AD37" i="39"/>
  <c r="AB38" i="39"/>
  <c r="R40" i="39"/>
  <c r="U39" i="39"/>
  <c r="T39" i="39"/>
  <c r="CF39" i="39"/>
  <c r="AU40" i="39"/>
  <c r="BD39" i="39" s="1"/>
  <c r="DO39" i="39"/>
  <c r="S40" i="39"/>
  <c r="BO39" i="39"/>
  <c r="AC38" i="39"/>
  <c r="DX37" i="39"/>
  <c r="DY37" i="39" s="1"/>
  <c r="CO37" i="39"/>
  <c r="CP37" i="39" s="1"/>
  <c r="BE37" i="39"/>
  <c r="BC38" i="39"/>
  <c r="BD38" i="39"/>
  <c r="DP38" i="39"/>
  <c r="CN38" i="39" l="1"/>
  <c r="DW38" i="39"/>
  <c r="BV38" i="39"/>
  <c r="DE38" i="39"/>
  <c r="DG38" i="39" s="1"/>
  <c r="CN39" i="39"/>
  <c r="DW39" i="39"/>
  <c r="CV40" i="39"/>
  <c r="CX40" i="39" s="1"/>
  <c r="BN40" i="39"/>
  <c r="CG39" i="39"/>
  <c r="DP39" i="39"/>
  <c r="BF39" i="39"/>
  <c r="BE39" i="39"/>
  <c r="R41" i="39"/>
  <c r="U40" i="39"/>
  <c r="T40" i="39"/>
  <c r="BP39" i="39"/>
  <c r="AE38" i="39"/>
  <c r="BO40" i="39"/>
  <c r="S41" i="39"/>
  <c r="AC39" i="39"/>
  <c r="CO39" i="39"/>
  <c r="DX39" i="39"/>
  <c r="CF40" i="39"/>
  <c r="DO40" i="39"/>
  <c r="AU41" i="39"/>
  <c r="BD40" i="39" s="1"/>
  <c r="BW38" i="39"/>
  <c r="AD38" i="39"/>
  <c r="CO38" i="39"/>
  <c r="DX38" i="39"/>
  <c r="CE40" i="39"/>
  <c r="DN40" i="39"/>
  <c r="AW40" i="39"/>
  <c r="AV40" i="39"/>
  <c r="AT41" i="39"/>
  <c r="BC40" i="39" s="1"/>
  <c r="BF38" i="39"/>
  <c r="BE38" i="39"/>
  <c r="AB39" i="39"/>
  <c r="BN41" i="39" l="1"/>
  <c r="CV41" i="39"/>
  <c r="CX41" i="39" s="1"/>
  <c r="DW40" i="39"/>
  <c r="CN40" i="39"/>
  <c r="DE39" i="39"/>
  <c r="DG39" i="39" s="1"/>
  <c r="BV39" i="39"/>
  <c r="DY39" i="39"/>
  <c r="CG40" i="39"/>
  <c r="DP40" i="39"/>
  <c r="BE40" i="39"/>
  <c r="BF40" i="39"/>
  <c r="AE39" i="39"/>
  <c r="BP40" i="39"/>
  <c r="BX38" i="39"/>
  <c r="DY38" i="39"/>
  <c r="CP38" i="39"/>
  <c r="DO41" i="39"/>
  <c r="AU42" i="39"/>
  <c r="BD41" i="39" s="1"/>
  <c r="CF41" i="39"/>
  <c r="BW39" i="39"/>
  <c r="AD39" i="39"/>
  <c r="BO41" i="39"/>
  <c r="S42" i="39"/>
  <c r="CP39" i="39"/>
  <c r="CO40" i="39"/>
  <c r="DX40" i="39"/>
  <c r="AT42" i="39"/>
  <c r="AW41" i="39"/>
  <c r="DN41" i="39"/>
  <c r="CE41" i="39"/>
  <c r="AV41" i="39"/>
  <c r="AC40" i="39"/>
  <c r="AB40" i="39"/>
  <c r="R42" i="39"/>
  <c r="U41" i="39"/>
  <c r="T41" i="39"/>
  <c r="CV42" i="39" l="1"/>
  <c r="CX42" i="39" s="1"/>
  <c r="BN42" i="39"/>
  <c r="DE40" i="39"/>
  <c r="DG40" i="39" s="1"/>
  <c r="BV40" i="39"/>
  <c r="CG41" i="39"/>
  <c r="DP41" i="39"/>
  <c r="DY40" i="39"/>
  <c r="CP40" i="39"/>
  <c r="BX39" i="39"/>
  <c r="CF42" i="39"/>
  <c r="DO42" i="39"/>
  <c r="AU43" i="39"/>
  <c r="BC41" i="39"/>
  <c r="DN42" i="39"/>
  <c r="AV42" i="39"/>
  <c r="AT43" i="39"/>
  <c r="AW42" i="39"/>
  <c r="CE42" i="39"/>
  <c r="AD40" i="39"/>
  <c r="BW40" i="39"/>
  <c r="CO41" i="39"/>
  <c r="DX41" i="39"/>
  <c r="AB41" i="39"/>
  <c r="U42" i="39"/>
  <c r="R43" i="39"/>
  <c r="T42" i="39"/>
  <c r="AC41" i="39"/>
  <c r="S43" i="39"/>
  <c r="BO42" i="39"/>
  <c r="BP41" i="39"/>
  <c r="AE40" i="39"/>
  <c r="DW41" i="39" l="1"/>
  <c r="DY41" i="39" s="1"/>
  <c r="CN41" i="39"/>
  <c r="CP41" i="39" s="1"/>
  <c r="BV41" i="39"/>
  <c r="DE41" i="39"/>
  <c r="DG41" i="39" s="1"/>
  <c r="BN43" i="39"/>
  <c r="CV43" i="39"/>
  <c r="CX43" i="39" s="1"/>
  <c r="DP42" i="39"/>
  <c r="BF41" i="39"/>
  <c r="BE41" i="39"/>
  <c r="BP42" i="39"/>
  <c r="BX40" i="39"/>
  <c r="BO43" i="39"/>
  <c r="AC42" i="39"/>
  <c r="S44" i="39"/>
  <c r="BW41" i="39"/>
  <c r="AD41" i="39"/>
  <c r="CG42" i="39"/>
  <c r="BD42" i="39"/>
  <c r="AU44" i="39"/>
  <c r="DO43" i="39"/>
  <c r="CF43" i="39"/>
  <c r="AB42" i="39"/>
  <c r="U43" i="39"/>
  <c r="R44" i="39"/>
  <c r="T43" i="39"/>
  <c r="BC42" i="39"/>
  <c r="AV43" i="39"/>
  <c r="AT44" i="39"/>
  <c r="BC43" i="39" s="1"/>
  <c r="DN43" i="39"/>
  <c r="CE43" i="39"/>
  <c r="AW43" i="39"/>
  <c r="AE41" i="39"/>
  <c r="DE42" i="39" l="1"/>
  <c r="DG42" i="39" s="1"/>
  <c r="BV42" i="39"/>
  <c r="DW42" i="39"/>
  <c r="CN42" i="39"/>
  <c r="DW43" i="39"/>
  <c r="CN43" i="39"/>
  <c r="BN44" i="39"/>
  <c r="CV44" i="39"/>
  <c r="CX44" i="39" s="1"/>
  <c r="CG43" i="39"/>
  <c r="DP43" i="39"/>
  <c r="BF42" i="39"/>
  <c r="BE42" i="39"/>
  <c r="AB43" i="39"/>
  <c r="R45" i="39"/>
  <c r="U44" i="39"/>
  <c r="T44" i="39"/>
  <c r="BX41" i="39"/>
  <c r="S45" i="39"/>
  <c r="BO44" i="39"/>
  <c r="AC43" i="39"/>
  <c r="DX42" i="39"/>
  <c r="CO42" i="39"/>
  <c r="AD42" i="39"/>
  <c r="BW42" i="39"/>
  <c r="BF43" i="39"/>
  <c r="AE42" i="39"/>
  <c r="BP43" i="39"/>
  <c r="BD43" i="39"/>
  <c r="BE43" i="39" s="1"/>
  <c r="CF44" i="39"/>
  <c r="AU45" i="39"/>
  <c r="DO44" i="39"/>
  <c r="DN44" i="39"/>
  <c r="CE44" i="39"/>
  <c r="AW44" i="39"/>
  <c r="AV44" i="39"/>
  <c r="AT45" i="39"/>
  <c r="BV43" i="39" l="1"/>
  <c r="DE43" i="39"/>
  <c r="DG43" i="39" s="1"/>
  <c r="BN45" i="39"/>
  <c r="CV45" i="39"/>
  <c r="CX45" i="39" s="1"/>
  <c r="DP44" i="39"/>
  <c r="CG44" i="39"/>
  <c r="CP42" i="39"/>
  <c r="BP44" i="39"/>
  <c r="BW43" i="39"/>
  <c r="AD43" i="39"/>
  <c r="S46" i="39"/>
  <c r="BO45" i="39"/>
  <c r="AC44" i="39"/>
  <c r="BX42" i="39"/>
  <c r="AB44" i="39"/>
  <c r="R46" i="39"/>
  <c r="U45" i="39"/>
  <c r="T45" i="39"/>
  <c r="BC44" i="39"/>
  <c r="AW45" i="39"/>
  <c r="DN45" i="39"/>
  <c r="AT46" i="39"/>
  <c r="CE45" i="39"/>
  <c r="AV45" i="39"/>
  <c r="BD44" i="39"/>
  <c r="DO45" i="39"/>
  <c r="AU46" i="39"/>
  <c r="CF45" i="39"/>
  <c r="AE43" i="39"/>
  <c r="DX43" i="39"/>
  <c r="DY43" i="39" s="1"/>
  <c r="CO43" i="39"/>
  <c r="CP43" i="39" s="1"/>
  <c r="DY42" i="39"/>
  <c r="AB45" i="39" l="1"/>
  <c r="CV46" i="39"/>
  <c r="CX46" i="39" s="1"/>
  <c r="BN46" i="39"/>
  <c r="DW44" i="39"/>
  <c r="CN44" i="39"/>
  <c r="DE44" i="39"/>
  <c r="DG44" i="39" s="1"/>
  <c r="BV44" i="39"/>
  <c r="BX43" i="39"/>
  <c r="AE44" i="39"/>
  <c r="CO44" i="39"/>
  <c r="DX44" i="39"/>
  <c r="U46" i="39"/>
  <c r="R47" i="39"/>
  <c r="T46" i="39"/>
  <c r="BP45" i="39"/>
  <c r="BC45" i="39"/>
  <c r="AV46" i="39"/>
  <c r="CE46" i="39"/>
  <c r="DN46" i="39"/>
  <c r="AW46" i="39"/>
  <c r="AT47" i="39"/>
  <c r="BE44" i="39"/>
  <c r="BF44" i="39"/>
  <c r="BO46" i="39"/>
  <c r="S47" i="39"/>
  <c r="AC45" i="39"/>
  <c r="BD45" i="39"/>
  <c r="AU47" i="39"/>
  <c r="DO46" i="39"/>
  <c r="CF46" i="39"/>
  <c r="CG45" i="39"/>
  <c r="DP45" i="39"/>
  <c r="AD44" i="39"/>
  <c r="BW44" i="39"/>
  <c r="DE45" i="39" l="1"/>
  <c r="DG45" i="39" s="1"/>
  <c r="BV45" i="39"/>
  <c r="DW45" i="39"/>
  <c r="CN45" i="39"/>
  <c r="AB46" i="39"/>
  <c r="CV47" i="39"/>
  <c r="CX47" i="39" s="1"/>
  <c r="BN47" i="39"/>
  <c r="AE45" i="39"/>
  <c r="DY44" i="39"/>
  <c r="DP46" i="39"/>
  <c r="BP46" i="39"/>
  <c r="CP44" i="39"/>
  <c r="BX44" i="39"/>
  <c r="R48" i="39"/>
  <c r="U47" i="39"/>
  <c r="T47" i="39"/>
  <c r="CG46" i="39"/>
  <c r="DX45" i="39"/>
  <c r="CO45" i="39"/>
  <c r="BC46" i="39"/>
  <c r="AV47" i="39"/>
  <c r="AW47" i="39"/>
  <c r="AT48" i="39"/>
  <c r="CE47" i="39"/>
  <c r="DN47" i="39"/>
  <c r="BD46" i="39"/>
  <c r="AU48" i="39"/>
  <c r="DO47" i="39"/>
  <c r="CF47" i="39"/>
  <c r="AD45" i="39"/>
  <c r="BW45" i="39"/>
  <c r="BE45" i="39"/>
  <c r="BF45" i="39"/>
  <c r="AC46" i="39"/>
  <c r="BO47" i="39"/>
  <c r="S48" i="39"/>
  <c r="BX45" i="39" l="1"/>
  <c r="DE46" i="39"/>
  <c r="DG46" i="39" s="1"/>
  <c r="BV46" i="39"/>
  <c r="CV48" i="39"/>
  <c r="CX48" i="39" s="1"/>
  <c r="CX49" i="39" s="1"/>
  <c r="BN48" i="39"/>
  <c r="DW46" i="39"/>
  <c r="CN46" i="39"/>
  <c r="AE46" i="39"/>
  <c r="DY45" i="39"/>
  <c r="BF46" i="39"/>
  <c r="BE46" i="39"/>
  <c r="BD47" i="39"/>
  <c r="BD48" i="39"/>
  <c r="CF48" i="39"/>
  <c r="DO48" i="39"/>
  <c r="AC47" i="39"/>
  <c r="AC48" i="39"/>
  <c r="BO48" i="39"/>
  <c r="DX46" i="39"/>
  <c r="CO46" i="39"/>
  <c r="BP47" i="39"/>
  <c r="DP47" i="39"/>
  <c r="AD46" i="39"/>
  <c r="BW46" i="39"/>
  <c r="CG47" i="39"/>
  <c r="AB47" i="39"/>
  <c r="AB48" i="39"/>
  <c r="U48" i="39"/>
  <c r="U49" i="39" s="1"/>
  <c r="T48" i="39"/>
  <c r="BC47" i="39"/>
  <c r="CE48" i="39"/>
  <c r="AW48" i="39"/>
  <c r="AW49" i="39" s="1"/>
  <c r="BC48" i="39"/>
  <c r="AV48" i="39"/>
  <c r="DN48" i="39"/>
  <c r="CP45" i="39"/>
  <c r="BX46" i="39" l="1"/>
  <c r="CN48" i="39"/>
  <c r="DW48" i="39"/>
  <c r="CN47" i="39"/>
  <c r="DW47" i="39"/>
  <c r="DE47" i="39"/>
  <c r="DG47" i="39" s="1"/>
  <c r="BV47" i="39"/>
  <c r="DE48" i="39"/>
  <c r="DG48" i="39" s="1"/>
  <c r="BV48" i="39"/>
  <c r="DP48" i="39"/>
  <c r="AD48" i="39"/>
  <c r="BW48" i="39"/>
  <c r="AE48" i="39"/>
  <c r="CO48" i="39"/>
  <c r="DX48" i="39"/>
  <c r="AE47" i="39"/>
  <c r="CO47" i="39"/>
  <c r="DX47" i="39"/>
  <c r="BP48" i="39"/>
  <c r="BP49" i="39" s="1"/>
  <c r="AD47" i="39"/>
  <c r="BW47" i="39"/>
  <c r="CG48" i="39"/>
  <c r="CG49" i="39" s="1"/>
  <c r="BE48" i="39"/>
  <c r="BF48" i="39"/>
  <c r="DY46" i="39"/>
  <c r="BE47" i="39"/>
  <c r="BF47" i="39"/>
  <c r="CP46" i="39"/>
  <c r="CP48" i="39" l="1"/>
  <c r="BF49" i="39"/>
  <c r="K4" i="36" s="1"/>
  <c r="CP47" i="39"/>
  <c r="DY48" i="39"/>
  <c r="DG49" i="39"/>
  <c r="AE49" i="39"/>
  <c r="I4" i="36" s="1"/>
  <c r="BX48" i="39"/>
  <c r="BX47" i="39"/>
  <c r="DY47" i="39"/>
  <c r="DY50" i="39" l="1"/>
  <c r="DY51" i="39"/>
  <c r="CP50" i="39"/>
  <c r="CP51" i="39"/>
  <c r="BX49" i="39"/>
  <c r="M4" i="36" s="1"/>
  <c r="CP49" i="39"/>
  <c r="S4" i="36"/>
  <c r="U4" i="36" l="1"/>
  <c r="W4" i="36" s="1"/>
  <c r="O4" i="36"/>
  <c r="Q4" i="36" s="1"/>
  <c r="CG50" i="39"/>
  <c r="CG51" i="39" s="1"/>
  <c r="AA4" i="36" l="1"/>
  <c r="Y4"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tc={603C2F11-5E66-4814-B67F-DFFF8E080187}</author>
    <author>tc={B532BF4A-7683-4B8F-BAB7-FAEDACCA9E7C}</author>
    <author>tc={B2D14A82-65CA-441E-9357-BF1B4A84C412}</author>
  </authors>
  <commentList>
    <comment ref="N4" authorId="0" shapeId="0" xr:uid="{603C2F11-5E66-4814-B67F-DFFF8E080187}">
      <text>
        <t xml:space="preserve">[Threaded comment]
Your version of Excel allows you to read this threaded comment; however, any edits to it will get removed if the file is opened in a newer version of Excel. Learn more: https://go.microsoft.com/fwlink/?linkid=870924
Comment:
    We extracted probability of events with ticagrelor (AT) and prasugrel(AP) through adjusting the probability of events with clopidogrel. We first converted probability to odds. Then, we applied the odds ratios reported in the NICE NG 185 meta-analysis to the baseline odds to derive the odds of AC and AT. Finally, we converted the odds of AT and AP back into probability. </t>
      </text>
    </comment>
    <comment ref="AB5" authorId="1" shapeId="0" xr:uid="{B532BF4A-7683-4B8F-BAB7-FAEDACCA9E7C}">
      <text>
        <t xml:space="preserve">[Threaded comment]
Your version of Excel allows you to read this threaded comment; however, any edits to it will get removed if the file is opened in a newer version of Excel. Learn more: https://go.microsoft.com/fwlink/?linkid=870924
Comment:
    A large-scale cohort study in the UK, encompassing a population of 2,297,738 individuals, has reported the frequency of CYP2C19 loss-of-function (LOF) alleles. To ensure robustness, we first cross-validated these reported rates against local studies that examined prevalence across different ethnic groups. Following this validation, we applied the prevalence estimates from this cohort to derive the expected frequency of LOF alleles across UK ethnic populations </t>
      </text>
    </comment>
    <comment ref="AY5" authorId="2" shapeId="0" xr:uid="{B2D14A82-65CA-441E-9357-BF1B4A84C412}">
      <text>
        <t xml:space="preserve">[Threaded comment]
Your version of Excel allows you to read this threaded comment; however, any edits to it will get removed if the file is opened in a newer version of Excel. Learn more: https://go.microsoft.com/fwlink/?linkid=870924
Comment:
    In the base-case analysis, a utility decrement of −0.049 was applied over a 1-month period to reflect the impact of mild-to-moderate dyspnea associated with ticagrelor therapy. This decrement is derived from Kazi et al. (2014), who assumed a −0.049 disutility based on EQ-5D utility losses observed in patients with stable angina, specifically referencing Longworth et al. (2005) as the source for quality-of-life decrements due to breathlessness. Kazi’s sensitivity analyses demonstrated that this value—approximately 6% of baseline QoL at age 65—served as a threshold at which ticagrelor would no longer be cost-effective for carriers of CYP2C19 loss-of-function alleles. Although Kazi et al. presented this value as an annualized decrement, evidence from the PLATO trial and subsequent analyses suggests that ticagrelor-induced dyspnea is typically early-onset and transient, resolving in 2–4 weeks for most patients (Storey et al., 2011; Andell et al., 2015). Supporting this, Howard (2015) incorporated a 3-month duration in modeling but acknowledged that the majority of symptoms resolved sooner. Therefore, in alignment with clinical trajectory and to ensure conservative yet realistic estimates, the disutility is applied over 1 month, resulting in a QALY decrement of 0.00408 per affected patient (0.049 × 1/12).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tc={0B6DD241-C2BC-4CA7-B00F-DE0F258AE474}</author>
    <author>tc={15A76C50-EE4A-4237-B7E9-57C087DC5DF5}</author>
    <author>tc={2927ABDB-8929-4FF9-B1DC-4F9B233510B8}</author>
  </authors>
  <commentList>
    <comment ref="M3" authorId="0" shapeId="0" xr:uid="{0B6DD241-C2BC-4CA7-B00F-DE0F258AE474}">
      <text>
        <t xml:space="preserve">[Threaded comment]
Your version of Excel allows you to read this threaded comment; however, any edits to it will get removed if the file is opened in a newer version of Excel. Learn more: https://go.microsoft.com/fwlink/?linkid=870924
Comment:
    NG185 initially used the 2017 tariffs for eight ERG codes to estimate the weighted average cost of non-elective PCI for both short‑stay and long‑stay admissions. We updated these estimates using the latest NHS tariffs for the same ERG codes—which have changed since 2017—by adopting the long‑stay values from the NHS 23/25 tariffs. As short‑stay values were not directly available in the updated tariffs, we derived them by applying the observed long‑stay/short‑stay cost ratio reported in NG185 for each ERG code. Finally, we used the FCE data provided in NG185 to calculate an overall weighted average cost for PCI. </t>
      </text>
    </comment>
    <comment ref="A4" authorId="1" shapeId="0" xr:uid="{15A76C50-EE4A-4237-B7E9-57C087DC5DF5}">
      <text>
        <t xml:space="preserve">[Threaded comment]
Your version of Excel allows you to read this threaded comment; however, any edits to it will get removed if the file is opened in a newer version of Excel. Learn more: https://go.microsoft.com/fwlink/?linkid=870924
Comment:
    The same as NG 185 method, assumptions. </t>
      </text>
    </comment>
    <comment ref="G4" authorId="2" shapeId="0" xr:uid="{2927ABDB-8929-4FF9-B1DC-4F9B233510B8}">
      <text>
        <t xml:space="preserve">[Threaded comment]
Your version of Excel allows you to read this threaded comment; however, any edits to it will get removed if the file is opened in a newer version of Excel. Learn more: https://go.microsoft.com/fwlink/?linkid=870924
Comment:
    For those who were alive at 1 year intervention costs were calculated taking into account an estimate of average treatment duration of 328 days (90% of the year). The same treatment duration was used for all DAPT options. This basis for the treatment duration is discussed further below.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tc={C1A7B186-5DD2-4B8F-8F96-1A6B58B951BD}</author>
  </authors>
  <commentList>
    <comment ref="A2" authorId="0" shapeId="0" xr:uid="{C1A7B186-5DD2-4B8F-8F96-1A6B58B951BD}">
      <text>
        <t xml:space="preserve">[Threaded comment]
Your version of Excel allows you to read this threaded comment; however, any edits to it will get removed if the file is opened in a newer version of Excel. Learn more: https://go.microsoft.com/fwlink/?linkid=870924
Comment:
    To accurately reflect the decline in quality of life with aging, health state utilities in the model were adjusted annually for age and sex. This adjustment prevents the overestimation of Quality-Adjusted Life Years (QALYs) and aligns with best practices in economic modeling. It was also emphasised as a necessary component in the NICE Technology Appraisal (TA) evidence review for rivaroxaban. And NICE NG-185. 
Age-specific general population EQ-5D-3L utilities were calculated each year using the formula from Ara (2010):
Utility=0.9508566+0.0212126×Male−0.0002587×Age−0.0000332×⁅Age ⁆⁅2⁆⁅ ⁆Utility=0.9508566+0.0212126×Male−0.0002587×Age−0.0000332×Age2 
where:
Male = 1 for males and 0 for females.
Age is expressed in years.
The average age and gender distribution of the population were incorporated into calculations, as detailed in Table 23 (Section 2.3.4). The resulting age-adjusted general population utilities were then combined with health-state-specific utilities using the multiplicative adjustment method, ensuring a more accurate estimation of QALYs over time.
</t>
      </text>
    </comment>
  </commentList>
</comments>
</file>

<file path=xl/sharedStrings.xml><?xml version="1.0" encoding="utf-8"?>
<sst xmlns="http://schemas.openxmlformats.org/spreadsheetml/2006/main" count="2027" uniqueCount="917">
  <si>
    <t xml:space="preserve">Model assumptions </t>
  </si>
  <si>
    <t>Reason/Source</t>
  </si>
  <si>
    <t>Notes</t>
  </si>
  <si>
    <t>Population: Adults with STEMI undergoing PCI and Adults with UA/NSTEMI undergoing PCI</t>
  </si>
  <si>
    <t>Perspective: NHS UK</t>
  </si>
  <si>
    <t>Discount rate- Costs: 3.5%  and Outcomes: 3.5%</t>
  </si>
  <si>
    <t>NG185</t>
  </si>
  <si>
    <t>Bc</t>
  </si>
  <si>
    <t xml:space="preserve">Base case </t>
  </si>
  <si>
    <t xml:space="preserve">cohort age assumed 62 for male and 69 female. </t>
  </si>
  <si>
    <t>male proportion in the cohort is 75%</t>
  </si>
  <si>
    <t>time horizon is assumed 40 years (12 month decision tree - 39 years markov with 1 year cycle length)</t>
  </si>
  <si>
    <t xml:space="preserve">Decision tree </t>
  </si>
  <si>
    <t>patients were assumed not to experience multiple events within the 1-year trial period, consistent with the cost-effectiveness analysis of the PLATO (Platelet Inhibition and Patient Outcomes) trial.</t>
  </si>
  <si>
    <t>Differential treatment effects were assumed to apply only within the first year; thus, probabilities beyond one year remained constant across initial DAPT strategies.</t>
  </si>
  <si>
    <t>To simplify long term projections when faced with limited evidence on how the effcets of different treatment diverge over time.</t>
  </si>
  <si>
    <t>proportion of patients receiving clopidogrel in standard care</t>
  </si>
  <si>
    <t>proportion of patients receiving ticagrelor in standard care</t>
  </si>
  <si>
    <t xml:space="preserve">proportion of patients receiving prasugrel in standard care </t>
  </si>
  <si>
    <t>All patients were assumed to incur PCI-related costs</t>
  </si>
  <si>
    <t xml:space="preserve">Loading dose for clopidogrel </t>
  </si>
  <si>
    <t>600mg</t>
  </si>
  <si>
    <t>We assume equivalent clinical effectiveness for ticagrelor and prasugrel in both the standard care and pharmacogenomics (PGx) arms.</t>
  </si>
  <si>
    <t>All patients receiving standard care will take ASA along with a loading dose of AC, AT, or AP, based on their chosen treatment. The maintenance dose duration varies depending on the patient's outcome within the decision tree:
Patients with no further events receive a maintenance dose for 328 days.
Patients who experience stroke or myocardial infarction (MI) receive a maintenance dose for 365 days.
Patients who die receive half the maintenance dose assigned to the stroke or MI states.</t>
  </si>
  <si>
    <t xml:space="preserve">Proportion of patients prescribed with prasugrel 5 mg </t>
  </si>
  <si>
    <t>Patients in the PoC arm who undergo testing and follow the results do not receive a loading dose of the main antiplatelets (clopidogrel, ticagrelor, or prasugrel). Their maintenance dose is five days shorter than that of their counterparts in the standard care arm.</t>
  </si>
  <si>
    <t>Patients in the PoC arm who do not follow the test results will continue along the same pathway as those in the standard care arm, with the only difference being the additional cost incurred for taking the PoC test.</t>
  </si>
  <si>
    <t>Patients in the decision tree who did not experience further events were assumed to incur post-acute costs</t>
  </si>
  <si>
    <t xml:space="preserve">patients who eventually died at the end of decision tree will absorb 6 months DAPT cost. </t>
  </si>
  <si>
    <t>patients who eventually died at the end of decision tree will absorb post acute treatment costs</t>
  </si>
  <si>
    <t>Duration of utility decrement applied for:
Minor bleeding : 7.6 days
Major bleeding  : 45.6 days</t>
  </si>
  <si>
    <t>To estimate the impact of adverse events on patients overall QALY</t>
  </si>
  <si>
    <t>Bleeding events were incorporated as short-term adverse events, except for haemorrhagic stroke, which was captured under the stroke outcome</t>
  </si>
  <si>
    <t>Utility values in the model were adjusted for age and sex</t>
  </si>
  <si>
    <t>Probability of a genetic test being ordered</t>
  </si>
  <si>
    <t>Probability of a test result being followed</t>
  </si>
  <si>
    <t>Test accuracy assumption</t>
  </si>
  <si>
    <t xml:space="preserve">Prevalence of loss-of-function (LOF) alleles included in the base analysis </t>
  </si>
  <si>
    <t xml:space="preserve">mid-point correction are applied for adjusting utility values in the decision tree phase. </t>
  </si>
  <si>
    <t xml:space="preserve">Markov </t>
  </si>
  <si>
    <t>Patients in both treatment groups were assumed to receive ASA (aspirin) monotherapy after 12 months; hence, no differences in bleeding rates were expected in the Markov model</t>
  </si>
  <si>
    <t>After one year, event risks were assumed to be independent of the initial DAPT treatment</t>
  </si>
  <si>
    <t>The probability of death, reinfarction, and stroke remained constant beyond one year, regardless of which DAPT was received initially​</t>
  </si>
  <si>
    <t>The long-term model was parameterised with the same event rates between 30 days and one year</t>
  </si>
  <si>
    <t xml:space="preserve">risk of mortality is adjusted by age and sex according to the mortality risks in life table 2022. </t>
  </si>
  <si>
    <t>No event, reinfarction, stroke, death</t>
  </si>
  <si>
    <t xml:space="preserve"> Reinfarction and stroke were tunnel health states, meaning that people only remain in that health state for one 
cycle, at which point they must transition to dead or the post-reinfarction/post-stroke health states. </t>
  </si>
  <si>
    <t xml:space="preserve">Scenarios </t>
  </si>
  <si>
    <t>SA1</t>
  </si>
  <si>
    <t xml:space="preserve">probability of ordering PoC test </t>
  </si>
  <si>
    <t>McDermott</t>
  </si>
  <si>
    <t>SA2</t>
  </si>
  <si>
    <t xml:space="preserve">probability of following the PoC test result </t>
  </si>
  <si>
    <t>SA3</t>
  </si>
  <si>
    <t xml:space="preserve">prevalance of CYP2C19 lof carrier </t>
  </si>
  <si>
    <t xml:space="preserve">Ionova et al </t>
  </si>
  <si>
    <t>SA4</t>
  </si>
  <si>
    <t xml:space="preserve">proportion of antiplatelet prescription in Standard care arm </t>
  </si>
  <si>
    <t>AC:98% - AT: 1%, AP:1%</t>
  </si>
  <si>
    <t xml:space="preserve">Mohamed et al, before NICE NG185 issuance - year 2019 </t>
  </si>
  <si>
    <t>SA5</t>
  </si>
  <si>
    <t xml:space="preserve">baseline risk of stroke </t>
  </si>
  <si>
    <t xml:space="preserve">PLATO trial </t>
  </si>
  <si>
    <t>SA6</t>
  </si>
  <si>
    <t xml:space="preserve">reduced by 20% </t>
  </si>
  <si>
    <t>NICE NG 185 , TG29</t>
  </si>
  <si>
    <t>SA7</t>
  </si>
  <si>
    <t xml:space="preserve">reducing SMRs for no-event, reinfarction and post-reinfarction by 20% </t>
  </si>
  <si>
    <t xml:space="preserve">NG 185 </t>
  </si>
  <si>
    <t>SA8</t>
  </si>
  <si>
    <t>Dyspnoea included in the analysis</t>
  </si>
  <si>
    <t>risk of dyspnoea with clopidogrel (decision tree)</t>
  </si>
  <si>
    <t>NG 185</t>
  </si>
  <si>
    <t>OR of dyspnoea with ticagrelor (decision tree)</t>
  </si>
  <si>
    <t>1.77 ( CI:1.62-1.93)</t>
  </si>
  <si>
    <t>SA9</t>
  </si>
  <si>
    <t xml:space="preserve">cost of minor bleeding (added cost of gastrointestinal bleeding ). </t>
  </si>
  <si>
    <t>cost of major bleeding (varring proportion of gastrointestinal bleeding in patients)</t>
  </si>
  <si>
    <t>SA10</t>
  </si>
  <si>
    <t>Sc1 , 10%</t>
  </si>
  <si>
    <t>SA11</t>
  </si>
  <si>
    <t>Sc2, 20%</t>
  </si>
  <si>
    <t>SA12</t>
  </si>
  <si>
    <t xml:space="preserve">Sc3, 30% </t>
  </si>
  <si>
    <t>SA13</t>
  </si>
  <si>
    <t xml:space="preserve">Sc4, 40% </t>
  </si>
  <si>
    <t>SA14</t>
  </si>
  <si>
    <t xml:space="preserve">utilities not age-adjusted </t>
  </si>
  <si>
    <t>SA15</t>
  </si>
  <si>
    <t xml:space="preserve">discount rate decreased  </t>
  </si>
  <si>
    <t xml:space="preserve">LYGs standard
</t>
  </si>
  <si>
    <t xml:space="preserve">LYGs poc
</t>
  </si>
  <si>
    <t xml:space="preserve">cost standard </t>
  </si>
  <si>
    <t>cost poc</t>
  </si>
  <si>
    <t xml:space="preserve">cost difference </t>
  </si>
  <si>
    <t>QALY standard</t>
  </si>
  <si>
    <t>QALY poc</t>
  </si>
  <si>
    <t xml:space="preserve">QALY difference </t>
  </si>
  <si>
    <t>ICER</t>
  </si>
  <si>
    <t>NMBs</t>
  </si>
  <si>
    <t>cost difference PSA</t>
  </si>
  <si>
    <t>QALY difference PSA</t>
  </si>
  <si>
    <t xml:space="preserve">model type </t>
  </si>
  <si>
    <t>deterministic</t>
  </si>
  <si>
    <t>probabilistic</t>
  </si>
  <si>
    <t>SA1: probability of test ordered</t>
  </si>
  <si>
    <t>base</t>
  </si>
  <si>
    <t xml:space="preserve">scenario </t>
  </si>
  <si>
    <t>SA2 : probability of test followed</t>
  </si>
  <si>
    <t xml:space="preserve">base </t>
  </si>
  <si>
    <t>SA3: proportion of DAPT in standard care</t>
  </si>
  <si>
    <t>AC</t>
  </si>
  <si>
    <t>AT</t>
  </si>
  <si>
    <t>AP</t>
  </si>
  <si>
    <t>scenario1</t>
  </si>
  <si>
    <t>universal clopidogrel</t>
  </si>
  <si>
    <t>universal ticagrelor</t>
  </si>
  <si>
    <t xml:space="preserve">SA4: prevalance of LOF carrier </t>
  </si>
  <si>
    <t>scenario</t>
  </si>
  <si>
    <t xml:space="preserve">SA5: baseline risk of stroke </t>
  </si>
  <si>
    <t>SA6: baseline risk of MI</t>
  </si>
  <si>
    <t>SA7: reducing SMRs</t>
  </si>
  <si>
    <t>SMR no event</t>
  </si>
  <si>
    <t>SMR reinfarction</t>
  </si>
  <si>
    <t>SMR post-reinfarction</t>
  </si>
  <si>
    <t xml:space="preserve">SA8 : cost of minor bleeding </t>
  </si>
  <si>
    <t>SA9 : discount rate</t>
  </si>
  <si>
    <t>cost</t>
  </si>
  <si>
    <t>effect</t>
  </si>
  <si>
    <t>zero</t>
  </si>
  <si>
    <t>sa</t>
  </si>
  <si>
    <t>SA10 : cost major bleeding</t>
  </si>
  <si>
    <t>10% GI bleed</t>
  </si>
  <si>
    <t>20% GI bleed</t>
  </si>
  <si>
    <t>30% GI bleed</t>
  </si>
  <si>
    <t>40% GI bleed</t>
  </si>
  <si>
    <t>SA11 : cost poc test</t>
  </si>
  <si>
    <t xml:space="preserve">Base </t>
  </si>
  <si>
    <t xml:space="preserve">variable name </t>
  </si>
  <si>
    <t>description (STEMI)</t>
  </si>
  <si>
    <t>type</t>
  </si>
  <si>
    <t>value</t>
  </si>
  <si>
    <t xml:space="preserve">sample size </t>
  </si>
  <si>
    <t>SE</t>
  </si>
  <si>
    <t>CI-L</t>
  </si>
  <si>
    <t>CI-H</t>
  </si>
  <si>
    <t>distribution</t>
  </si>
  <si>
    <t xml:space="preserve">source </t>
  </si>
  <si>
    <t xml:space="preserve">link </t>
  </si>
  <si>
    <t xml:space="preserve">start age </t>
  </si>
  <si>
    <t>number</t>
  </si>
  <si>
    <t>.</t>
  </si>
  <si>
    <t>NICE NG185</t>
  </si>
  <si>
    <t>Evidence review for dual antiplatelet therapy - NCBI Bookshelf</t>
  </si>
  <si>
    <t xml:space="preserve">Mohamed et al </t>
  </si>
  <si>
    <t>10.1161/JAHA.124.034414</t>
  </si>
  <si>
    <t xml:space="preserve">cohort size </t>
  </si>
  <si>
    <t>cohort size</t>
  </si>
  <si>
    <t xml:space="preserve">proportion of Male patients </t>
  </si>
  <si>
    <t>proportion</t>
  </si>
  <si>
    <t>proportion_AC_standard</t>
  </si>
  <si>
    <t>proportion of AC in standard care</t>
  </si>
  <si>
    <t>proportion_AT_standard</t>
  </si>
  <si>
    <t>proportion of AT in standard care</t>
  </si>
  <si>
    <t>10.1161/JAHA.124.034415</t>
  </si>
  <si>
    <t>proportion_AP_standard</t>
  </si>
  <si>
    <t xml:space="preserve">proportion of AP in standard care </t>
  </si>
  <si>
    <t>10.1161/JAHA.124.034416</t>
  </si>
  <si>
    <t>prob_test_order</t>
  </si>
  <si>
    <t>probability of ordering test</t>
  </si>
  <si>
    <t>probability</t>
  </si>
  <si>
    <t xml:space="preserve">Magavern et al </t>
  </si>
  <si>
    <t>https://doi.org/10.1093/qjmed/hcaf035</t>
  </si>
  <si>
    <t>prob_test_followed</t>
  </si>
  <si>
    <t>probability of following test</t>
  </si>
  <si>
    <t>Swen et al</t>
  </si>
  <si>
    <t>A 12-gene pharmacogenetic panel to prevent adverse drug reactions: an open-label, multicentre, controlled, cluster-randomised crossover implementation study - ScienceDirect</t>
  </si>
  <si>
    <t>prob_death_AC</t>
  </si>
  <si>
    <t>All-cause mortality with AC</t>
  </si>
  <si>
    <t xml:space="preserve">risk </t>
  </si>
  <si>
    <t>Beta (Alpha = (number of people having event)
Beta = (Number of people) − (number of people having 
event)</t>
  </si>
  <si>
    <t xml:space="preserve">Hulme </t>
  </si>
  <si>
    <t>10.1136/bmjopen-2018-024627</t>
  </si>
  <si>
    <t>prob_MI_AC</t>
  </si>
  <si>
    <t>MI with AC</t>
  </si>
  <si>
    <t>Krishnamurthy</t>
  </si>
  <si>
    <t>10.1136/openhrt-2018-000951</t>
  </si>
  <si>
    <t>prob_stroke_AC</t>
  </si>
  <si>
    <t>Stroke with AC</t>
  </si>
  <si>
    <t>Swedeheart</t>
  </si>
  <si>
    <t>10.1093/eurheartj/ehx515</t>
  </si>
  <si>
    <t>prob_maj_bleed_AC</t>
  </si>
  <si>
    <t>Major bleeding with AC</t>
  </si>
  <si>
    <t>hazard rate</t>
  </si>
  <si>
    <t>Pufulete</t>
  </si>
  <si>
    <t>10.1136/openhrt-2022-001999</t>
  </si>
  <si>
    <t>prob_min_bleed_AC</t>
  </si>
  <si>
    <t>Minor bleeding with AC</t>
  </si>
  <si>
    <t>prob_death_AT</t>
  </si>
  <si>
    <t>All-cause mortality with AT</t>
  </si>
  <si>
    <t>risk</t>
  </si>
  <si>
    <t>Alpha = (number of people having event) Beta = (Number of people) − (number of people having event)</t>
  </si>
  <si>
    <t>NICE-NG185</t>
  </si>
  <si>
    <t>prob_MI_AT</t>
  </si>
  <si>
    <t>MI with AT</t>
  </si>
  <si>
    <t>prob_stroke_AT</t>
  </si>
  <si>
    <t>stroke with AT</t>
  </si>
  <si>
    <t>prob_maj_bleed_AT</t>
  </si>
  <si>
    <t>Major bleeding with AT</t>
  </si>
  <si>
    <t>prob_min_bleed_AT</t>
  </si>
  <si>
    <t>Minor bleeding with AT</t>
  </si>
  <si>
    <t>prob_death_AP</t>
  </si>
  <si>
    <t>All-cause mortality with AP</t>
  </si>
  <si>
    <t>prob_MI_AP</t>
  </si>
  <si>
    <t>MI with AP</t>
  </si>
  <si>
    <t>prob_stroke_AP</t>
  </si>
  <si>
    <t>stroke with AP</t>
  </si>
  <si>
    <t>prob_maj_bleed_AP</t>
  </si>
  <si>
    <t>Major bleeding with AP</t>
  </si>
  <si>
    <t>prob_min_bleed_AP</t>
  </si>
  <si>
    <t>Minor bleeding with AP</t>
  </si>
  <si>
    <t>prevalence_LOF_base_case</t>
  </si>
  <si>
    <t>prevalance of Loss of Function allele in Eu ethniciy</t>
  </si>
  <si>
    <t xml:space="preserve">Normal with SD=10% ofinitial value </t>
  </si>
  <si>
    <t xml:space="preserve">Ionova , Wang </t>
  </si>
  <si>
    <t>10.1111/cts.12830</t>
  </si>
  <si>
    <t>prevalence_LOF_sensitivity</t>
  </si>
  <si>
    <t xml:space="preserve">prevalance of Loss of Function allele in Asian ethnicity </t>
  </si>
  <si>
    <t>Normal with SD=10% of initial value</t>
  </si>
  <si>
    <t>proportion_AT_standard/(proportion_AT_standard+proportion_AP_standard)</t>
  </si>
  <si>
    <t>proportion AT in LoF cariers</t>
  </si>
  <si>
    <t>1-proportion_AT_lof</t>
  </si>
  <si>
    <t>proportion AP in LoF cariers</t>
  </si>
  <si>
    <t>prob_death_AC_noLOF</t>
  </si>
  <si>
    <t>All-cause mortality with AC in no-LOF</t>
  </si>
  <si>
    <t>Normal</t>
  </si>
  <si>
    <t xml:space="preserve">Pereira et al </t>
  </si>
  <si>
    <t>https://doi.org/10.1016/j.jcin.2021.01.024</t>
  </si>
  <si>
    <t>prob_MI_AC_noLOF</t>
  </si>
  <si>
    <t>MI with AC no-LOF</t>
  </si>
  <si>
    <t>https://doi.org/10.1016/j.jcin.2021.01.025</t>
  </si>
  <si>
    <t>prob_stroke_AC_noLOF</t>
  </si>
  <si>
    <t>stroke with AC no-LOF</t>
  </si>
  <si>
    <t>https://doi.org/10.1016/j.jcin.2021.01.026</t>
  </si>
  <si>
    <t>rate_maj_bleed_AC_noLOF</t>
  </si>
  <si>
    <t>Major bleeding with AC no-LOF</t>
  </si>
  <si>
    <t>rate</t>
  </si>
  <si>
    <t>rate_min_bleed_AC_noLOF</t>
  </si>
  <si>
    <t>Minor bleeding with AC no-LOF</t>
  </si>
  <si>
    <t xml:space="preserve">rate </t>
  </si>
  <si>
    <t>utility_no_event_tree</t>
  </si>
  <si>
    <t>utility of no further event_t</t>
  </si>
  <si>
    <t xml:space="preserve">utility </t>
  </si>
  <si>
    <t>beta</t>
  </si>
  <si>
    <t>PLATO - trial</t>
  </si>
  <si>
    <t>10.1056/NEJMoa0904326</t>
  </si>
  <si>
    <t>utility_reinfarction_tree</t>
  </si>
  <si>
    <t>utility of reinfarction_t</t>
  </si>
  <si>
    <t>10.1056/NEJMoa0904327</t>
  </si>
  <si>
    <t>utility_stroke_tree</t>
  </si>
  <si>
    <t>utility of stroke_t</t>
  </si>
  <si>
    <t>10.1056/NEJMoa0904329</t>
  </si>
  <si>
    <t>annual utility_dec_min_bleed</t>
  </si>
  <si>
    <t xml:space="preserve">utility decrements minor bleeding </t>
  </si>
  <si>
    <t>Gamma</t>
  </si>
  <si>
    <t>Doble 2016</t>
  </si>
  <si>
    <t>10.1186/s12955-018-1019-3</t>
  </si>
  <si>
    <t>annual utility_dec_maj_bleed</t>
  </si>
  <si>
    <t xml:space="preserve">utility decrements major bleeding </t>
  </si>
  <si>
    <t>Doble 2017</t>
  </si>
  <si>
    <t>10.1186/s12955-018-1019-4</t>
  </si>
  <si>
    <t>duration_min_bleed</t>
  </si>
  <si>
    <t xml:space="preserve">duration applied for minor bleeding </t>
  </si>
  <si>
    <t xml:space="preserve">Normal </t>
  </si>
  <si>
    <t>Doble 2018</t>
  </si>
  <si>
    <t>duration_maj_bleed</t>
  </si>
  <si>
    <t xml:space="preserve">duration applied for major bleeding </t>
  </si>
  <si>
    <t>Doble 2019</t>
  </si>
  <si>
    <t>utility_dec_min_bleed * (duration_min_bleed/365)</t>
  </si>
  <si>
    <t xml:space="preserve">utility decrements minor bleeding_tree </t>
  </si>
  <si>
    <t>Doble 2020</t>
  </si>
  <si>
    <t>utility_dec_maj_bleed * (duration_maj_bleed/365)</t>
  </si>
  <si>
    <t>utility decrements major bleeding_tree</t>
  </si>
  <si>
    <t>Doble 2021</t>
  </si>
  <si>
    <t>10.1186/s12955-018-1019-5</t>
  </si>
  <si>
    <t>utility decrement bleeding AC</t>
  </si>
  <si>
    <t>total utility decrement of bleeding with AC</t>
  </si>
  <si>
    <t>Doble 2022</t>
  </si>
  <si>
    <t>10.1186/s12955-018-1019-6</t>
  </si>
  <si>
    <t>utility decrement bleeding AT</t>
  </si>
  <si>
    <t>total utility decrement of bleeding with AT</t>
  </si>
  <si>
    <t>Doble 2023</t>
  </si>
  <si>
    <t>10.1186/s12955-018-1019-7</t>
  </si>
  <si>
    <t>utility decrement bleeding AP</t>
  </si>
  <si>
    <t>total utility decrement of bleeding with AP</t>
  </si>
  <si>
    <t>Doble 2024</t>
  </si>
  <si>
    <t>10.1186/s12955-018-1019-8</t>
  </si>
  <si>
    <t>utility decrement bleeding AC_no_LOF</t>
  </si>
  <si>
    <t>Doble 2025</t>
  </si>
  <si>
    <t>10.1186/s12955-018-1019-9</t>
  </si>
  <si>
    <t>SMR_no_further_event</t>
  </si>
  <si>
    <t>SMR_No further event</t>
  </si>
  <si>
    <t>ratio</t>
  </si>
  <si>
    <t xml:space="preserve">Lognormal </t>
  </si>
  <si>
    <t>Smolina et al</t>
  </si>
  <si>
    <t>10.1161/CIRCOUTCOMES.111.964700</t>
  </si>
  <si>
    <t>SMR_reinfarction</t>
  </si>
  <si>
    <t>SMR_Reinfarction</t>
  </si>
  <si>
    <t>SMR_post_reinfarction</t>
  </si>
  <si>
    <t>SMR_Post-reinfarction</t>
  </si>
  <si>
    <t>10.1161/CIRCOUTCOMES.111.964701</t>
  </si>
  <si>
    <t>SMR_stroke</t>
  </si>
  <si>
    <t xml:space="preserve">Bronnum-Hansen </t>
  </si>
  <si>
    <t>10.1191/135248506ms1280oa</t>
  </si>
  <si>
    <t>SMR_post_stroke</t>
  </si>
  <si>
    <t>SMR_Post-Stroke</t>
  </si>
  <si>
    <t>PoCT_cost</t>
  </si>
  <si>
    <t xml:space="preserve">Gendrive test price </t>
  </si>
  <si>
    <t>Gamma with SD=10% of cost</t>
  </si>
  <si>
    <t xml:space="preserve">company </t>
  </si>
  <si>
    <t>md_365_day</t>
  </si>
  <si>
    <t>Maintenance period 365</t>
  </si>
  <si>
    <t>Normal with SD=10% initial value</t>
  </si>
  <si>
    <t xml:space="preserve">NICE NG185 </t>
  </si>
  <si>
    <t>https://www.nice.org.uk/process/pmg36/chapter/economic-evaluation-2#discounting</t>
  </si>
  <si>
    <t>md_360_day</t>
  </si>
  <si>
    <t>Maintenance period 360</t>
  </si>
  <si>
    <t>md_328</t>
  </si>
  <si>
    <t>Maintenance period 328</t>
  </si>
  <si>
    <t>md_halfway</t>
  </si>
  <si>
    <t xml:space="preserve">Maintenance period half way </t>
  </si>
  <si>
    <t>md_5</t>
  </si>
  <si>
    <t xml:space="preserve">Maintenance period 4 day </t>
  </si>
  <si>
    <t>ld_clop_300</t>
  </si>
  <si>
    <t>clopidogrel loading dose 300mg</t>
  </si>
  <si>
    <t xml:space="preserve">British National Formulary </t>
  </si>
  <si>
    <t>https://bnf.nice.org.uk/</t>
  </si>
  <si>
    <t>ld_clop_600</t>
  </si>
  <si>
    <t>clopidogrel loading dose 600mg</t>
  </si>
  <si>
    <t>ld_pras_60</t>
  </si>
  <si>
    <t>prasugrel loading dose 60mg</t>
  </si>
  <si>
    <t>ld_tica_180</t>
  </si>
  <si>
    <t>ticagrelor loading dose 180mg</t>
  </si>
  <si>
    <t>day_cost_ASA</t>
  </si>
  <si>
    <t>daily cost of ASA</t>
  </si>
  <si>
    <t>day_cost_clop</t>
  </si>
  <si>
    <t>daily cost of clopidogrel</t>
  </si>
  <si>
    <t>proportion_prasu_5mg</t>
  </si>
  <si>
    <t>proportion of prasugrel 5mg</t>
  </si>
  <si>
    <t>Gamma with SD=10% initial value</t>
  </si>
  <si>
    <t>day_cost_pras</t>
  </si>
  <si>
    <t>daily cost of prasugrel</t>
  </si>
  <si>
    <t>day_cost_tica</t>
  </si>
  <si>
    <t xml:space="preserve">daily cost of ticagrelor </t>
  </si>
  <si>
    <t>cost_PCI</t>
  </si>
  <si>
    <t xml:space="preserve">NHS national tariff - 2023/24 </t>
  </si>
  <si>
    <t>cost_no_event_tree</t>
  </si>
  <si>
    <t>cost_no_further_event_tree</t>
  </si>
  <si>
    <t xml:space="preserve">NICE-NG185 / adjusted by NHSCII pay and prices </t>
  </si>
  <si>
    <t>cost_MI_tree</t>
  </si>
  <si>
    <t>cost_stroke_tree</t>
  </si>
  <si>
    <t>cost_death_tree</t>
  </si>
  <si>
    <t>cost_min_bleed</t>
  </si>
  <si>
    <t xml:space="preserve">cost of minor bleeding </t>
  </si>
  <si>
    <t>cost_maj_bleed</t>
  </si>
  <si>
    <t xml:space="preserve">cost of major bleeding </t>
  </si>
  <si>
    <t>cost_bleeding_AC</t>
  </si>
  <si>
    <t>cost of bleeding with AC</t>
  </si>
  <si>
    <t>cost_bleeding_AT</t>
  </si>
  <si>
    <t>cost of bleeding with AT</t>
  </si>
  <si>
    <t>cost_bleeding_AP</t>
  </si>
  <si>
    <t xml:space="preserve">cost of bleeding with AP </t>
  </si>
  <si>
    <t>cost_no_event_markov</t>
  </si>
  <si>
    <t>cost_no_further_ event_markov</t>
  </si>
  <si>
    <t>cost_stroke_markov</t>
  </si>
  <si>
    <t>cost_post_stroke_markov</t>
  </si>
  <si>
    <t xml:space="preserve"> cost_post- stroke_markov</t>
  </si>
  <si>
    <t>cost_reinfarction_markov</t>
  </si>
  <si>
    <t>cost_post_reinfarction_markov</t>
  </si>
  <si>
    <t>cost_post- reinfarction_markov</t>
  </si>
  <si>
    <t>disc_cost_b</t>
  </si>
  <si>
    <t xml:space="preserve">discount rate costs base scenario </t>
  </si>
  <si>
    <t xml:space="preserve">NICE PMG36-  2022 </t>
  </si>
  <si>
    <t>disc_effect_b</t>
  </si>
  <si>
    <t xml:space="preserve">discount rate QALYs base scenario </t>
  </si>
  <si>
    <t>NICE PMG36-  2023</t>
  </si>
  <si>
    <t>ce_tresh</t>
  </si>
  <si>
    <t xml:space="preserve">CE threshold </t>
  </si>
  <si>
    <t>NICE PMG36-  2024</t>
  </si>
  <si>
    <t>OR_death_tica_vs_clop</t>
  </si>
  <si>
    <t xml:space="preserve">Odds Ratio_All-cause mortality_ ticagrelor vs clopidogrel </t>
  </si>
  <si>
    <t>OR_MI_tica_vs_clop</t>
  </si>
  <si>
    <t xml:space="preserve">Odds Ratio_MI_ ticagrelor vs clopidogrel </t>
  </si>
  <si>
    <t>OR_stroke_tica_vs_clop</t>
  </si>
  <si>
    <t xml:space="preserve">Odds Ratio_stroke_ ticagrelor vs clopidogrel </t>
  </si>
  <si>
    <t>OR_maj_bleed__tica_vs_clop</t>
  </si>
  <si>
    <t xml:space="preserve">Odds Ratio_major bleeding_ ticagrelor vs clopidogrel </t>
  </si>
  <si>
    <t>OR_min_bleed__tica_vs_clop</t>
  </si>
  <si>
    <t xml:space="preserve">Odds Ratio_minor bleeding_ ticagrelor vs clopidogrel </t>
  </si>
  <si>
    <t>OR_death_pras_vs_clop</t>
  </si>
  <si>
    <t xml:space="preserve">Odds Ratio_All-cause mortality_ prasugrel vs clopidogrel </t>
  </si>
  <si>
    <t>OR_MI_pras_vs_clop</t>
  </si>
  <si>
    <t xml:space="preserve">Odds Ratio_MI_ prasugrel vs clopidogrel </t>
  </si>
  <si>
    <t>OR_stroke_pras_vs_clop</t>
  </si>
  <si>
    <t xml:space="preserve">Odds Ratio_stroke_ prasugrel vs clopidogrel </t>
  </si>
  <si>
    <t>OR_maj_bleed_pras_vs_clop</t>
  </si>
  <si>
    <t xml:space="preserve">Odds Ratio_major bleeding_ prasugrel vs clopidogrel </t>
  </si>
  <si>
    <t>OR_min_bleed_pras_vs_clop</t>
  </si>
  <si>
    <t xml:space="preserve">Odds Ratio_minor bleeding_ prasugrel vs clopidogrel </t>
  </si>
  <si>
    <t xml:space="preserve">RR_death_AC_no_LOF vs AT standard </t>
  </si>
  <si>
    <t>relative_risk_all-cause mortality_ AC_no-LOF</t>
  </si>
  <si>
    <t xml:space="preserve">Pereira </t>
  </si>
  <si>
    <t xml:space="preserve">RR_MI_AC_no_LOF vs AT standard </t>
  </si>
  <si>
    <t>relative risk_MI_ AC_no-LOF</t>
  </si>
  <si>
    <t xml:space="preserve">RR_stroke_AC_no_LOF vs AT standard </t>
  </si>
  <si>
    <t>relative risk_stroke_ AC_no-LOF</t>
  </si>
  <si>
    <t xml:space="preserve">RR_major_bleeding_ AC_no-LOF vs AC standard </t>
  </si>
  <si>
    <t>relative risk_major_bleeding_ AC_no-LOF</t>
  </si>
  <si>
    <t xml:space="preserve">RR_minor_bleeding_ AC_no-LOF vs AC standard </t>
  </si>
  <si>
    <t>hazard_ratio_minor_bleeding_ AC_no-LOF</t>
  </si>
  <si>
    <t>prob_dyspnoea_AC</t>
  </si>
  <si>
    <t>probability of  dyspnoea with clopidogrel</t>
  </si>
  <si>
    <t>prob_dyspnoea_AT</t>
  </si>
  <si>
    <t xml:space="preserve">probability of  dyspnoea with ticagrelor </t>
  </si>
  <si>
    <t>prb_dyspnoea_AP</t>
  </si>
  <si>
    <t>probability of  dyspnoea with prasugrel</t>
  </si>
  <si>
    <t>OR_dyspnoea_AT</t>
  </si>
  <si>
    <t xml:space="preserve">odds ratio of  dyspnoea with ticagrelor </t>
  </si>
  <si>
    <t>cost_dyspnoea_pp</t>
  </si>
  <si>
    <t>Unit costs  dyspnoea per person</t>
  </si>
  <si>
    <t>cost_dysponea_AC</t>
  </si>
  <si>
    <t>cost  dyspnoea AC</t>
  </si>
  <si>
    <t>cost_dyspnoea_AT</t>
  </si>
  <si>
    <t>cost  dyspnoea AT</t>
  </si>
  <si>
    <t>cost_dyspnoea_AP</t>
  </si>
  <si>
    <t>cost  dyspnoea AP</t>
  </si>
  <si>
    <t>u_dec_dyspnoea</t>
  </si>
  <si>
    <t xml:space="preserve">utility decrement apply for  dyspnoea </t>
  </si>
  <si>
    <t>duration_dyspnoea</t>
  </si>
  <si>
    <t>duration   dyspnoea (days)</t>
  </si>
  <si>
    <t>normal</t>
  </si>
  <si>
    <t>u_dec_dyspnoea_AC</t>
  </si>
  <si>
    <t>annual utility decrement AC</t>
  </si>
  <si>
    <t>u_dec_dyspnoea_AT</t>
  </si>
  <si>
    <t>annual utility decrement AT</t>
  </si>
  <si>
    <t>u_dec_dyspnoea_AP</t>
  </si>
  <si>
    <t>annual utility decrement AP</t>
  </si>
  <si>
    <t>proportion_AC_standard_sa</t>
  </si>
  <si>
    <t xml:space="preserve">proportion of AC in standard care sensitivity analysis </t>
  </si>
  <si>
    <t>Mohamed et al</t>
  </si>
  <si>
    <t>proportion_AT_standard_sa</t>
  </si>
  <si>
    <t xml:space="preserve">proportion of AT in standard care sensitivity analysis </t>
  </si>
  <si>
    <t>proportion_AP_standard_sa</t>
  </si>
  <si>
    <t xml:space="preserve">proportion of AP in standard care sensitivity analysis </t>
  </si>
  <si>
    <t>prob_test_order_sa</t>
  </si>
  <si>
    <t xml:space="preserve">probability of ordering test sensitivity analysis </t>
  </si>
  <si>
    <t xml:space="preserve">McDermott et al </t>
  </si>
  <si>
    <t>prob_test_followed_sa</t>
  </si>
  <si>
    <t xml:space="preserve">probability of following test sensitivity analysis </t>
  </si>
  <si>
    <t>prev_LOF_sa</t>
  </si>
  <si>
    <t>prevalance of Loss of Function allele used for sensitivity analysis</t>
  </si>
  <si>
    <t>prob_stroke_AC_sa1</t>
  </si>
  <si>
    <t>prob_MI_AC_sa</t>
  </si>
  <si>
    <t>baseline risk of MI</t>
  </si>
  <si>
    <t>reduced by 20%</t>
  </si>
  <si>
    <t>NICE NG 185 , TG28</t>
  </si>
  <si>
    <t>Overview | Ticagrelor for the treatment of acute coronary syndromes | Guidance | NICE</t>
  </si>
  <si>
    <t>SMR_no_further_event_sa</t>
  </si>
  <si>
    <t xml:space="preserve">SMR_No further event used in sensitivity analysis </t>
  </si>
  <si>
    <t>SMR_reinfarction_sa</t>
  </si>
  <si>
    <t xml:space="preserve">SMR_Reinfarction used in sensitivity analysis </t>
  </si>
  <si>
    <t>SMR_post_reinfarction_sa</t>
  </si>
  <si>
    <t xml:space="preserve">SMR_Post-reinfarction used in sensitivity analysis </t>
  </si>
  <si>
    <t>cost_min_bleed_sa</t>
  </si>
  <si>
    <t xml:space="preserve">cost of minor bleeding scenario analysis </t>
  </si>
  <si>
    <t>cost_maj_bleed_sa_10</t>
  </si>
  <si>
    <t xml:space="preserve">cost of major bleeding with 10% proportion of gastronintestinal bleeding </t>
  </si>
  <si>
    <t>cost_maj_bleed_sa_20</t>
  </si>
  <si>
    <t xml:space="preserve">cost of major bleeding with 20% proportion of castronintestinal bleeding </t>
  </si>
  <si>
    <t>cost_maj_bleed_sa_30</t>
  </si>
  <si>
    <t xml:space="preserve">cost of major bleeding with 30% proportion of castronintestinal bleeding </t>
  </si>
  <si>
    <t>cost_maj_bleed_sa_40</t>
  </si>
  <si>
    <t xml:space="preserve">cost of major bleeding with 40% proportion of castronintestinal bleeding </t>
  </si>
  <si>
    <t>u_no_event_sa</t>
  </si>
  <si>
    <t xml:space="preserve">utility used in sensitivity analysis </t>
  </si>
  <si>
    <t>utility</t>
  </si>
  <si>
    <t>u_reinfarction_sa</t>
  </si>
  <si>
    <t>u_post_reinfarction_sa</t>
  </si>
  <si>
    <t>u_stroke _sa</t>
  </si>
  <si>
    <t>u_ post_stroke_sa</t>
  </si>
  <si>
    <t>disc_cost_sa</t>
  </si>
  <si>
    <t xml:space="preserve">discount rate of costs used for sensitivity analysis </t>
  </si>
  <si>
    <t>disc_effect_sa</t>
  </si>
  <si>
    <t xml:space="preserve">discount rate of QALYs used for sensitivity analysis </t>
  </si>
  <si>
    <t xml:space="preserve">Value </t>
  </si>
  <si>
    <t>mean</t>
  </si>
  <si>
    <t>N</t>
  </si>
  <si>
    <t>alpha/ natural mean</t>
  </si>
  <si>
    <t>beta/ natural SE</t>
  </si>
  <si>
    <t xml:space="preserve">distribution </t>
  </si>
  <si>
    <t>random value</t>
  </si>
  <si>
    <t>Beta</t>
  </si>
  <si>
    <t xml:space="preserve">utility_nofurther_event </t>
  </si>
  <si>
    <t>utility_reinfarction</t>
  </si>
  <si>
    <t>utility_post_reinfarction</t>
  </si>
  <si>
    <t xml:space="preserve">utility_Stroke </t>
  </si>
  <si>
    <t xml:space="preserve">utility_ Post_Stroke </t>
  </si>
  <si>
    <t xml:space="preserve">annual_utility_dec_min_bleed </t>
  </si>
  <si>
    <t xml:space="preserve">annual_utility_dec_maj_bleed </t>
  </si>
  <si>
    <t>lognormal</t>
  </si>
  <si>
    <t>0.0791</t>
  </si>
  <si>
    <t>gamma</t>
  </si>
  <si>
    <t>prob_nevent_to_rinfarc</t>
  </si>
  <si>
    <t>prob_nevent_to_stk</t>
  </si>
  <si>
    <t>wtp</t>
  </si>
  <si>
    <t xml:space="preserve">standard care </t>
  </si>
  <si>
    <t xml:space="preserve">poc </t>
  </si>
  <si>
    <t xml:space="preserve">incremental </t>
  </si>
  <si>
    <t>NMB</t>
  </si>
  <si>
    <t>prob_ce</t>
  </si>
  <si>
    <t>iteration</t>
  </si>
  <si>
    <t xml:space="preserve">cost </t>
  </si>
  <si>
    <t>QALYs</t>
  </si>
  <si>
    <t>standard</t>
  </si>
  <si>
    <t>poc</t>
  </si>
  <si>
    <t xml:space="preserve"> </t>
  </si>
  <si>
    <t xml:space="preserve">DAPT Proprtion </t>
  </si>
  <si>
    <t xml:space="preserve">probability of events with ticagrelor and prasugrel </t>
  </si>
  <si>
    <t>event rates in non-lof carriers with AC</t>
  </si>
  <si>
    <t xml:space="preserve"> dyspnoea </t>
  </si>
  <si>
    <t>Year</t>
  </si>
  <si>
    <t>Clopidogrel</t>
  </si>
  <si>
    <t>Ticagrelor</t>
  </si>
  <si>
    <t>Prasugrel</t>
  </si>
  <si>
    <t>Total</t>
  </si>
  <si>
    <t>Outcome</t>
  </si>
  <si>
    <t>probability 
AC</t>
  </si>
  <si>
    <t>Odds
AC</t>
  </si>
  <si>
    <t>OR
ATvsAC</t>
  </si>
  <si>
    <t>OR
CI_L</t>
  </si>
  <si>
    <t>OR
CI_H</t>
  </si>
  <si>
    <t>probability 
AT</t>
  </si>
  <si>
    <t>SE_OR
AT</t>
  </si>
  <si>
    <t>OR
APvsAC</t>
  </si>
  <si>
    <t>probability
AP</t>
  </si>
  <si>
    <t>SE_OR
AP</t>
  </si>
  <si>
    <t xml:space="preserve">frequency of CYP2C19 LOF </t>
  </si>
  <si>
    <t>Event</t>
  </si>
  <si>
    <t>HR
LOF</t>
  </si>
  <si>
    <t>CI_L</t>
  </si>
  <si>
    <t>CI_H</t>
  </si>
  <si>
    <t>probability 
_No_LOF</t>
  </si>
  <si>
    <t xml:space="preserve">item </t>
  </si>
  <si>
    <t>SE, and CI for probabily of events with AT</t>
  </si>
  <si>
    <t>STEMI</t>
  </si>
  <si>
    <t>all-cause mortality</t>
  </si>
  <si>
    <t xml:space="preserve">prevalance of at least one LOF in European-ancestry </t>
  </si>
  <si>
    <t xml:space="preserve">Pilling et al </t>
  </si>
  <si>
    <t>Mortality</t>
  </si>
  <si>
    <t>Per surgery consultation lasting 10 minutes</t>
  </si>
  <si>
    <t>sample size</t>
  </si>
  <si>
    <t>Lower CI</t>
  </si>
  <si>
    <t>Higher CI</t>
  </si>
  <si>
    <t>MI</t>
  </si>
  <si>
    <t xml:space="preserve">prevalance of  LOF in East Asian in a trial  </t>
  </si>
  <si>
    <t>Wang et al</t>
  </si>
  <si>
    <t xml:space="preserve">Nurse per hour with qualification </t>
  </si>
  <si>
    <t xml:space="preserve">dyspnoea </t>
  </si>
  <si>
    <t>stroke</t>
  </si>
  <si>
    <t>prevalance of  LOF in African Americans</t>
  </si>
  <si>
    <t>Stroke</t>
  </si>
  <si>
    <t>not statistically significant</t>
  </si>
  <si>
    <t>risk of  dyspnoea AC</t>
  </si>
  <si>
    <t>major bleed</t>
  </si>
  <si>
    <t xml:space="preserve">prevalence of LOF in Asian-British </t>
  </si>
  <si>
    <t>risk of  dyspnoea AT</t>
  </si>
  <si>
    <t>minor bleed</t>
  </si>
  <si>
    <t>risk of  dyspnoea AP</t>
  </si>
  <si>
    <t>proportion of patients visit GP</t>
  </si>
  <si>
    <t>Ethnicity</t>
  </si>
  <si>
    <t>%</t>
  </si>
  <si>
    <t>Number</t>
  </si>
  <si>
    <t>Equivalent in Iova</t>
  </si>
  <si>
    <t xml:space="preserve">frequency </t>
  </si>
  <si>
    <t>weighted average</t>
  </si>
  <si>
    <t xml:space="preserve">proportion of patients visit nurse </t>
  </si>
  <si>
    <t>Asian</t>
  </si>
  <si>
    <t>cos of nurse visit per 20 minute</t>
  </si>
  <si>
    <t>Bangladeshi</t>
  </si>
  <si>
    <t>SAS</t>
  </si>
  <si>
    <t>cost per patient GP</t>
  </si>
  <si>
    <t>Chinese</t>
  </si>
  <si>
    <t>EAS</t>
  </si>
  <si>
    <t>cost per patient Nurse</t>
  </si>
  <si>
    <t>NSTEMI_UA</t>
  </si>
  <si>
    <t>Indian</t>
  </si>
  <si>
    <t>Pakistani</t>
  </si>
  <si>
    <t>utility decremnt  dyspnoea</t>
  </si>
  <si>
    <t>Asian other</t>
  </si>
  <si>
    <t xml:space="preserve"> dyspnoea duration</t>
  </si>
  <si>
    <t xml:space="preserve">30 days </t>
  </si>
  <si>
    <t>Black</t>
  </si>
  <si>
    <t>Black African</t>
  </si>
  <si>
    <t>AA</t>
  </si>
  <si>
    <t>SE, and CI for probabily of events with AP</t>
  </si>
  <si>
    <t>Black Caribbean</t>
  </si>
  <si>
    <t>Black other</t>
  </si>
  <si>
    <t>All-cause mortality</t>
  </si>
  <si>
    <t>Mixed</t>
  </si>
  <si>
    <t>Mixed White/Asian</t>
  </si>
  <si>
    <t>Other</t>
  </si>
  <si>
    <t>Mixed White/Black African</t>
  </si>
  <si>
    <t>Major bleed</t>
  </si>
  <si>
    <t>Mixed White/Black Caribbean</t>
  </si>
  <si>
    <t>Minor bleed</t>
  </si>
  <si>
    <t>Mixed other</t>
  </si>
  <si>
    <t>White</t>
  </si>
  <si>
    <t>Gypsy Or Irish Traveller</t>
  </si>
  <si>
    <t>EUR</t>
  </si>
  <si>
    <t>Roma</t>
  </si>
  <si>
    <t>White British</t>
  </si>
  <si>
    <t>White Irish</t>
  </si>
  <si>
    <t>White other</t>
  </si>
  <si>
    <t>Arab</t>
  </si>
  <si>
    <t xml:space="preserve">other </t>
  </si>
  <si>
    <t xml:space="preserve"> Other</t>
  </si>
  <si>
    <t>Prevalence of LOF UK-mixed ethnicity</t>
  </si>
  <si>
    <t xml:space="preserve"> 10.1136/bmjopen-2021-053905</t>
  </si>
  <si>
    <t>10.1016/j.jns.2016.08.025</t>
  </si>
  <si>
    <t>10.1016/j.jacadv.2023.100573</t>
  </si>
  <si>
    <t>decision tree states</t>
  </si>
  <si>
    <t>cohort break down</t>
  </si>
  <si>
    <t>state probability</t>
  </si>
  <si>
    <t>drug_cost</t>
  </si>
  <si>
    <t>state_cost</t>
  </si>
  <si>
    <t>expected cost</t>
  </si>
  <si>
    <t>state_utility</t>
  </si>
  <si>
    <t>expected utility</t>
  </si>
  <si>
    <t>cost_DAPT_st</t>
  </si>
  <si>
    <t>cost_DAPT_poc</t>
  </si>
  <si>
    <t>QALY_DAPT_st</t>
  </si>
  <si>
    <t>QALY_DAPT_poc</t>
  </si>
  <si>
    <t>cost_difference</t>
  </si>
  <si>
    <t>QALY_difference</t>
  </si>
  <si>
    <t xml:space="preserve">assumption </t>
  </si>
  <si>
    <t>standard_care &gt; clopidogrel_ASA  &gt; no_further_event</t>
  </si>
  <si>
    <t>dist_nevent_st_tree</t>
  </si>
  <si>
    <t>In the base case scenario, clopidogrel is administered with a loading dose of 600 mg. The patient continues dual antiplatelet therapy with clopidogrel and ASA for a duration of 365 days, based on  NICE NG185 model.</t>
  </si>
  <si>
    <t>standard_care &gt; clopidogrel_ASA &gt; MI</t>
  </si>
  <si>
    <t>dist_rinfarc_st_tree</t>
  </si>
  <si>
    <t>standard_care &gt; clopidogrel_ASA &gt; stroke</t>
  </si>
  <si>
    <t>dist_stk_st_tree</t>
  </si>
  <si>
    <t>In the base case scenario, clopidogrel is administered with a loading dose of 600 mg. The patient continues dual antiplatelet therapy with clopidogrel and ASA for a duration of 365/2 days, based on  NICE NG185 model.</t>
  </si>
  <si>
    <t>standard_care &gt; clopidogrel_ASA &gt; death</t>
  </si>
  <si>
    <t>dist_dead_st_tree</t>
  </si>
  <si>
    <t>In the base case scenario, clopidogrel is administered with a loading dose of 600 mg. The patient continues dual antiplatelet therapy with clopidogrel and ASA for a duration of 328 days, based on  NICE NG185 model.</t>
  </si>
  <si>
    <t>standard_care &gt; ticagrelor_ASA  &gt; no_further_event</t>
  </si>
  <si>
    <t>In the base case scenario, ticagrelor is administered with a loading dose of 180 mg. The patient continues dual antiplatelet therapy with ticagrelor and ASA for a duration of 328 days, based on  NICE NG185 model.</t>
  </si>
  <si>
    <t>standard_care &gt; ticagrelor_ASA &gt; MI</t>
  </si>
  <si>
    <t>In the base case scenario, ticagrelor is administered with a loading dose of 180 mg. The patient continues dual antiplatelet therapy with ticagrelor and ASA for a duration of 365 days, based on  NICE NG185 model.</t>
  </si>
  <si>
    <t>standard_care &gt; ticagrelor_ASA &gt; stroke</t>
  </si>
  <si>
    <t>In the base case scenario, ticagrelor is administered with a loading dose of 180 mg. The patient continues dual antiplatelet therapy with ticagrelor and ASA for a duration of 365/2 days, based on  NICE NG185 model.</t>
  </si>
  <si>
    <t>standard_care &gt; ticagrelor_ASA &gt; death</t>
  </si>
  <si>
    <t>standard_care &gt; prasugrel_ASA  &gt; no_further_event</t>
  </si>
  <si>
    <t>In the base case scenario, prasugrel is administered with a loading dose of 60 mg. The patient continues dual antiplatelet therapy with prasugrel and ASA for a duration of 328 days, based on  NICE NG185 model.</t>
  </si>
  <si>
    <t xml:space="preserve">
</t>
  </si>
  <si>
    <t>standard_care &gt; prasugrel_ASA &gt; MI</t>
  </si>
  <si>
    <t>In the base case scenario, prasugrel is administered with a loading dose of 60 mg. The patient continues dual antiplatelet therapy with prasugrel and ASA for a duration of 365 days, based on  NICE NG185 model.</t>
  </si>
  <si>
    <t>standard_care &gt; prasugrel_ASA &gt; stroke</t>
  </si>
  <si>
    <t>standard_care &gt; prasugrel_ASA &gt; death</t>
  </si>
  <si>
    <t>In the base case scenario, prasugrel is administered with a loading dose of 60 mg. The patient continues dual antiplatelet therapy with prasugrel and ASA for a duration of 365/2 days, based on  NICE NG185 model.</t>
  </si>
  <si>
    <t>PoC_test_ordered &gt; test_followed &gt; LOF &gt; ticagrelor_ASA &gt; no_further_event</t>
  </si>
  <si>
    <t>dist_nevent_pc_tree</t>
  </si>
  <si>
    <r>
      <t xml:space="preserve">Patients in the PoC arm who undergo testing and follow the results do not receive a loading dose of the main antiplatelets (clopidogrel, ticagrelor, or prasugrel). Their maintenance dose is </t>
    </r>
    <r>
      <rPr>
        <b/>
        <sz val="11"/>
        <color theme="1"/>
        <rFont val="Calibri"/>
        <family val="2"/>
        <scheme val="minor"/>
      </rPr>
      <t>five days shorter</t>
    </r>
    <r>
      <rPr>
        <sz val="11"/>
        <color theme="1"/>
        <rFont val="Calibri"/>
        <family val="2"/>
        <scheme val="minor"/>
      </rPr>
      <t xml:space="preserve"> than that of their counterparts in the standard care arm.</t>
    </r>
  </si>
  <si>
    <t>In the base case scenario, ticagrelor is administered with a loading dose of 180 mg. The patient continues dual antiplatelet therapy with ticagrelor and ASA(because they carry LOF) for a duration of 365 days, based on  NICE NG185 model.</t>
  </si>
  <si>
    <t>PoC_test_ordered &gt; test_followed &gt; LOF &gt; ticagrelor_ASA &gt; MI</t>
  </si>
  <si>
    <t>dist_rinfarc_pc_tree</t>
  </si>
  <si>
    <t>In the base case scenario, ticagrelor is administered with a loading dose of 180 mg. The patient continues dual antiplatelet therapy with ticagrelor and ASA(because they carry LOF) for a duration of 328 days, based on  NICE NG185 model.</t>
  </si>
  <si>
    <t>PoC_test_ordered &gt; test_followed &gt; LOF &gt; ticagrelor_ASA &gt; stroke</t>
  </si>
  <si>
    <t>dist_stk_pc_tree</t>
  </si>
  <si>
    <t>PoC_test_ordered &gt; test_followed &gt; LOF &gt; ticagrelor_ASA &gt; death</t>
  </si>
  <si>
    <t>dist_dead_pc_tree</t>
  </si>
  <si>
    <t>In the base case scenario, ticagrelor is administered with a loading dose of 180 mg. The patient continues dual antiplatelet therapy with ticagrelor and ASA(because they carry LOF) for a duration of 365/2 days, based on  NICE NG185 model.</t>
  </si>
  <si>
    <t>PoC_test_ordered &gt; test_followed &gt; LOF &gt; prasugrel_ASA &gt; no_event</t>
  </si>
  <si>
    <t>In the base case scenario, prasugrel is administered with a loading dose of 60 mg. The patient continues dual antiplatelet therapy with prasugrel and ASA(because they carry LOF) for a duration of 328 days, based on  NICE NG185 model.</t>
  </si>
  <si>
    <t>PoC_test_ordered &gt; test_followed &gt; LOF &gt; prasugrel_ASA &gt; MI</t>
  </si>
  <si>
    <t>In the base case scenario, prasugrel is administered with a loading dose of 60 mg. The patient continues dual antiplatelet therapy with prasugrel and ASA(because they carry LOF) for a duration of 365 days, based on  NICE NG185 model.</t>
  </si>
  <si>
    <t>PoC_test_ordered &gt; test_followed &gt; LOF &gt; prasugrel_ASA &gt; stroke</t>
  </si>
  <si>
    <t>In the base case scenario, prasugrel is administered with a loading dose of 60 mg. The patient continues dual antiplatelet therapy with prasugrel and ASA(because they carry LOF) for a duration of 365/2 days, based on  NICE NG185 model.</t>
  </si>
  <si>
    <t>PoC_test_ordered &gt; test_followed &gt; LOF &gt; prasugrel_ASA &gt; death</t>
  </si>
  <si>
    <t>PoC_test_ordered &gt; test_followed &gt; No_LOF &gt; clopidogrel_ASA &gt; no_event</t>
  </si>
  <si>
    <t>It is assumed that all patients initially receive a 180 mg loading dose of ticagrelor and continue treatment with ticagrelor plus ASA by test result is ready(5days). Upon application of the test result, patients transition to a de-escalated regimen of clopidogrel plus ASA, continuing dual antiplatelet therapy for a total of 328 days(assumption NG185).</t>
  </si>
  <si>
    <t>PoC_test_ordered &gt; test_followed &gt; No_LOF &gt; clopidogrel_ASA &gt; reinfarction</t>
  </si>
  <si>
    <t>It is assumed that all patients initially receive a 180 mg loading dose of ticagrelor and continue treatment with ticagrelor plus ASA by test result is ready(5days). Upon application of the test result, patients transition to a de-escalated regimen of clopidogrel plus ASA, continuing dual antiplatelet therapy for a total of 360 days(assumption NG185).</t>
  </si>
  <si>
    <t>PoC_test_ordered &gt; test_followed &gt; No_LOF &gt; clopidogrel_ASA &gt; stroke</t>
  </si>
  <si>
    <t>PoC_test_ordered &gt; test_followed &gt; No_LOF &gt; clopidogrel_ASA &gt; death</t>
  </si>
  <si>
    <t>It is assumed that all patients initially receive a 180 mg loading dose of ticagrelor and continue treatment with ticagrelor plus ASA by test result is ready(5days). Upon application of the test result, patients transition to a de-escalated regimen of clopidogrel plus ASA, continuing dual antiplatelet therapy for a total of 365/2 days(assumption NG185).</t>
  </si>
  <si>
    <t xml:space="preserve">PoC_test_ordered &gt; test_not_followed &gt; standard_care </t>
  </si>
  <si>
    <t xml:space="preserve">PoC_test_not_ordered &gt; standard_care </t>
  </si>
  <si>
    <t>Cost of index PCI (£)</t>
  </si>
  <si>
    <t>DAPT unit cost(£)</t>
  </si>
  <si>
    <t>daily cost of DAPT ( £)</t>
  </si>
  <si>
    <t>ERG Code</t>
  </si>
  <si>
    <t>ERG Description</t>
  </si>
  <si>
    <t>No of FCEs</t>
  </si>
  <si>
    <t>National average unit cost</t>
  </si>
  <si>
    <t>Inflation rate</t>
  </si>
  <si>
    <t>Markov</t>
  </si>
  <si>
    <t>Adverse events</t>
  </si>
  <si>
    <t xml:space="preserve">minor bleeding </t>
  </si>
  <si>
    <t xml:space="preserve">major bleeding </t>
  </si>
  <si>
    <t>Drug</t>
  </si>
  <si>
    <t>Tablet Size</t>
  </si>
  <si>
    <t>Tablets per Pack</t>
  </si>
  <si>
    <t>Cost per Pack (Feb 2025)</t>
  </si>
  <si>
    <t>cost 
per tablet</t>
  </si>
  <si>
    <t>loading 
dose</t>
  </si>
  <si>
    <t>loading dose cost</t>
  </si>
  <si>
    <t xml:space="preserve">daily maintenance dose </t>
  </si>
  <si>
    <t xml:space="preserve">cost 
per day </t>
  </si>
  <si>
    <t xml:space="preserve"> non-elective Long-stay </t>
  </si>
  <si>
    <t xml:space="preserve">Year </t>
  </si>
  <si>
    <t>NHSCII pay and prices</t>
  </si>
  <si>
    <t>no-event</t>
  </si>
  <si>
    <t xml:space="preserve">stroke </t>
  </si>
  <si>
    <t xml:space="preserve">death </t>
  </si>
  <si>
    <t xml:space="preserve"> post- stroke</t>
  </si>
  <si>
    <t>no further event</t>
  </si>
  <si>
    <t xml:space="preserve">reinfarction </t>
  </si>
  <si>
    <t>post- reinfarction</t>
  </si>
  <si>
    <t>minor bleeding</t>
  </si>
  <si>
    <t>major bleeding</t>
  </si>
  <si>
    <t>scenario 1</t>
  </si>
  <si>
    <t>SC0</t>
  </si>
  <si>
    <t>SC1(10%)</t>
  </si>
  <si>
    <t>SC2(20%)</t>
  </si>
  <si>
    <t>SC3(30%)</t>
  </si>
  <si>
    <t>SC4(40%)</t>
  </si>
  <si>
    <t>Aspirin</t>
  </si>
  <si>
    <t>75mg</t>
  </si>
  <si>
    <t>n/a</t>
  </si>
  <si>
    <t>EY40A</t>
  </si>
  <si>
    <t>Complex Percutaneous Transluminal Coronary Angioplasty with CC Score 12+</t>
  </si>
  <si>
    <t>2017/2018</t>
  </si>
  <si>
    <t>base year</t>
  </si>
  <si>
    <t>Clopidogrel_L300</t>
  </si>
  <si>
    <t>300mg</t>
  </si>
  <si>
    <t>EY40B</t>
  </si>
  <si>
    <t>Complex Percutaneous Transluminal Coronary Angioplasty with CC Score 8-11</t>
  </si>
  <si>
    <t>2018/2019</t>
  </si>
  <si>
    <t>5mg</t>
  </si>
  <si>
    <t>Clopidogrel_L600</t>
  </si>
  <si>
    <t>EY40C</t>
  </si>
  <si>
    <t>Complex Percutaneous Transluminal Coronary Angioplasty with CC Score 4-7</t>
  </si>
  <si>
    <t>2019/2020</t>
  </si>
  <si>
    <t>Prasugrel1</t>
  </si>
  <si>
    <t>10mg</t>
  </si>
  <si>
    <t>Prasugrel_5</t>
  </si>
  <si>
    <t>60mg</t>
  </si>
  <si>
    <t>EY40D</t>
  </si>
  <si>
    <t>Complex Percutaneous Transluminal Coronary Angioplasty with CC Score 0-3</t>
  </si>
  <si>
    <t>2020/2021</t>
  </si>
  <si>
    <t>90mg</t>
  </si>
  <si>
    <t>prasugrel_10</t>
  </si>
  <si>
    <t>EY41A</t>
  </si>
  <si>
    <t>Standard Percutaneous Transluminal Coronary Angioplasty with CC Score 12+</t>
  </si>
  <si>
    <t>2021/2022</t>
  </si>
  <si>
    <t xml:space="preserve">NHSBSA Tariffs - February 2025. </t>
  </si>
  <si>
    <t>180mg</t>
  </si>
  <si>
    <t>EY41B</t>
  </si>
  <si>
    <t>Standard Percutaneous Transluminal Coronary Angioplasty with CC Score 8-11</t>
  </si>
  <si>
    <t>2022/2023*</t>
  </si>
  <si>
    <t xml:space="preserve">NHSBSA Tariffs - February 2025 </t>
  </si>
  <si>
    <t>EY41C</t>
  </si>
  <si>
    <t>Standard Percutaneous Transluminal Coronary Angioplasty with CC Score 4-7</t>
  </si>
  <si>
    <t>2023/2024</t>
  </si>
  <si>
    <t>EY41D</t>
  </si>
  <si>
    <t>Standard Percutaneous Transluminal Coronary Angioplasty with CC Score 0-3</t>
  </si>
  <si>
    <t>2024/2025</t>
  </si>
  <si>
    <t>day_cost_aspirin</t>
  </si>
  <si>
    <t xml:space="preserve">Non-elective Short-stay </t>
  </si>
  <si>
    <t>The unit costs of health and social care_Final3.pdf</t>
  </si>
  <si>
    <t>day_cost_clopidogrel</t>
  </si>
  <si>
    <t>day_cost_prasugrel_5mg</t>
  </si>
  <si>
    <t>23-25NHSPS - amended Annex D Prices and cost adjusments</t>
  </si>
  <si>
    <t>day_cost_prasugrel_10mg</t>
  </si>
  <si>
    <t>day_cost_ticagrelor</t>
  </si>
  <si>
    <t>loading_clopidogrel_300</t>
  </si>
  <si>
    <t>loading_clopidogrel_600</t>
  </si>
  <si>
    <t>loading_prasugrel_60</t>
  </si>
  <si>
    <t>loading_ticagrelor_180</t>
  </si>
  <si>
    <t xml:space="preserve">Abbreviations: FCE = finished consultant episode
Source: NHS Reference Costs, 2023/25; cost of non-elective long stay includes excess bed day cost. </t>
  </si>
  <si>
    <t xml:space="preserve">transition from / to </t>
  </si>
  <si>
    <t>Probability</t>
  </si>
  <si>
    <t>No Further Event to No Further Event</t>
  </si>
  <si>
    <t>1-3.62%-0.59%-Age-dependent mortality</t>
  </si>
  <si>
    <t>No Further Event to Reinfarction</t>
  </si>
  <si>
    <t>No Further Event to Post-Reinfarction</t>
  </si>
  <si>
    <t xml:space="preserve">to </t>
  </si>
  <si>
    <t>No Further Event to Stroke</t>
  </si>
  <si>
    <t>from</t>
  </si>
  <si>
    <t>No Further Event</t>
  </si>
  <si>
    <t>Reinfarction</t>
  </si>
  <si>
    <t>Post-Reinfarction</t>
  </si>
  <si>
    <t>Post-Stroke</t>
  </si>
  <si>
    <t>Dead</t>
  </si>
  <si>
    <t>No Further Event to Post-Stroke</t>
  </si>
  <si>
    <t>1-3.62% - 0.59% - Age-dependent</t>
  </si>
  <si>
    <t>No Further Event to Dead</t>
  </si>
  <si>
    <t>Age-dependent mortality</t>
  </si>
  <si>
    <t>1- age-dependant mortality</t>
  </si>
  <si>
    <t>Reinfarction to No Further Event</t>
  </si>
  <si>
    <t>Reinfarction to Reinfarction</t>
  </si>
  <si>
    <t>Reinfarction to Post-Reinfarction</t>
  </si>
  <si>
    <t>1-Age-dependent mortality</t>
  </si>
  <si>
    <t>Reinfarction to Stroke</t>
  </si>
  <si>
    <t>Reinfarction to Post-Stroke</t>
  </si>
  <si>
    <t>Reinfarction to Dead</t>
  </si>
  <si>
    <t>Post-Reinfarction to No Further Event</t>
  </si>
  <si>
    <t>Post-Reinfarction to Reinfarction</t>
  </si>
  <si>
    <t>Post-Reinfarction to Post-Reinfarction</t>
  </si>
  <si>
    <t>Post-Reinfarction to Stroke</t>
  </si>
  <si>
    <t>Post-Reinfarction to Post-Stroke</t>
  </si>
  <si>
    <t>Post-Reinfarction to Dead</t>
  </si>
  <si>
    <t>Stroke to No Further Event</t>
  </si>
  <si>
    <t>Stroke to Reinfarction</t>
  </si>
  <si>
    <t>Stroke to Post-Reinfarction</t>
  </si>
  <si>
    <t>Stroke to Stroke</t>
  </si>
  <si>
    <t>Stroke to Post-Stroke</t>
  </si>
  <si>
    <t>Stroke to Dead</t>
  </si>
  <si>
    <t>Post-Stroke to No Further Event</t>
  </si>
  <si>
    <t>Post-Stroke to Reinfarction</t>
  </si>
  <si>
    <t>Post-Stroke to Post-Reinfarction</t>
  </si>
  <si>
    <t>Post-Stroke to Stroke</t>
  </si>
  <si>
    <t>Post-Stroke to Post-Stroke</t>
  </si>
  <si>
    <t>Post-Stroke to Dead</t>
  </si>
  <si>
    <t>Dead to No Further Event</t>
  </si>
  <si>
    <t>Dead to Reinfarction</t>
  </si>
  <si>
    <t>Dead to Post-Reinfarction</t>
  </si>
  <si>
    <t>Dead to Stroke</t>
  </si>
  <si>
    <t>Dead to Post-Stroke</t>
  </si>
  <si>
    <t>Dead to Dead</t>
  </si>
  <si>
    <t xml:space="preserve">long term  risks </t>
  </si>
  <si>
    <t xml:space="preserve">Health states distribution standard care </t>
  </si>
  <si>
    <t>Health states distribution standard care (Half Cycle)</t>
  </si>
  <si>
    <t xml:space="preserve">Age-Sex adjustedt utilities </t>
  </si>
  <si>
    <t>Health states distribution point-of-care test</t>
  </si>
  <si>
    <t>Health states distribution point-of-care test(half cycle)</t>
  </si>
  <si>
    <t xml:space="preserve">cost of standard care </t>
  </si>
  <si>
    <t>cost of standard care (half cycle)</t>
  </si>
  <si>
    <t>cost of point-of-care test</t>
  </si>
  <si>
    <t>cost of point-of-care test (half cycle)</t>
  </si>
  <si>
    <t xml:space="preserve">utility of standard care </t>
  </si>
  <si>
    <t>utility of standard care (Half cycle)</t>
  </si>
  <si>
    <t>utility of point-of-care test</t>
  </si>
  <si>
    <t>utility of point-of-care test (half cycle)</t>
  </si>
  <si>
    <t>tunnel</t>
  </si>
  <si>
    <t xml:space="preserve">cycle </t>
  </si>
  <si>
    <t>age</t>
  </si>
  <si>
    <t>noevent_rinfarct</t>
  </si>
  <si>
    <t>noevent_stk</t>
  </si>
  <si>
    <t>noevent_death</t>
  </si>
  <si>
    <t>rinfarct_death</t>
  </si>
  <si>
    <t>pos_rinfarc_death</t>
  </si>
  <si>
    <t>stk_death</t>
  </si>
  <si>
    <t>post_stk_death</t>
  </si>
  <si>
    <t xml:space="preserve">no event </t>
  </si>
  <si>
    <t>reinfarction</t>
  </si>
  <si>
    <t>post-reinfarction</t>
  </si>
  <si>
    <t>post-stroke</t>
  </si>
  <si>
    <t>dead</t>
  </si>
  <si>
    <t>check</t>
  </si>
  <si>
    <t>LYGs</t>
  </si>
  <si>
    <t xml:space="preserve">check </t>
  </si>
  <si>
    <t xml:space="preserve">total </t>
  </si>
  <si>
    <t>total</t>
  </si>
  <si>
    <t>100% uptake</t>
  </si>
  <si>
    <t>test_order switch</t>
  </si>
  <si>
    <t>test_follow switch</t>
  </si>
  <si>
    <t>+</t>
  </si>
  <si>
    <t>SMRs</t>
  </si>
  <si>
    <t>SMR_Stroke</t>
  </si>
  <si>
    <t>Male_prop_STEMI</t>
  </si>
  <si>
    <t>Life Table 2021-2023</t>
  </si>
  <si>
    <t>mortality no_further event</t>
  </si>
  <si>
    <t>mortality reinfarction</t>
  </si>
  <si>
    <t>mortality post-reinfarction</t>
  </si>
  <si>
    <t>mortality stroke</t>
  </si>
  <si>
    <t>Mortality post_stroke</t>
  </si>
  <si>
    <t>age_male</t>
  </si>
  <si>
    <t>mortality_male</t>
  </si>
  <si>
    <t xml:space="preserve">age_female </t>
  </si>
  <si>
    <t>mortality_female</t>
  </si>
  <si>
    <t>adjusted_mortality_male</t>
  </si>
  <si>
    <t>adjusted_mortality_female</t>
  </si>
  <si>
    <t>adjusted_mortality_mf</t>
  </si>
  <si>
    <t>adjusted_mortality
male</t>
  </si>
  <si>
    <t>adjusted_mortality
female</t>
  </si>
  <si>
    <t>adjusted_mortality
mf</t>
  </si>
  <si>
    <t>cycle</t>
  </si>
  <si>
    <t>utility_no further event</t>
  </si>
  <si>
    <t>utility _post-reinfarction</t>
  </si>
  <si>
    <t>utility_stroke</t>
  </si>
  <si>
    <t xml:space="preserve">utility_ post_stroke </t>
  </si>
  <si>
    <t xml:space="preserve">male </t>
  </si>
  <si>
    <t>female</t>
  </si>
  <si>
    <t>both</t>
  </si>
  <si>
    <t xml:space="preserve">both </t>
  </si>
  <si>
    <t>Post 1 Year</t>
  </si>
  <si>
    <t>Diagnosis</t>
  </si>
  <si>
    <t>PCI</t>
  </si>
  <si>
    <t xml:space="preserve">Discharge </t>
  </si>
  <si>
    <t>short-term follow up</t>
  </si>
  <si>
    <t>Discharge</t>
  </si>
  <si>
    <t>proportion_male</t>
  </si>
  <si>
    <t>start_age_m</t>
  </si>
  <si>
    <t>start_age_f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</si>
</sst>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0;[Red]\-&quot;£&quot;#,##0"/>
    <numFmt numFmtId="165" formatCode="&quot;£&quot;#,##0.00;[Red]\-&quot;£&quot;#,##0.00"/>
    <numFmt numFmtId="166" formatCode="0.000"/>
    <numFmt numFmtId="167" formatCode="0.0000"/>
    <numFmt numFmtId="168" formatCode="0.0"/>
    <numFmt numFmtId="169" formatCode="0.00000"/>
    <numFmt numFmtId="170" formatCode="0.000000"/>
    <numFmt numFmtId="171" formatCode="0.0%"/>
    <numFmt numFmtId="172" formatCode="&quot;£&quot;#,##0"/>
    <numFmt numFmtId="173" formatCode="#,##0_ ;[Red]\-#,##0\ "/>
    <numFmt numFmtId="174" formatCode="#,##0.000"/>
    <numFmt numFmtId="175" formatCode="&quot;£&quot;#,##0.00"/>
    <numFmt numFmtId="176" formatCode="0.000000000"/>
    <numFmt numFmtId="177" formatCode="0.000%"/>
  </numFmts>
  <fonts count="17" x14ac:knownFonts="1">
    <font>
      <sz val="11"/>
      <color theme="1"/>
      <name val="Calibri"/>
      <family val="2"/>
      <scheme val="minor"/>
    </font>
    <font>
      <u/>
      <sz val="11"/>
      <color theme="10"/>
      <name val="Calibri"/>
      <family val="2"/>
      <scheme val="minor"/>
    </font>
    <font>
      <sz val="8"/>
      <name val="Calibri"/>
      <family val="2"/>
      <scheme val="minor"/>
    </font>
    <font>
      <sz val="12"/>
      <color theme="1"/>
      <name val="Calibri"/>
      <family val="2"/>
      <scheme val="minor"/>
    </font>
    <font>
      <b/>
      <sz val="12"/>
      <color theme="1"/>
      <name val="Calibri"/>
      <family val="2"/>
      <scheme val="minor"/>
    </font>
    <font>
      <sz val="18"/>
      <color rgb="FF0B0C0C"/>
      <name val="Arial"/>
      <family val="2"/>
    </font>
    <font>
      <b/>
      <sz val="11"/>
      <color theme="1"/>
      <name val="Calibri"/>
      <family val="2"/>
      <scheme val="minor"/>
    </font>
    <font>
      <sz val="8"/>
      <color theme="1"/>
      <name val="Calibri"/>
      <family val="2"/>
      <scheme val="minor"/>
    </font>
    <font>
      <sz val="9"/>
      <color theme="1"/>
      <name val="Calibri"/>
      <family val="2"/>
      <scheme val="minor"/>
    </font>
    <font>
      <sz val="14"/>
      <color theme="1"/>
      <name val="Calibri"/>
      <family val="2"/>
      <scheme val="minor"/>
    </font>
    <font>
      <sz val="16"/>
      <color theme="1"/>
      <name val="Calibri"/>
      <family val="2"/>
      <scheme val="minor"/>
    </font>
    <font>
      <sz val="10"/>
      <color theme="1"/>
      <name val="Calibri"/>
      <family val="2"/>
      <scheme val="minor"/>
    </font>
    <font>
      <b/>
      <sz val="9"/>
      <color theme="1"/>
      <name val="Calibri"/>
      <family val="2"/>
      <scheme val="minor"/>
    </font>
    <font>
      <b/>
      <sz val="11"/>
      <color theme="0"/>
      <name val="Calibri"/>
      <family val="2"/>
      <scheme val="minor"/>
    </font>
    <font>
      <sz val="11"/>
      <color theme="0"/>
      <name val="Calibri"/>
      <family val="2"/>
      <scheme val="minor"/>
    </font>
    <font>
      <b/>
      <sz val="10"/>
      <color theme="1"/>
      <name val="Calibri"/>
      <family val="2"/>
      <scheme val="minor"/>
    </font>
    <font>
      <b/>
      <sz val="8"/>
      <color theme="1"/>
      <name val="Calibri"/>
      <family val="2"/>
      <scheme val="minor"/>
    </font>
  </fonts>
  <fills count="26">
    <fill>
      <patternFill patternType="none"/>
    </fill>
    <fill>
      <patternFill patternType="gray125"/>
    </fill>
    <fill>
      <patternFill patternType="solid">
        <fgColor theme="2" tint="-9.9978637043366805E-2"/>
        <bgColor indexed="64"/>
      </patternFill>
    </fill>
    <fill>
      <patternFill patternType="solid">
        <fgColor theme="4"/>
        <bgColor indexed="64"/>
      </patternFill>
    </fill>
    <fill>
      <patternFill patternType="solid">
        <fgColor theme="7" tint="-0.24997711111789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6"/>
        <bgColor indexed="64"/>
      </patternFill>
    </fill>
    <fill>
      <patternFill patternType="solid">
        <fgColor theme="7" tint="0.59999389629810485"/>
        <bgColor indexed="64"/>
      </patternFill>
    </fill>
    <fill>
      <patternFill patternType="solid">
        <fgColor rgb="FF00B0F0"/>
        <bgColor indexed="64"/>
      </patternFill>
    </fill>
    <fill>
      <patternFill patternType="solid">
        <fgColor theme="9" tint="0.79998168889431442"/>
        <bgColor indexed="64"/>
      </patternFill>
    </fill>
    <fill>
      <patternFill patternType="solid">
        <fgColor theme="7"/>
        <bgColor indexed="64"/>
      </patternFill>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rgb="FF00B050"/>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FFC000"/>
        <bgColor indexed="64"/>
      </patternFill>
    </fill>
    <fill>
      <patternFill patternType="solid">
        <fgColor them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3" tint="0.79998168889431442"/>
      </top>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2">
    <xf numFmtId="0" fontId="0" fillId="0" borderId="0"/>
    <xf numFmtId="0" fontId="1" fillId="0" borderId="0" applyNumberFormat="0" applyFill="0" applyBorder="0" applyAlignment="0" applyProtection="0"/>
  </cellStyleXfs>
  <cellXfs count="463">
    <xf numFmtId="0" fontId="0" fillId="0" borderId="0" xfId="0"/>
    <xf numFmtId="0" fontId="0" fillId="0" borderId="0" xfId="0" applyAlignment="1">
      <alignment horizontal="center"/>
    </xf>
    <xf numFmtId="0" fontId="0" fillId="2" borderId="0" xfId="0" applyFill="1"/>
    <xf numFmtId="0" fontId="5" fillId="0" borderId="0" xfId="0" applyFont="1" applyAlignment="1">
      <alignment vertical="center" wrapText="1"/>
    </xf>
    <xf numFmtId="0" fontId="0" fillId="0" borderId="1" xfId="0" applyBorder="1"/>
    <xf numFmtId="0" fontId="0" fillId="2" borderId="0" xfId="0" applyFill="1" applyAlignment="1">
      <alignment horizontal="center" vertical="center"/>
    </xf>
    <xf numFmtId="0" fontId="0" fillId="0" borderId="0" xfId="0" applyAlignment="1">
      <alignment horizontal="center" vertical="center"/>
    </xf>
    <xf numFmtId="2" fontId="0" fillId="0" borderId="0" xfId="0" applyNumberFormat="1"/>
    <xf numFmtId="166" fontId="0" fillId="2" borderId="0" xfId="0" applyNumberFormat="1" applyFill="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2" fontId="0" fillId="0" borderId="0" xfId="0" applyNumberFormat="1" applyAlignment="1">
      <alignment horizontal="center" vertical="center"/>
    </xf>
    <xf numFmtId="0" fontId="0" fillId="0" borderId="0" xfId="0" applyAlignment="1">
      <alignment vertical="center"/>
    </xf>
    <xf numFmtId="0" fontId="8" fillId="2" borderId="0" xfId="0" applyFont="1" applyFill="1" applyAlignment="1">
      <alignment horizontal="center"/>
    </xf>
    <xf numFmtId="0" fontId="0" fillId="8" borderId="0" xfId="0" applyFill="1"/>
    <xf numFmtId="0" fontId="0" fillId="9" borderId="0" xfId="0" applyFill="1"/>
    <xf numFmtId="0" fontId="9" fillId="0" borderId="0" xfId="0" applyFont="1"/>
    <xf numFmtId="0" fontId="0" fillId="10" borderId="0" xfId="0" applyFill="1"/>
    <xf numFmtId="0" fontId="0" fillId="11" borderId="0" xfId="0" applyFill="1"/>
    <xf numFmtId="0" fontId="0" fillId="10" borderId="0" xfId="0" applyFill="1" applyAlignment="1">
      <alignment horizontal="center"/>
    </xf>
    <xf numFmtId="170" fontId="0" fillId="0" borderId="0" xfId="0" applyNumberFormat="1" applyAlignment="1">
      <alignment horizontal="center"/>
    </xf>
    <xf numFmtId="0" fontId="0" fillId="0" borderId="0" xfId="0" applyAlignment="1">
      <alignment horizontal="left"/>
    </xf>
    <xf numFmtId="0" fontId="8" fillId="0" borderId="0" xfId="0" applyFont="1" applyAlignment="1">
      <alignment horizontal="center" wrapText="1"/>
    </xf>
    <xf numFmtId="0" fontId="8" fillId="8" borderId="0" xfId="0" applyFont="1" applyFill="1" applyAlignment="1">
      <alignment horizontal="center" wrapText="1"/>
    </xf>
    <xf numFmtId="0" fontId="0" fillId="8" borderId="0" xfId="0" applyFill="1" applyAlignment="1">
      <alignment horizontal="center"/>
    </xf>
    <xf numFmtId="170" fontId="0" fillId="8" borderId="0" xfId="0" applyNumberFormat="1" applyFill="1"/>
    <xf numFmtId="0" fontId="8" fillId="11" borderId="0" xfId="0" applyFont="1" applyFill="1" applyAlignment="1">
      <alignment horizontal="center" wrapText="1"/>
    </xf>
    <xf numFmtId="0" fontId="8" fillId="12" borderId="0" xfId="0" applyFont="1" applyFill="1" applyAlignment="1">
      <alignment horizontal="center" wrapText="1"/>
    </xf>
    <xf numFmtId="167" fontId="0" fillId="0" borderId="0" xfId="0" applyNumberFormat="1"/>
    <xf numFmtId="0" fontId="8" fillId="9" borderId="0" xfId="0" applyFont="1" applyFill="1" applyAlignment="1">
      <alignment horizontal="center" wrapText="1"/>
    </xf>
    <xf numFmtId="0" fontId="8" fillId="8" borderId="0" xfId="0" applyFont="1" applyFill="1" applyAlignment="1">
      <alignment horizontal="center" vertical="center"/>
    </xf>
    <xf numFmtId="0" fontId="11" fillId="0" borderId="0" xfId="0" applyFont="1" applyAlignment="1">
      <alignment vertical="center"/>
    </xf>
    <xf numFmtId="0" fontId="8" fillId="11" borderId="0" xfId="0" applyFont="1" applyFill="1" applyAlignment="1">
      <alignment horizontal="center" vertical="center"/>
    </xf>
    <xf numFmtId="167" fontId="0" fillId="11" borderId="0" xfId="0" applyNumberFormat="1" applyFill="1" applyAlignment="1">
      <alignment horizontal="center"/>
    </xf>
    <xf numFmtId="167" fontId="0" fillId="14" borderId="0" xfId="0" applyNumberFormat="1" applyFill="1" applyAlignment="1">
      <alignment horizontal="center"/>
    </xf>
    <xf numFmtId="166" fontId="0" fillId="3" borderId="0" xfId="0" applyNumberFormat="1" applyFill="1" applyAlignment="1">
      <alignment horizontal="center"/>
    </xf>
    <xf numFmtId="166" fontId="0" fillId="15" borderId="0" xfId="0" applyNumberFormat="1" applyFill="1" applyAlignment="1">
      <alignment horizontal="center"/>
    </xf>
    <xf numFmtId="166" fontId="0" fillId="14" borderId="0" xfId="0" applyNumberFormat="1" applyFill="1" applyAlignment="1">
      <alignment horizontal="center"/>
    </xf>
    <xf numFmtId="166" fontId="0" fillId="0" borderId="0" xfId="0" applyNumberFormat="1"/>
    <xf numFmtId="0" fontId="0" fillId="0" borderId="12" xfId="0" applyBorder="1"/>
    <xf numFmtId="0" fontId="0" fillId="0" borderId="13" xfId="0" applyBorder="1"/>
    <xf numFmtId="0" fontId="0" fillId="0" borderId="14" xfId="0" applyBorder="1"/>
    <xf numFmtId="0" fontId="0" fillId="0" borderId="15" xfId="0" applyBorder="1"/>
    <xf numFmtId="0" fontId="0" fillId="0" borderId="14" xfId="0" applyBorder="1" applyAlignment="1">
      <alignment vertical="center"/>
    </xf>
    <xf numFmtId="2" fontId="0" fillId="0" borderId="15" xfId="0" applyNumberFormat="1" applyBorder="1" applyAlignment="1">
      <alignment horizontal="center" vertical="center"/>
    </xf>
    <xf numFmtId="0" fontId="0" fillId="0" borderId="9" xfId="0" applyBorder="1"/>
    <xf numFmtId="0" fontId="0" fillId="0" borderId="17" xfId="0" applyBorder="1"/>
    <xf numFmtId="0" fontId="0" fillId="0" borderId="16" xfId="0" applyBorder="1"/>
    <xf numFmtId="0" fontId="6" fillId="0" borderId="14" xfId="0" applyFont="1" applyBorder="1" applyAlignment="1">
      <alignment horizontal="center" vertical="center"/>
    </xf>
    <xf numFmtId="0" fontId="6" fillId="0" borderId="14" xfId="0" applyFont="1" applyBorder="1" applyAlignment="1">
      <alignment vertical="center"/>
    </xf>
    <xf numFmtId="0" fontId="0" fillId="0" borderId="0" xfId="0" applyAlignment="1">
      <alignment horizontal="center" vertical="center" wrapText="1"/>
    </xf>
    <xf numFmtId="1" fontId="0" fillId="0" borderId="15" xfId="0" applyNumberFormat="1" applyBorder="1" applyAlignment="1">
      <alignment horizontal="center"/>
    </xf>
    <xf numFmtId="0" fontId="0" fillId="0" borderId="14" xfId="0" applyBorder="1" applyAlignment="1">
      <alignment horizontal="center" vertical="center"/>
    </xf>
    <xf numFmtId="0" fontId="0" fillId="0" borderId="0" xfId="0" applyAlignment="1">
      <alignment horizontal="center" wrapText="1"/>
    </xf>
    <xf numFmtId="0" fontId="0" fillId="0" borderId="15" xfId="0" applyBorder="1" applyAlignment="1">
      <alignment horizontal="center" wrapText="1"/>
    </xf>
    <xf numFmtId="0" fontId="0" fillId="0" borderId="0" xfId="0" applyAlignment="1">
      <alignment horizontal="left" vertical="center"/>
    </xf>
    <xf numFmtId="0" fontId="0" fillId="0" borderId="14" xfId="0" applyBorder="1" applyAlignment="1">
      <alignment horizontal="center" wrapText="1"/>
    </xf>
    <xf numFmtId="0" fontId="1" fillId="0" borderId="0" xfId="1"/>
    <xf numFmtId="0" fontId="6" fillId="0" borderId="15" xfId="0" applyFont="1" applyBorder="1" applyAlignment="1">
      <alignment horizontal="center" vertical="center"/>
    </xf>
    <xf numFmtId="0" fontId="0" fillId="0" borderId="16" xfId="0" applyBorder="1" applyAlignment="1">
      <alignment wrapText="1"/>
    </xf>
    <xf numFmtId="164" fontId="0" fillId="0" borderId="0" xfId="0" applyNumberFormat="1" applyAlignment="1">
      <alignment horizontal="center"/>
    </xf>
    <xf numFmtId="1" fontId="0" fillId="0" borderId="0" xfId="0" applyNumberFormat="1" applyAlignment="1">
      <alignment horizontal="center"/>
    </xf>
    <xf numFmtId="10" fontId="0" fillId="0" borderId="0" xfId="0" applyNumberFormat="1" applyAlignment="1">
      <alignment horizontal="center"/>
    </xf>
    <xf numFmtId="0" fontId="11" fillId="0" borderId="0" xfId="0" applyFont="1" applyAlignment="1">
      <alignment horizontal="center" vertical="center" wrapText="1"/>
    </xf>
    <xf numFmtId="0" fontId="11" fillId="0" borderId="14" xfId="0" applyFont="1" applyBorder="1" applyAlignment="1">
      <alignment horizontal="center" vertical="center" wrapText="1"/>
    </xf>
    <xf numFmtId="0" fontId="11" fillId="0" borderId="15" xfId="0" applyFont="1" applyBorder="1" applyAlignment="1">
      <alignment horizontal="center" vertical="center" wrapText="1"/>
    </xf>
    <xf numFmtId="164" fontId="0" fillId="0" borderId="15" xfId="0" applyNumberFormat="1" applyBorder="1" applyAlignment="1">
      <alignment horizontal="center"/>
    </xf>
    <xf numFmtId="0" fontId="0" fillId="0" borderId="15" xfId="0" applyBorder="1" applyAlignment="1">
      <alignment horizontal="center" vertical="center" wrapText="1"/>
    </xf>
    <xf numFmtId="164" fontId="0" fillId="0" borderId="14" xfId="0" applyNumberFormat="1" applyBorder="1" applyAlignment="1">
      <alignment horizontal="center"/>
    </xf>
    <xf numFmtId="0" fontId="0" fillId="0" borderId="15" xfId="0" applyBorder="1" applyAlignment="1">
      <alignment horizontal="center" vertical="center"/>
    </xf>
    <xf numFmtId="10" fontId="0" fillId="0" borderId="15" xfId="0" applyNumberFormat="1" applyBorder="1" applyAlignment="1">
      <alignment horizontal="center"/>
    </xf>
    <xf numFmtId="0" fontId="0" fillId="0" borderId="14" xfId="0" applyBorder="1" applyAlignment="1">
      <alignment horizontal="center" vertical="center" wrapText="1"/>
    </xf>
    <xf numFmtId="0" fontId="6" fillId="3" borderId="11" xfId="0" applyFont="1" applyFill="1" applyBorder="1" applyAlignment="1">
      <alignment horizontal="center"/>
    </xf>
    <xf numFmtId="0" fontId="0" fillId="3" borderId="16" xfId="0" applyFill="1" applyBorder="1"/>
    <xf numFmtId="10" fontId="0" fillId="3" borderId="17" xfId="0" applyNumberFormat="1" applyFill="1" applyBorder="1" applyAlignment="1">
      <alignment horizontal="center"/>
    </xf>
    <xf numFmtId="1" fontId="0" fillId="3" borderId="0" xfId="0" applyNumberFormat="1" applyFill="1" applyAlignment="1">
      <alignment horizontal="center"/>
    </xf>
    <xf numFmtId="164" fontId="0" fillId="3" borderId="16" xfId="0" applyNumberFormat="1" applyFill="1" applyBorder="1" applyAlignment="1">
      <alignment horizontal="center"/>
    </xf>
    <xf numFmtId="164" fontId="0" fillId="3" borderId="17" xfId="0" applyNumberFormat="1" applyFill="1" applyBorder="1" applyAlignment="1">
      <alignment horizontal="center"/>
    </xf>
    <xf numFmtId="164" fontId="0" fillId="3" borderId="0" xfId="0" applyNumberFormat="1" applyFill="1" applyAlignment="1">
      <alignment horizontal="center"/>
    </xf>
    <xf numFmtId="164" fontId="0" fillId="3" borderId="9" xfId="0" applyNumberFormat="1" applyFill="1" applyBorder="1" applyAlignment="1">
      <alignment horizontal="center"/>
    </xf>
    <xf numFmtId="0" fontId="0" fillId="3" borderId="13" xfId="0" applyFill="1" applyBorder="1"/>
    <xf numFmtId="0" fontId="6" fillId="0" borderId="0" xfId="0" applyFont="1"/>
    <xf numFmtId="166" fontId="0" fillId="0" borderId="0" xfId="0" applyNumberFormat="1" applyAlignment="1">
      <alignment horizontal="center"/>
    </xf>
    <xf numFmtId="0" fontId="6" fillId="0" borderId="0" xfId="0" applyFont="1" applyAlignment="1">
      <alignment horizontal="center" vertical="center" wrapText="1"/>
    </xf>
    <xf numFmtId="2" fontId="0" fillId="0" borderId="0" xfId="0" applyNumberFormat="1" applyAlignment="1">
      <alignment horizontal="center"/>
    </xf>
    <xf numFmtId="0" fontId="7" fillId="0" borderId="0" xfId="0" applyFont="1" applyAlignment="1">
      <alignment horizontal="center" wrapText="1"/>
    </xf>
    <xf numFmtId="0" fontId="7" fillId="0" borderId="0" xfId="0" applyFont="1"/>
    <xf numFmtId="0" fontId="7" fillId="0" borderId="0" xfId="0" applyFont="1" applyAlignment="1">
      <alignment horizontal="center"/>
    </xf>
    <xf numFmtId="2" fontId="7" fillId="0" borderId="0" xfId="0" applyNumberFormat="1" applyFont="1" applyAlignment="1">
      <alignment horizontal="center"/>
    </xf>
    <xf numFmtId="9" fontId="0" fillId="0" borderId="0" xfId="0" applyNumberFormat="1" applyAlignment="1">
      <alignment horizontal="center"/>
    </xf>
    <xf numFmtId="0" fontId="6" fillId="0" borderId="0" xfId="0" applyFont="1" applyAlignment="1">
      <alignment horizontal="center" vertical="center"/>
    </xf>
    <xf numFmtId="0" fontId="6" fillId="0" borderId="14" xfId="0" applyFont="1" applyBorder="1"/>
    <xf numFmtId="0" fontId="0" fillId="0" borderId="15" xfId="0" applyBorder="1" applyAlignment="1">
      <alignment horizontal="center"/>
    </xf>
    <xf numFmtId="0" fontId="0" fillId="0" borderId="14" xfId="0" applyBorder="1" applyAlignment="1">
      <alignment horizontal="center"/>
    </xf>
    <xf numFmtId="9" fontId="0" fillId="0" borderId="15" xfId="0" applyNumberFormat="1" applyBorder="1" applyAlignment="1">
      <alignment horizontal="center"/>
    </xf>
    <xf numFmtId="0" fontId="0" fillId="0" borderId="16" xfId="0" applyBorder="1" applyAlignment="1">
      <alignment horizontal="center" vertical="center"/>
    </xf>
    <xf numFmtId="2" fontId="0" fillId="0" borderId="15" xfId="0" applyNumberFormat="1" applyBorder="1" applyAlignment="1">
      <alignment horizontal="center"/>
    </xf>
    <xf numFmtId="0" fontId="0" fillId="15" borderId="11" xfId="0" applyFill="1" applyBorder="1"/>
    <xf numFmtId="166" fontId="0" fillId="0" borderId="15" xfId="0" applyNumberFormat="1" applyBorder="1" applyAlignment="1">
      <alignment horizontal="center"/>
    </xf>
    <xf numFmtId="0" fontId="0" fillId="0" borderId="9" xfId="0" applyBorder="1" applyAlignment="1">
      <alignment horizontal="center"/>
    </xf>
    <xf numFmtId="166" fontId="0" fillId="0" borderId="17" xfId="0" applyNumberFormat="1" applyBorder="1" applyAlignment="1">
      <alignment horizontal="center"/>
    </xf>
    <xf numFmtId="0" fontId="8" fillId="0" borderId="0" xfId="0" applyFont="1" applyAlignment="1">
      <alignment horizontal="center" vertical="center" wrapText="1"/>
    </xf>
    <xf numFmtId="0" fontId="8" fillId="0" borderId="15" xfId="0" applyFont="1" applyBorder="1" applyAlignment="1">
      <alignment horizontal="center" vertical="center" wrapText="1"/>
    </xf>
    <xf numFmtId="0" fontId="11" fillId="15" borderId="11" xfId="0" applyFont="1" applyFill="1" applyBorder="1"/>
    <xf numFmtId="0" fontId="11" fillId="0" borderId="14" xfId="0" applyFont="1" applyBorder="1"/>
    <xf numFmtId="0" fontId="11" fillId="0" borderId="0" xfId="0" applyFont="1"/>
    <xf numFmtId="0" fontId="11" fillId="0" borderId="0" xfId="0" applyFont="1" applyAlignment="1">
      <alignment horizontal="center"/>
    </xf>
    <xf numFmtId="166" fontId="11" fillId="0" borderId="0" xfId="0" applyNumberFormat="1" applyFont="1" applyAlignment="1">
      <alignment horizontal="center"/>
    </xf>
    <xf numFmtId="0" fontId="11" fillId="0" borderId="16" xfId="0" applyFont="1" applyBorder="1"/>
    <xf numFmtId="0" fontId="11" fillId="0" borderId="9" xfId="0" applyFont="1" applyBorder="1" applyAlignment="1">
      <alignment horizontal="center"/>
    </xf>
    <xf numFmtId="166" fontId="11" fillId="0" borderId="15" xfId="0" applyNumberFormat="1" applyFont="1" applyBorder="1" applyAlignment="1">
      <alignment horizontal="center"/>
    </xf>
    <xf numFmtId="166" fontId="11" fillId="0" borderId="17" xfId="0" applyNumberFormat="1" applyFont="1" applyBorder="1" applyAlignment="1">
      <alignment horizontal="center"/>
    </xf>
    <xf numFmtId="0" fontId="8" fillId="0" borderId="15" xfId="0" applyFont="1" applyBorder="1" applyAlignment="1">
      <alignment horizontal="center" wrapText="1"/>
    </xf>
    <xf numFmtId="0" fontId="0" fillId="0" borderId="12" xfId="0" applyBorder="1" applyAlignment="1">
      <alignment horizontal="center"/>
    </xf>
    <xf numFmtId="0" fontId="0" fillId="0" borderId="13" xfId="0" applyBorder="1" applyAlignment="1">
      <alignment horizontal="center"/>
    </xf>
    <xf numFmtId="166" fontId="11" fillId="0" borderId="9" xfId="0" applyNumberFormat="1" applyFont="1" applyBorder="1" applyAlignment="1">
      <alignment horizontal="center"/>
    </xf>
    <xf numFmtId="166" fontId="0" fillId="0" borderId="9" xfId="0" applyNumberFormat="1" applyBorder="1" applyAlignment="1">
      <alignment horizontal="center"/>
    </xf>
    <xf numFmtId="0" fontId="8" fillId="0" borderId="14" xfId="0" applyFont="1" applyBorder="1" applyAlignment="1">
      <alignment horizontal="center" vertical="center" wrapText="1"/>
    </xf>
    <xf numFmtId="10" fontId="0" fillId="0" borderId="0" xfId="0" applyNumberFormat="1"/>
    <xf numFmtId="3" fontId="0" fillId="0" borderId="0" xfId="0" applyNumberFormat="1" applyAlignment="1">
      <alignment horizontal="left" vertical="center"/>
    </xf>
    <xf numFmtId="168" fontId="0" fillId="0" borderId="0" xfId="0" applyNumberFormat="1" applyAlignment="1">
      <alignment horizontal="center" vertical="center"/>
    </xf>
    <xf numFmtId="3" fontId="0" fillId="0" borderId="0" xfId="0" applyNumberFormat="1" applyAlignment="1">
      <alignment horizontal="center" vertical="center"/>
    </xf>
    <xf numFmtId="171" fontId="0" fillId="0" borderId="0" xfId="0" applyNumberFormat="1" applyAlignment="1">
      <alignment horizontal="center"/>
    </xf>
    <xf numFmtId="0" fontId="0" fillId="0" borderId="14" xfId="0" applyBorder="1" applyAlignment="1">
      <alignment horizontal="left" vertical="center"/>
    </xf>
    <xf numFmtId="0" fontId="1" fillId="0" borderId="0" xfId="1" applyBorder="1" applyAlignment="1">
      <alignment horizontal="left" vertical="center" indent="1"/>
    </xf>
    <xf numFmtId="0" fontId="11" fillId="15" borderId="11" xfId="0" applyFont="1" applyFill="1" applyBorder="1" applyAlignment="1">
      <alignment horizontal="center" vertical="center"/>
    </xf>
    <xf numFmtId="167" fontId="0" fillId="0" borderId="0" xfId="0" applyNumberFormat="1" applyAlignment="1">
      <alignment horizontal="center"/>
    </xf>
    <xf numFmtId="0" fontId="8" fillId="0" borderId="14" xfId="0" applyFont="1" applyBorder="1" applyAlignment="1">
      <alignment wrapText="1"/>
    </xf>
    <xf numFmtId="172" fontId="0" fillId="0" borderId="0" xfId="0" applyNumberFormat="1" applyAlignment="1">
      <alignment horizontal="center"/>
    </xf>
    <xf numFmtId="0" fontId="11" fillId="0" borderId="14" xfId="0" applyFont="1" applyBorder="1" applyAlignment="1">
      <alignment vertical="center"/>
    </xf>
    <xf numFmtId="0" fontId="6" fillId="0" borderId="14" xfId="0" applyFont="1" applyBorder="1" applyAlignment="1">
      <alignment horizontal="left" vertical="center"/>
    </xf>
    <xf numFmtId="0" fontId="6" fillId="0" borderId="15" xfId="0" applyFont="1" applyBorder="1" applyAlignment="1">
      <alignment horizontal="left" vertical="center"/>
    </xf>
    <xf numFmtId="0" fontId="0" fillId="0" borderId="11" xfId="0" applyBorder="1" applyAlignment="1">
      <alignment horizontal="left" vertical="center"/>
    </xf>
    <xf numFmtId="0" fontId="0" fillId="0" borderId="14" xfId="0" applyBorder="1" applyAlignment="1">
      <alignment horizontal="left"/>
    </xf>
    <xf numFmtId="0" fontId="0" fillId="0" borderId="16" xfId="0" applyBorder="1" applyAlignment="1">
      <alignment horizontal="left"/>
    </xf>
    <xf numFmtId="2" fontId="0" fillId="0" borderId="13" xfId="0" applyNumberFormat="1" applyBorder="1" applyAlignment="1">
      <alignment horizontal="center"/>
    </xf>
    <xf numFmtId="2" fontId="0" fillId="0" borderId="17" xfId="0" applyNumberFormat="1" applyBorder="1" applyAlignment="1">
      <alignment horizontal="center"/>
    </xf>
    <xf numFmtId="0" fontId="8" fillId="0" borderId="0" xfId="0" applyFont="1" applyAlignment="1">
      <alignment horizontal="center" vertical="center"/>
    </xf>
    <xf numFmtId="170" fontId="0" fillId="0" borderId="0" xfId="0" applyNumberFormat="1"/>
    <xf numFmtId="0" fontId="0" fillId="0" borderId="11" xfId="0" applyBorder="1" applyAlignment="1">
      <alignment horizontal="center"/>
    </xf>
    <xf numFmtId="167" fontId="0" fillId="0" borderId="15" xfId="0" applyNumberFormat="1" applyBorder="1" applyAlignment="1">
      <alignment horizontal="center"/>
    </xf>
    <xf numFmtId="0" fontId="0" fillId="0" borderId="16" xfId="0" applyBorder="1" applyAlignment="1">
      <alignment horizontal="center"/>
    </xf>
    <xf numFmtId="167" fontId="0" fillId="5" borderId="0" xfId="0" applyNumberFormat="1" applyFill="1" applyAlignment="1">
      <alignment horizontal="center"/>
    </xf>
    <xf numFmtId="0" fontId="7" fillId="5" borderId="0" xfId="0" applyFont="1" applyFill="1" applyAlignment="1">
      <alignment horizontal="center" wrapText="1"/>
    </xf>
    <xf numFmtId="0" fontId="11" fillId="12" borderId="0" xfId="0" applyFont="1" applyFill="1" applyAlignment="1">
      <alignment horizontal="center" vertical="center"/>
    </xf>
    <xf numFmtId="167" fontId="0" fillId="12" borderId="0" xfId="0" applyNumberFormat="1" applyFill="1" applyAlignment="1">
      <alignment horizontal="center"/>
    </xf>
    <xf numFmtId="0" fontId="8" fillId="9" borderId="0" xfId="0" applyFont="1" applyFill="1" applyAlignment="1">
      <alignment horizontal="center" vertical="center" wrapText="1"/>
    </xf>
    <xf numFmtId="167" fontId="0" fillId="9" borderId="0" xfId="0" applyNumberFormat="1" applyFill="1" applyAlignment="1">
      <alignment horizontal="center"/>
    </xf>
    <xf numFmtId="0" fontId="0" fillId="0" borderId="0" xfId="0" applyAlignment="1">
      <alignment wrapText="1"/>
    </xf>
    <xf numFmtId="0" fontId="6" fillId="0" borderId="1" xfId="0" applyFont="1" applyBorder="1" applyAlignment="1">
      <alignment horizontal="center" vertical="top"/>
    </xf>
    <xf numFmtId="0" fontId="6" fillId="0" borderId="1" xfId="0" applyFont="1" applyBorder="1" applyAlignment="1">
      <alignment horizontal="left" vertical="top"/>
    </xf>
    <xf numFmtId="0" fontId="0" fillId="0" borderId="11" xfId="0" applyBorder="1"/>
    <xf numFmtId="10" fontId="0" fillId="0" borderId="0" xfId="0" applyNumberFormat="1" applyAlignment="1">
      <alignment horizontal="left"/>
    </xf>
    <xf numFmtId="0" fontId="0" fillId="6" borderId="0" xfId="0" applyFill="1" applyAlignment="1">
      <alignment horizontal="center"/>
    </xf>
    <xf numFmtId="0" fontId="0" fillId="6" borderId="0" xfId="0" applyFill="1" applyAlignment="1">
      <alignment horizontal="left"/>
    </xf>
    <xf numFmtId="0" fontId="6" fillId="0" borderId="0" xfId="0" applyFont="1" applyAlignment="1">
      <alignment horizontal="left" vertical="center"/>
    </xf>
    <xf numFmtId="173" fontId="0" fillId="0" borderId="0" xfId="0" applyNumberFormat="1" applyAlignment="1">
      <alignment horizontal="center"/>
    </xf>
    <xf numFmtId="164" fontId="0" fillId="3" borderId="15" xfId="0" applyNumberFormat="1" applyFill="1" applyBorder="1" applyAlignment="1">
      <alignment horizontal="center"/>
    </xf>
    <xf numFmtId="0" fontId="13" fillId="16" borderId="18" xfId="0" applyFont="1" applyFill="1" applyBorder="1"/>
    <xf numFmtId="0" fontId="13" fillId="16" borderId="19" xfId="0" applyFont="1" applyFill="1" applyBorder="1" applyAlignment="1">
      <alignment horizontal="center"/>
    </xf>
    <xf numFmtId="0" fontId="13" fillId="16" borderId="20" xfId="0" applyFont="1" applyFill="1" applyBorder="1" applyAlignment="1">
      <alignment horizontal="center"/>
    </xf>
    <xf numFmtId="166" fontId="0" fillId="7" borderId="19" xfId="0" applyNumberFormat="1" applyFill="1" applyBorder="1" applyAlignment="1">
      <alignment horizontal="center"/>
    </xf>
    <xf numFmtId="166" fontId="0" fillId="7" borderId="20" xfId="0" applyNumberFormat="1" applyFill="1" applyBorder="1" applyAlignment="1">
      <alignment horizontal="center"/>
    </xf>
    <xf numFmtId="1" fontId="0" fillId="0" borderId="0" xfId="0" applyNumberFormat="1" applyAlignment="1">
      <alignment horizontal="center" wrapText="1"/>
    </xf>
    <xf numFmtId="167" fontId="0" fillId="0" borderId="0" xfId="0" applyNumberFormat="1" applyAlignment="1">
      <alignment horizontal="left" vertical="center"/>
    </xf>
    <xf numFmtId="172" fontId="0" fillId="0" borderId="0" xfId="0" applyNumberFormat="1" applyAlignment="1">
      <alignment horizontal="left"/>
    </xf>
    <xf numFmtId="1" fontId="0" fillId="0" borderId="0" xfId="0" applyNumberFormat="1" applyAlignment="1">
      <alignment horizontal="left"/>
    </xf>
    <xf numFmtId="1" fontId="0" fillId="0" borderId="0" xfId="0" applyNumberFormat="1" applyAlignment="1">
      <alignment horizontal="center" vertical="center"/>
    </xf>
    <xf numFmtId="0" fontId="11" fillId="15" borderId="0" xfId="0" applyFont="1" applyFill="1" applyAlignment="1">
      <alignment horizontal="center" vertical="center" wrapText="1"/>
    </xf>
    <xf numFmtId="1" fontId="0" fillId="8" borderId="0" xfId="0" applyNumberFormat="1" applyFill="1" applyAlignment="1">
      <alignment horizontal="center"/>
    </xf>
    <xf numFmtId="1" fontId="0" fillId="8" borderId="0" xfId="0" applyNumberFormat="1" applyFill="1" applyAlignment="1">
      <alignment horizontal="center" vertical="center"/>
    </xf>
    <xf numFmtId="1" fontId="0" fillId="5" borderId="0" xfId="0" applyNumberFormat="1" applyFill="1" applyAlignment="1">
      <alignment horizontal="center" vertical="center"/>
    </xf>
    <xf numFmtId="1" fontId="0" fillId="18" borderId="0" xfId="0" applyNumberFormat="1" applyFill="1" applyAlignment="1">
      <alignment horizontal="center" vertical="center" wrapText="1"/>
    </xf>
    <xf numFmtId="1" fontId="0" fillId="0" borderId="0" xfId="0" applyNumberFormat="1"/>
    <xf numFmtId="9" fontId="0" fillId="0" borderId="0" xfId="0" applyNumberFormat="1" applyAlignment="1">
      <alignment horizontal="center" vertical="center"/>
    </xf>
    <xf numFmtId="0" fontId="11" fillId="0" borderId="0" xfId="0" applyFont="1" applyAlignment="1">
      <alignment vertical="center" wrapText="1"/>
    </xf>
    <xf numFmtId="166" fontId="0" fillId="8" borderId="0" xfId="0" applyNumberFormat="1" applyFill="1" applyAlignment="1">
      <alignment horizontal="center"/>
    </xf>
    <xf numFmtId="167" fontId="0" fillId="0" borderId="0" xfId="0" applyNumberFormat="1" applyAlignment="1">
      <alignment horizontal="center" vertical="center" wrapText="1"/>
    </xf>
    <xf numFmtId="1" fontId="0" fillId="8" borderId="0" xfId="0" applyNumberFormat="1" applyFill="1" applyAlignment="1">
      <alignment horizontal="left"/>
    </xf>
    <xf numFmtId="0" fontId="15" fillId="15" borderId="0" xfId="0" applyFont="1" applyFill="1" applyAlignment="1">
      <alignment horizontal="center" vertical="center" wrapText="1"/>
    </xf>
    <xf numFmtId="1" fontId="0" fillId="5" borderId="0" xfId="0" applyNumberFormat="1" applyFill="1" applyAlignment="1">
      <alignment horizontal="left" vertical="center"/>
    </xf>
    <xf numFmtId="1" fontId="0" fillId="5" borderId="0" xfId="0" applyNumberFormat="1" applyFill="1" applyAlignment="1">
      <alignment horizontal="center" vertical="center" wrapText="1"/>
    </xf>
    <xf numFmtId="166" fontId="0" fillId="5" borderId="0" xfId="0" applyNumberFormat="1" applyFill="1" applyAlignment="1">
      <alignment horizontal="center"/>
    </xf>
    <xf numFmtId="1" fontId="14" fillId="0" borderId="0" xfId="0" applyNumberFormat="1" applyFont="1" applyAlignment="1">
      <alignment horizontal="center"/>
    </xf>
    <xf numFmtId="0" fontId="14" fillId="0" borderId="0" xfId="0" applyFont="1"/>
    <xf numFmtId="9" fontId="14" fillId="0" borderId="0" xfId="0" applyNumberFormat="1" applyFont="1" applyAlignment="1">
      <alignment horizontal="center" wrapText="1"/>
    </xf>
    <xf numFmtId="1" fontId="0" fillId="0" borderId="0" xfId="0" applyNumberFormat="1" applyAlignment="1">
      <alignment horizontal="center" vertical="center" wrapText="1"/>
    </xf>
    <xf numFmtId="0" fontId="6" fillId="10" borderId="0" xfId="0" applyFont="1" applyFill="1" applyAlignment="1">
      <alignment horizontal="left" vertical="center"/>
    </xf>
    <xf numFmtId="166" fontId="0" fillId="5" borderId="0" xfId="0" applyNumberFormat="1" applyFill="1" applyAlignment="1">
      <alignment horizontal="center" vertical="center"/>
    </xf>
    <xf numFmtId="0" fontId="11" fillId="15" borderId="0" xfId="0" applyFont="1" applyFill="1"/>
    <xf numFmtId="168" fontId="0" fillId="0" borderId="0" xfId="0" applyNumberFormat="1" applyAlignment="1">
      <alignment horizontal="center"/>
    </xf>
    <xf numFmtId="9" fontId="0" fillId="0" borderId="0" xfId="0" applyNumberFormat="1"/>
    <xf numFmtId="0" fontId="12" fillId="0" borderId="0" xfId="0" applyFont="1" applyAlignment="1">
      <alignment horizontal="center" vertical="center" wrapText="1"/>
    </xf>
    <xf numFmtId="2" fontId="12" fillId="0" borderId="0" xfId="0" applyNumberFormat="1" applyFont="1" applyAlignment="1">
      <alignment horizontal="center" vertical="center" wrapText="1"/>
    </xf>
    <xf numFmtId="0" fontId="12" fillId="0" borderId="0" xfId="0" applyFont="1" applyAlignment="1">
      <alignment vertical="center" wrapText="1"/>
    </xf>
    <xf numFmtId="2" fontId="0" fillId="10" borderId="0" xfId="0" applyNumberFormat="1" applyFill="1" applyAlignment="1">
      <alignment horizontal="left" vertical="top" wrapText="1"/>
    </xf>
    <xf numFmtId="0" fontId="0" fillId="10" borderId="0" xfId="0" applyFill="1" applyAlignment="1">
      <alignment horizontal="center" vertical="center"/>
    </xf>
    <xf numFmtId="2" fontId="0" fillId="10" borderId="0" xfId="0" applyNumberFormat="1" applyFill="1" applyAlignment="1">
      <alignment horizontal="center" vertical="center" wrapText="1"/>
    </xf>
    <xf numFmtId="0" fontId="1" fillId="10" borderId="0" xfId="1" applyFill="1" applyBorder="1" applyAlignment="1">
      <alignment horizontal="left"/>
    </xf>
    <xf numFmtId="2" fontId="0" fillId="10" borderId="0" xfId="0" applyNumberFormat="1" applyFill="1" applyAlignment="1">
      <alignment horizontal="left" vertical="center" wrapText="1"/>
    </xf>
    <xf numFmtId="0" fontId="1" fillId="10" borderId="0" xfId="1" applyFill="1" applyBorder="1" applyAlignment="1">
      <alignment horizontal="left" vertical="center" wrapText="1"/>
    </xf>
    <xf numFmtId="171" fontId="0" fillId="10" borderId="0" xfId="0" applyNumberFormat="1" applyFill="1" applyAlignment="1">
      <alignment horizontal="left"/>
    </xf>
    <xf numFmtId="0" fontId="0" fillId="10" borderId="0" xfId="0" applyFill="1" applyAlignment="1">
      <alignment horizontal="left"/>
    </xf>
    <xf numFmtId="171" fontId="0" fillId="10" borderId="0" xfId="0" applyNumberFormat="1" applyFill="1" applyAlignment="1">
      <alignment horizontal="center"/>
    </xf>
    <xf numFmtId="2" fontId="0" fillId="10" borderId="0" xfId="0" applyNumberFormat="1" applyFill="1" applyAlignment="1">
      <alignment horizontal="center"/>
    </xf>
    <xf numFmtId="171" fontId="0" fillId="10" borderId="0" xfId="0" applyNumberFormat="1" applyFill="1" applyAlignment="1">
      <alignment horizontal="left" vertical="center"/>
    </xf>
    <xf numFmtId="171" fontId="0" fillId="10" borderId="0" xfId="0" applyNumberFormat="1" applyFill="1" applyAlignment="1">
      <alignment horizontal="center" vertical="center"/>
    </xf>
    <xf numFmtId="0" fontId="1" fillId="10" borderId="0" xfId="1" applyFill="1" applyBorder="1" applyAlignment="1">
      <alignment vertical="center" wrapText="1"/>
    </xf>
    <xf numFmtId="2" fontId="0" fillId="10" borderId="0" xfId="0" applyNumberFormat="1" applyFill="1" applyAlignment="1">
      <alignment horizontal="center" vertical="center"/>
    </xf>
    <xf numFmtId="0" fontId="1" fillId="10" borderId="0" xfId="1" applyFill="1" applyBorder="1"/>
    <xf numFmtId="166" fontId="0" fillId="10" borderId="0" xfId="0" applyNumberFormat="1" applyFill="1" applyAlignment="1">
      <alignment horizontal="center" vertical="center"/>
    </xf>
    <xf numFmtId="168" fontId="0" fillId="10" borderId="0" xfId="0" applyNumberFormat="1" applyFill="1" applyAlignment="1">
      <alignment horizontal="center" vertical="center"/>
    </xf>
    <xf numFmtId="166" fontId="0" fillId="10" borderId="0" xfId="0" applyNumberFormat="1" applyFill="1" applyAlignment="1">
      <alignment horizontal="center"/>
    </xf>
    <xf numFmtId="169" fontId="0" fillId="10" borderId="0" xfId="0" applyNumberFormat="1" applyFill="1"/>
    <xf numFmtId="166" fontId="0" fillId="10" borderId="0" xfId="0" applyNumberFormat="1" applyFill="1" applyAlignment="1">
      <alignment horizontal="left" vertical="center"/>
    </xf>
    <xf numFmtId="1" fontId="0" fillId="10" borderId="0" xfId="0" applyNumberFormat="1" applyFill="1" applyAlignment="1">
      <alignment horizontal="center" vertical="center"/>
    </xf>
    <xf numFmtId="9" fontId="0" fillId="10" borderId="0" xfId="0" applyNumberFormat="1" applyFill="1" applyAlignment="1">
      <alignment horizontal="left" vertical="center"/>
    </xf>
    <xf numFmtId="9" fontId="0" fillId="10" borderId="0" xfId="0" applyNumberFormat="1" applyFill="1" applyAlignment="1">
      <alignment horizontal="center" vertical="center"/>
    </xf>
    <xf numFmtId="0" fontId="1" fillId="10" borderId="0" xfId="1" applyFill="1" applyBorder="1" applyAlignment="1">
      <alignment horizontal="left" vertical="center" indent="1"/>
    </xf>
    <xf numFmtId="168" fontId="0" fillId="10" borderId="0" xfId="0" applyNumberFormat="1" applyFill="1" applyAlignment="1">
      <alignment horizontal="left" vertical="center"/>
    </xf>
    <xf numFmtId="167" fontId="0" fillId="10" borderId="0" xfId="0" applyNumberFormat="1" applyFill="1" applyAlignment="1">
      <alignment horizontal="center" vertical="center"/>
    </xf>
    <xf numFmtId="2" fontId="0" fillId="10" borderId="0" xfId="0" applyNumberFormat="1" applyFill="1" applyAlignment="1">
      <alignment horizontal="left" vertical="center"/>
    </xf>
    <xf numFmtId="0" fontId="1" fillId="10" borderId="0" xfId="1" applyFill="1" applyBorder="1" applyAlignment="1">
      <alignment horizontal="left" vertical="center" wrapText="1" indent="1"/>
    </xf>
    <xf numFmtId="0" fontId="0" fillId="10" borderId="0" xfId="0" applyFill="1" applyAlignment="1">
      <alignment horizontal="left" vertical="center"/>
    </xf>
    <xf numFmtId="167" fontId="0" fillId="10" borderId="0" xfId="0" applyNumberFormat="1" applyFill="1" applyAlignment="1">
      <alignment horizontal="left" vertical="center"/>
    </xf>
    <xf numFmtId="169" fontId="0" fillId="10" borderId="0" xfId="0" applyNumberFormat="1" applyFill="1" applyAlignment="1">
      <alignment horizontal="center" vertical="center"/>
    </xf>
    <xf numFmtId="170" fontId="0" fillId="10" borderId="0" xfId="0" applyNumberFormat="1" applyFill="1" applyAlignment="1">
      <alignment horizontal="center" vertical="center"/>
    </xf>
    <xf numFmtId="172" fontId="0" fillId="10" borderId="0" xfId="0" applyNumberFormat="1" applyFill="1" applyAlignment="1">
      <alignment horizontal="left"/>
    </xf>
    <xf numFmtId="172" fontId="0" fillId="10" borderId="0" xfId="0" applyNumberFormat="1" applyFill="1" applyAlignment="1">
      <alignment horizontal="center"/>
    </xf>
    <xf numFmtId="3" fontId="0" fillId="10" borderId="0" xfId="0" applyNumberFormat="1" applyFill="1" applyAlignment="1">
      <alignment horizontal="left"/>
    </xf>
    <xf numFmtId="3" fontId="0" fillId="10" borderId="0" xfId="0" applyNumberFormat="1" applyFill="1" applyAlignment="1">
      <alignment horizontal="center"/>
    </xf>
    <xf numFmtId="174" fontId="0" fillId="10" borderId="0" xfId="0" applyNumberFormat="1" applyFill="1" applyAlignment="1">
      <alignment horizontal="left"/>
    </xf>
    <xf numFmtId="174" fontId="0" fillId="10" borderId="0" xfId="0" applyNumberFormat="1" applyFill="1" applyAlignment="1">
      <alignment horizontal="center"/>
    </xf>
    <xf numFmtId="9" fontId="0" fillId="10" borderId="0" xfId="0" applyNumberFormat="1" applyFill="1" applyAlignment="1">
      <alignment horizontal="left"/>
    </xf>
    <xf numFmtId="9" fontId="0" fillId="10" borderId="0" xfId="0" applyNumberFormat="1" applyFill="1" applyAlignment="1">
      <alignment horizontal="center"/>
    </xf>
    <xf numFmtId="10" fontId="0" fillId="10" borderId="0" xfId="0" applyNumberFormat="1" applyFill="1" applyAlignment="1">
      <alignment horizontal="left"/>
    </xf>
    <xf numFmtId="10" fontId="0" fillId="10" borderId="0" xfId="0" applyNumberFormat="1" applyFill="1" applyAlignment="1">
      <alignment horizontal="center"/>
    </xf>
    <xf numFmtId="0" fontId="11" fillId="10" borderId="0" xfId="0" applyFont="1" applyFill="1" applyAlignment="1">
      <alignment horizontal="left"/>
    </xf>
    <xf numFmtId="0" fontId="11" fillId="10" borderId="0" xfId="0" applyFont="1" applyFill="1" applyAlignment="1">
      <alignment horizontal="center"/>
    </xf>
    <xf numFmtId="0" fontId="11" fillId="10" borderId="9" xfId="0" applyFont="1" applyFill="1" applyBorder="1" applyAlignment="1">
      <alignment horizontal="left"/>
    </xf>
    <xf numFmtId="0" fontId="11" fillId="10" borderId="9" xfId="0" applyFont="1" applyFill="1" applyBorder="1" applyAlignment="1">
      <alignment horizontal="center"/>
    </xf>
    <xf numFmtId="167" fontId="0" fillId="10" borderId="0" xfId="0" applyNumberFormat="1" applyFill="1" applyAlignment="1">
      <alignment horizontal="center"/>
    </xf>
    <xf numFmtId="0" fontId="12" fillId="0" borderId="0" xfId="0" applyFont="1" applyAlignment="1">
      <alignment horizontal="left" vertical="center" wrapText="1"/>
    </xf>
    <xf numFmtId="166" fontId="0" fillId="10" borderId="0" xfId="0" applyNumberFormat="1" applyFill="1" applyAlignment="1">
      <alignment horizontal="left"/>
    </xf>
    <xf numFmtId="2" fontId="0" fillId="0" borderId="0" xfId="0" applyNumberFormat="1" applyAlignment="1">
      <alignment horizontal="left"/>
    </xf>
    <xf numFmtId="164" fontId="0" fillId="0" borderId="16" xfId="0" applyNumberFormat="1" applyBorder="1" applyAlignment="1">
      <alignment horizontal="center"/>
    </xf>
    <xf numFmtId="164" fontId="0" fillId="0" borderId="22" xfId="0" applyNumberFormat="1" applyBorder="1" applyAlignment="1">
      <alignment horizontal="center"/>
    </xf>
    <xf numFmtId="164" fontId="0" fillId="0" borderId="23" xfId="0" applyNumberFormat="1" applyBorder="1" applyAlignment="1">
      <alignment horizontal="center"/>
    </xf>
    <xf numFmtId="0" fontId="6" fillId="3" borderId="21" xfId="0" applyFont="1" applyFill="1" applyBorder="1" applyAlignment="1">
      <alignment horizontal="left" vertical="center" wrapText="1"/>
    </xf>
    <xf numFmtId="0" fontId="0" fillId="0" borderId="22" xfId="0" applyBorder="1" applyAlignment="1">
      <alignment horizontal="center" vertical="center" wrapText="1"/>
    </xf>
    <xf numFmtId="165" fontId="0" fillId="0" borderId="9" xfId="0" applyNumberFormat="1" applyBorder="1"/>
    <xf numFmtId="165" fontId="0" fillId="0" borderId="17" xfId="0" applyNumberFormat="1" applyBorder="1"/>
    <xf numFmtId="175" fontId="0" fillId="0" borderId="0" xfId="0" applyNumberFormat="1" applyAlignment="1">
      <alignment horizontal="center"/>
    </xf>
    <xf numFmtId="0" fontId="0" fillId="15" borderId="0" xfId="0" applyFill="1" applyAlignment="1">
      <alignment horizontal="left" vertical="center" wrapText="1"/>
    </xf>
    <xf numFmtId="0" fontId="0" fillId="0" borderId="0" xfId="0" applyAlignment="1">
      <alignment horizontal="left" vertical="center" wrapText="1"/>
    </xf>
    <xf numFmtId="0" fontId="6" fillId="10" borderId="0" xfId="0" applyFont="1" applyFill="1" applyAlignment="1">
      <alignment horizontal="left"/>
    </xf>
    <xf numFmtId="0" fontId="0" fillId="7" borderId="0" xfId="0" applyFill="1" applyAlignment="1">
      <alignment horizontal="left" vertical="top" wrapText="1"/>
    </xf>
    <xf numFmtId="0" fontId="0" fillId="0" borderId="0" xfId="0" applyAlignment="1">
      <alignment horizontal="left" vertical="top" wrapText="1"/>
    </xf>
    <xf numFmtId="0" fontId="6" fillId="10" borderId="0" xfId="0" applyFont="1" applyFill="1" applyAlignment="1">
      <alignment horizontal="left" vertical="top" wrapText="1"/>
    </xf>
    <xf numFmtId="0" fontId="0" fillId="0" borderId="0" xfId="0" applyAlignment="1">
      <alignment horizontal="left" wrapText="1"/>
    </xf>
    <xf numFmtId="172" fontId="0" fillId="19" borderId="0" xfId="0" applyNumberFormat="1" applyFill="1" applyAlignment="1">
      <alignment horizontal="left"/>
    </xf>
    <xf numFmtId="0" fontId="0" fillId="19" borderId="0" xfId="0" applyFill="1" applyAlignment="1">
      <alignment horizontal="left"/>
    </xf>
    <xf numFmtId="0" fontId="0" fillId="19" borderId="0" xfId="0" applyFill="1" applyAlignment="1">
      <alignment horizontal="center"/>
    </xf>
    <xf numFmtId="172" fontId="0" fillId="19" borderId="0" xfId="0" applyNumberFormat="1" applyFill="1" applyAlignment="1">
      <alignment horizontal="center"/>
    </xf>
    <xf numFmtId="0" fontId="0" fillId="19" borderId="0" xfId="0" applyFill="1"/>
    <xf numFmtId="10" fontId="0" fillId="19" borderId="0" xfId="0" applyNumberFormat="1" applyFill="1" applyAlignment="1">
      <alignment horizontal="left"/>
    </xf>
    <xf numFmtId="10" fontId="0" fillId="19" borderId="0" xfId="0" applyNumberFormat="1" applyFill="1" applyAlignment="1">
      <alignment horizontal="center" vertical="center"/>
    </xf>
    <xf numFmtId="171" fontId="0" fillId="19" borderId="0" xfId="0" applyNumberFormat="1" applyFill="1" applyAlignment="1">
      <alignment horizontal="left" vertical="center"/>
    </xf>
    <xf numFmtId="171" fontId="0" fillId="19" borderId="0" xfId="0" applyNumberFormat="1" applyFill="1" applyAlignment="1">
      <alignment horizontal="center" vertical="center"/>
    </xf>
    <xf numFmtId="10" fontId="0" fillId="19" borderId="0" xfId="0" applyNumberFormat="1" applyFill="1" applyAlignment="1">
      <alignment horizontal="center"/>
    </xf>
    <xf numFmtId="171" fontId="0" fillId="0" borderId="0" xfId="0" applyNumberFormat="1" applyAlignment="1">
      <alignment horizontal="left" vertical="center"/>
    </xf>
    <xf numFmtId="166" fontId="0" fillId="19" borderId="0" xfId="0" applyNumberFormat="1" applyFill="1" applyAlignment="1">
      <alignment horizontal="center"/>
    </xf>
    <xf numFmtId="0" fontId="8" fillId="0" borderId="0" xfId="0" applyFont="1"/>
    <xf numFmtId="0" fontId="8" fillId="21" borderId="0" xfId="0" applyFont="1" applyFill="1"/>
    <xf numFmtId="0" fontId="12" fillId="21" borderId="0" xfId="0" applyFont="1" applyFill="1" applyAlignment="1">
      <alignment horizontal="center"/>
    </xf>
    <xf numFmtId="0" fontId="12" fillId="21" borderId="0" xfId="0" applyFont="1" applyFill="1"/>
    <xf numFmtId="0" fontId="12" fillId="14" borderId="0" xfId="0" applyFont="1" applyFill="1" applyAlignment="1">
      <alignment horizontal="center" vertical="center" wrapText="1"/>
    </xf>
    <xf numFmtId="166" fontId="8" fillId="0" borderId="0" xfId="0" applyNumberFormat="1" applyFont="1" applyAlignment="1">
      <alignment horizontal="center"/>
    </xf>
    <xf numFmtId="10" fontId="8" fillId="0" borderId="0" xfId="0" applyNumberFormat="1" applyFont="1" applyAlignment="1">
      <alignment horizontal="center"/>
    </xf>
    <xf numFmtId="176" fontId="8" fillId="0" borderId="0" xfId="0" applyNumberFormat="1" applyFont="1" applyAlignment="1">
      <alignment horizontal="center"/>
    </xf>
    <xf numFmtId="0" fontId="8" fillId="21" borderId="0" xfId="0" applyFont="1" applyFill="1" applyAlignment="1">
      <alignment horizontal="center"/>
    </xf>
    <xf numFmtId="0" fontId="8" fillId="0" borderId="0" xfId="0" applyFont="1" applyAlignment="1">
      <alignment horizontal="center"/>
    </xf>
    <xf numFmtId="171" fontId="8" fillId="0" borderId="0" xfId="0" applyNumberFormat="1" applyFont="1" applyAlignment="1">
      <alignment horizontal="center"/>
    </xf>
    <xf numFmtId="2" fontId="8" fillId="0" borderId="0" xfId="0" applyNumberFormat="1" applyFont="1" applyAlignment="1">
      <alignment horizontal="center"/>
    </xf>
    <xf numFmtId="166" fontId="8" fillId="0" borderId="0" xfId="0" applyNumberFormat="1" applyFont="1"/>
    <xf numFmtId="2" fontId="8" fillId="0" borderId="0" xfId="0" applyNumberFormat="1" applyFont="1"/>
    <xf numFmtId="0" fontId="8" fillId="11" borderId="0" xfId="0" applyFont="1" applyFill="1"/>
    <xf numFmtId="0" fontId="8" fillId="11" borderId="0" xfId="0" applyFont="1" applyFill="1" applyAlignment="1">
      <alignment horizontal="center"/>
    </xf>
    <xf numFmtId="0" fontId="12" fillId="11" borderId="0" xfId="0" applyFont="1" applyFill="1" applyAlignment="1">
      <alignment horizontal="center"/>
    </xf>
    <xf numFmtId="1" fontId="8" fillId="11" borderId="0" xfId="0" applyNumberFormat="1" applyFont="1" applyFill="1" applyAlignment="1">
      <alignment horizontal="center"/>
    </xf>
    <xf numFmtId="166" fontId="8" fillId="11" borderId="0" xfId="0" applyNumberFormat="1" applyFont="1" applyFill="1" applyAlignment="1">
      <alignment horizontal="center"/>
    </xf>
    <xf numFmtId="172" fontId="8" fillId="17" borderId="0" xfId="0" applyNumberFormat="1" applyFont="1" applyFill="1" applyAlignment="1">
      <alignment horizontal="center"/>
    </xf>
    <xf numFmtId="0" fontId="8" fillId="0" borderId="0" xfId="0" applyFont="1" applyAlignment="1">
      <alignment horizontal="left" vertical="center" wrapText="1"/>
    </xf>
    <xf numFmtId="0" fontId="9" fillId="0" borderId="0" xfId="0" applyFont="1" applyAlignment="1">
      <alignment horizontal="center" vertical="center" wrapText="1"/>
    </xf>
    <xf numFmtId="172" fontId="8" fillId="0" borderId="0" xfId="0" applyNumberFormat="1" applyFont="1" applyAlignment="1">
      <alignment horizontal="center"/>
    </xf>
    <xf numFmtId="0" fontId="12" fillId="0" borderId="0" xfId="0" applyFont="1" applyAlignment="1">
      <alignment horizontal="left"/>
    </xf>
    <xf numFmtId="0" fontId="12" fillId="0" borderId="0" xfId="0" applyFont="1"/>
    <xf numFmtId="0" fontId="12" fillId="0" borderId="0" xfId="0" applyFont="1" applyAlignment="1">
      <alignment horizontal="center"/>
    </xf>
    <xf numFmtId="2" fontId="8" fillId="21" borderId="0" xfId="0" applyNumberFormat="1" applyFont="1" applyFill="1" applyAlignment="1">
      <alignment horizontal="center"/>
    </xf>
    <xf numFmtId="172" fontId="8" fillId="21" borderId="0" xfId="0" applyNumberFormat="1" applyFont="1" applyFill="1" applyAlignment="1">
      <alignment horizontal="center"/>
    </xf>
    <xf numFmtId="2" fontId="8" fillId="17" borderId="0" xfId="0" applyNumberFormat="1" applyFont="1" applyFill="1"/>
    <xf numFmtId="167" fontId="0" fillId="18" borderId="0" xfId="0" applyNumberFormat="1" applyFill="1" applyAlignment="1">
      <alignment horizontal="center" vertical="center" wrapText="1"/>
    </xf>
    <xf numFmtId="167" fontId="8" fillId="0" borderId="0" xfId="0" applyNumberFormat="1" applyFont="1" applyAlignment="1">
      <alignment horizontal="center"/>
    </xf>
    <xf numFmtId="166" fontId="8" fillId="15" borderId="0" xfId="0" applyNumberFormat="1" applyFont="1" applyFill="1" applyAlignment="1">
      <alignment horizontal="center"/>
    </xf>
    <xf numFmtId="169" fontId="0" fillId="0" borderId="0" xfId="0" applyNumberFormat="1" applyAlignment="1">
      <alignment horizontal="center"/>
    </xf>
    <xf numFmtId="175" fontId="0" fillId="0" borderId="0" xfId="0" applyNumberFormat="1"/>
    <xf numFmtId="0" fontId="8" fillId="21" borderId="1" xfId="0" applyFont="1" applyFill="1" applyBorder="1"/>
    <xf numFmtId="0" fontId="8" fillId="21" borderId="1" xfId="0" applyFont="1" applyFill="1" applyBorder="1" applyAlignment="1">
      <alignment horizontal="center"/>
    </xf>
    <xf numFmtId="0" fontId="8" fillId="0" borderId="5" xfId="0" applyFont="1" applyBorder="1"/>
    <xf numFmtId="9" fontId="8" fillId="0" borderId="0" xfId="0" applyNumberFormat="1" applyFont="1" applyAlignment="1">
      <alignment horizontal="center"/>
    </xf>
    <xf numFmtId="9" fontId="8" fillId="15" borderId="15" xfId="0" applyNumberFormat="1" applyFont="1" applyFill="1" applyBorder="1" applyAlignment="1">
      <alignment horizontal="center"/>
    </xf>
    <xf numFmtId="0" fontId="8" fillId="0" borderId="6" xfId="0" applyFont="1" applyBorder="1"/>
    <xf numFmtId="9" fontId="8" fillId="0" borderId="7" xfId="0" applyNumberFormat="1" applyFont="1" applyBorder="1" applyAlignment="1">
      <alignment horizontal="center"/>
    </xf>
    <xf numFmtId="0" fontId="8" fillId="0" borderId="7" xfId="0" applyFont="1" applyBorder="1"/>
    <xf numFmtId="9" fontId="8" fillId="0" borderId="8" xfId="0" applyNumberFormat="1" applyFont="1" applyBorder="1" applyAlignment="1">
      <alignment horizontal="center"/>
    </xf>
    <xf numFmtId="0" fontId="8" fillId="0" borderId="14" xfId="0" applyFont="1" applyBorder="1"/>
    <xf numFmtId="0" fontId="8" fillId="0" borderId="16" xfId="0" applyFont="1" applyBorder="1"/>
    <xf numFmtId="10" fontId="8" fillId="0" borderId="9" xfId="0" applyNumberFormat="1" applyFont="1" applyBorder="1" applyAlignment="1">
      <alignment horizontal="center"/>
    </xf>
    <xf numFmtId="0" fontId="8" fillId="0" borderId="9" xfId="0" applyFont="1" applyBorder="1"/>
    <xf numFmtId="0" fontId="8" fillId="0" borderId="17" xfId="0" applyFont="1" applyBorder="1"/>
    <xf numFmtId="0" fontId="8" fillId="3" borderId="14" xfId="0" applyFont="1" applyFill="1" applyBorder="1" applyAlignment="1">
      <alignment horizontal="left"/>
    </xf>
    <xf numFmtId="0" fontId="8" fillId="3" borderId="0" xfId="0" applyFont="1" applyFill="1" applyAlignment="1">
      <alignment horizontal="center"/>
    </xf>
    <xf numFmtId="0" fontId="8" fillId="3" borderId="15" xfId="0" applyFont="1" applyFill="1" applyBorder="1" applyAlignment="1">
      <alignment horizontal="center"/>
    </xf>
    <xf numFmtId="10" fontId="8" fillId="0" borderId="14" xfId="0" applyNumberFormat="1" applyFont="1" applyBorder="1" applyAlignment="1">
      <alignment horizontal="center"/>
    </xf>
    <xf numFmtId="9" fontId="8" fillId="15" borderId="0" xfId="0" applyNumberFormat="1" applyFont="1" applyFill="1" applyAlignment="1">
      <alignment horizontal="center"/>
    </xf>
    <xf numFmtId="9" fontId="8" fillId="0" borderId="15" xfId="0" applyNumberFormat="1" applyFont="1" applyBorder="1" applyAlignment="1">
      <alignment horizontal="center"/>
    </xf>
    <xf numFmtId="0" fontId="8" fillId="0" borderId="9" xfId="0" applyFont="1" applyBorder="1" applyAlignment="1">
      <alignment horizontal="center"/>
    </xf>
    <xf numFmtId="0" fontId="8" fillId="15" borderId="15" xfId="0" applyFont="1" applyFill="1" applyBorder="1" applyAlignment="1">
      <alignment horizontal="center"/>
    </xf>
    <xf numFmtId="0" fontId="8" fillId="0" borderId="15" xfId="0" applyFont="1" applyBorder="1"/>
    <xf numFmtId="166" fontId="8" fillId="15" borderId="15" xfId="0" applyNumberFormat="1" applyFont="1" applyFill="1" applyBorder="1" applyAlignment="1">
      <alignment horizontal="center"/>
    </xf>
    <xf numFmtId="166" fontId="8" fillId="0" borderId="9" xfId="0" applyNumberFormat="1" applyFont="1" applyBorder="1" applyAlignment="1">
      <alignment horizontal="center"/>
    </xf>
    <xf numFmtId="0" fontId="8" fillId="0" borderId="14" xfId="0" applyFont="1" applyBorder="1" applyAlignment="1">
      <alignment horizontal="center"/>
    </xf>
    <xf numFmtId="0" fontId="8" fillId="15" borderId="0" xfId="0" applyFont="1" applyFill="1" applyAlignment="1">
      <alignment horizontal="center"/>
    </xf>
    <xf numFmtId="0" fontId="8" fillId="0" borderId="15" xfId="0" applyFont="1" applyBorder="1" applyAlignment="1">
      <alignment horizontal="center"/>
    </xf>
    <xf numFmtId="0" fontId="8" fillId="0" borderId="16" xfId="0" applyFont="1" applyBorder="1" applyAlignment="1">
      <alignment horizontal="center"/>
    </xf>
    <xf numFmtId="0" fontId="8" fillId="0" borderId="17" xfId="0" applyFont="1" applyBorder="1" applyAlignment="1">
      <alignment horizontal="center"/>
    </xf>
    <xf numFmtId="172" fontId="8" fillId="15" borderId="15" xfId="0" applyNumberFormat="1" applyFont="1" applyFill="1" applyBorder="1" applyAlignment="1">
      <alignment horizontal="center"/>
    </xf>
    <xf numFmtId="172" fontId="8" fillId="0" borderId="9" xfId="0" applyNumberFormat="1" applyFont="1" applyBorder="1" applyAlignment="1">
      <alignment horizontal="center"/>
    </xf>
    <xf numFmtId="172" fontId="8" fillId="0" borderId="17" xfId="0" applyNumberFormat="1" applyFont="1" applyBorder="1" applyAlignment="1">
      <alignment horizontal="center"/>
    </xf>
    <xf numFmtId="10" fontId="8" fillId="15" borderId="2" xfId="0" applyNumberFormat="1" applyFont="1" applyFill="1" applyBorder="1" applyAlignment="1">
      <alignment horizontal="center" vertical="center" wrapText="1"/>
    </xf>
    <xf numFmtId="166" fontId="8" fillId="11" borderId="0" xfId="0" applyNumberFormat="1" applyFont="1" applyFill="1"/>
    <xf numFmtId="0" fontId="8" fillId="22" borderId="0" xfId="0" applyFont="1" applyFill="1"/>
    <xf numFmtId="2" fontId="8" fillId="22" borderId="0" xfId="0" applyNumberFormat="1" applyFont="1" applyFill="1"/>
    <xf numFmtId="0" fontId="7" fillId="21" borderId="0" xfId="0" applyFont="1" applyFill="1" applyAlignment="1">
      <alignment vertical="center" wrapText="1"/>
    </xf>
    <xf numFmtId="0" fontId="16" fillId="21" borderId="0" xfId="0" applyFont="1" applyFill="1" applyAlignment="1">
      <alignment horizontal="center" vertical="center" wrapText="1"/>
    </xf>
    <xf numFmtId="0" fontId="16" fillId="21" borderId="1" xfId="0" applyFont="1" applyFill="1" applyBorder="1" applyAlignment="1">
      <alignment horizontal="center" vertical="center" wrapText="1"/>
    </xf>
    <xf numFmtId="0" fontId="16" fillId="11" borderId="0" xfId="0" applyFont="1" applyFill="1" applyAlignment="1">
      <alignment horizontal="center" vertical="center" wrapText="1"/>
    </xf>
    <xf numFmtId="0" fontId="7" fillId="11" borderId="0" xfId="0" applyFont="1" applyFill="1" applyAlignment="1">
      <alignment vertical="center" wrapText="1"/>
    </xf>
    <xf numFmtId="0" fontId="7" fillId="22" borderId="0" xfId="0" applyFont="1" applyFill="1" applyAlignment="1">
      <alignment vertical="center" wrapText="1"/>
    </xf>
    <xf numFmtId="1" fontId="8" fillId="0" borderId="0" xfId="0" applyNumberFormat="1" applyFont="1" applyAlignment="1">
      <alignment horizontal="center"/>
    </xf>
    <xf numFmtId="1" fontId="8" fillId="21" borderId="0" xfId="0" applyNumberFormat="1" applyFont="1" applyFill="1" applyAlignment="1">
      <alignment horizontal="center"/>
    </xf>
    <xf numFmtId="166" fontId="8" fillId="21" borderId="0" xfId="0" applyNumberFormat="1" applyFont="1" applyFill="1" applyAlignment="1">
      <alignment horizontal="center"/>
    </xf>
    <xf numFmtId="0" fontId="8" fillId="20" borderId="0" xfId="0" applyFont="1" applyFill="1"/>
    <xf numFmtId="0" fontId="8" fillId="20" borderId="0" xfId="0" applyFont="1" applyFill="1" applyAlignment="1">
      <alignment horizontal="center" vertical="center"/>
    </xf>
    <xf numFmtId="10" fontId="8" fillId="20" borderId="0" xfId="0" applyNumberFormat="1" applyFont="1" applyFill="1" applyAlignment="1">
      <alignment horizontal="center"/>
    </xf>
    <xf numFmtId="166" fontId="8" fillId="20" borderId="0" xfId="0" applyNumberFormat="1" applyFont="1" applyFill="1" applyAlignment="1">
      <alignment horizontal="center"/>
    </xf>
    <xf numFmtId="171" fontId="8" fillId="20" borderId="0" xfId="0" applyNumberFormat="1" applyFont="1" applyFill="1" applyAlignment="1">
      <alignment horizontal="center"/>
    </xf>
    <xf numFmtId="1" fontId="8" fillId="20" borderId="0" xfId="0" applyNumberFormat="1" applyFont="1" applyFill="1" applyAlignment="1">
      <alignment horizontal="center"/>
    </xf>
    <xf numFmtId="0" fontId="8" fillId="23" borderId="0" xfId="0" applyFont="1" applyFill="1" applyAlignment="1">
      <alignment horizontal="center"/>
    </xf>
    <xf numFmtId="0" fontId="3" fillId="21" borderId="0" xfId="0" applyFont="1" applyFill="1"/>
    <xf numFmtId="0" fontId="4" fillId="11" borderId="0" xfId="0" applyFont="1" applyFill="1" applyAlignment="1">
      <alignment horizontal="center"/>
    </xf>
    <xf numFmtId="0" fontId="4" fillId="21" borderId="0" xfId="0" applyFont="1" applyFill="1" applyAlignment="1">
      <alignment horizontal="center"/>
    </xf>
    <xf numFmtId="0" fontId="3" fillId="11" borderId="0" xfId="0" applyFont="1" applyFill="1"/>
    <xf numFmtId="0" fontId="4" fillId="21" borderId="0" xfId="0" applyFont="1" applyFill="1"/>
    <xf numFmtId="0" fontId="3" fillId="21" borderId="0" xfId="0" applyFont="1" applyFill="1" applyAlignment="1">
      <alignment horizontal="center"/>
    </xf>
    <xf numFmtId="0" fontId="3" fillId="22" borderId="0" xfId="0" applyFont="1" applyFill="1"/>
    <xf numFmtId="0" fontId="8" fillId="0" borderId="0" xfId="0" applyFont="1" applyAlignment="1">
      <alignment vertical="top"/>
    </xf>
    <xf numFmtId="0" fontId="8" fillId="0" borderId="0" xfId="0" applyFont="1" applyAlignment="1">
      <alignment horizontal="center" vertical="top"/>
    </xf>
    <xf numFmtId="0" fontId="0" fillId="0" borderId="0" xfId="0" applyAlignment="1">
      <alignment vertical="top"/>
    </xf>
    <xf numFmtId="0" fontId="8" fillId="15" borderId="0" xfId="0" applyFont="1" applyFill="1" applyAlignment="1">
      <alignment horizontal="center" vertical="top" wrapText="1"/>
    </xf>
    <xf numFmtId="0" fontId="8" fillId="0" borderId="14" xfId="0" applyFont="1" applyBorder="1" applyAlignment="1">
      <alignment horizontal="center" wrapText="1"/>
    </xf>
    <xf numFmtId="172" fontId="0" fillId="24" borderId="0" xfId="0" applyNumberFormat="1" applyFill="1" applyAlignment="1">
      <alignment horizontal="center"/>
    </xf>
    <xf numFmtId="172" fontId="0" fillId="0" borderId="9" xfId="0" applyNumberFormat="1" applyBorder="1" applyAlignment="1">
      <alignment horizontal="center"/>
    </xf>
    <xf numFmtId="164" fontId="8" fillId="0" borderId="0" xfId="0" applyNumberFormat="1" applyFont="1"/>
    <xf numFmtId="164" fontId="8" fillId="0" borderId="9" xfId="0" applyNumberFormat="1" applyFont="1" applyBorder="1"/>
    <xf numFmtId="0" fontId="12" fillId="0" borderId="0" xfId="0" applyFont="1" applyAlignment="1">
      <alignment horizontal="center" vertical="top" wrapText="1"/>
    </xf>
    <xf numFmtId="171" fontId="8" fillId="0" borderId="0" xfId="0" applyNumberFormat="1" applyFont="1" applyAlignment="1">
      <alignment horizontal="left" vertical="top"/>
    </xf>
    <xf numFmtId="167" fontId="8" fillId="0" borderId="0" xfId="0" applyNumberFormat="1" applyFont="1" applyAlignment="1">
      <alignment horizontal="left" vertical="top"/>
    </xf>
    <xf numFmtId="9" fontId="8" fillId="0" borderId="0" xfId="0" applyNumberFormat="1" applyFont="1" applyAlignment="1">
      <alignment horizontal="left" vertical="top"/>
    </xf>
    <xf numFmtId="0" fontId="8" fillId="0" borderId="0" xfId="0" applyFont="1" applyAlignment="1">
      <alignment horizontal="left" vertical="top"/>
    </xf>
    <xf numFmtId="2" fontId="8" fillId="0" borderId="0" xfId="0" applyNumberFormat="1" applyFont="1" applyAlignment="1">
      <alignment horizontal="left" vertical="top"/>
    </xf>
    <xf numFmtId="172" fontId="8" fillId="0" borderId="0" xfId="0" applyNumberFormat="1" applyFont="1" applyAlignment="1">
      <alignment horizontal="left" vertical="top"/>
    </xf>
    <xf numFmtId="0" fontId="8" fillId="15" borderId="11" xfId="0" applyFont="1" applyFill="1" applyBorder="1" applyAlignment="1">
      <alignment horizontal="center" vertical="top" wrapText="1"/>
    </xf>
    <xf numFmtId="0" fontId="8" fillId="0" borderId="12" xfId="0" applyFont="1" applyBorder="1" applyAlignment="1">
      <alignment horizontal="center" vertical="top" wrapText="1"/>
    </xf>
    <xf numFmtId="0" fontId="8" fillId="15" borderId="12" xfId="0" applyFont="1" applyFill="1" applyBorder="1" applyAlignment="1">
      <alignment horizontal="center" vertical="top" wrapText="1"/>
    </xf>
    <xf numFmtId="0" fontId="8" fillId="15" borderId="13" xfId="0" applyFont="1" applyFill="1" applyBorder="1" applyAlignment="1">
      <alignment horizontal="center" vertical="top" wrapText="1"/>
    </xf>
    <xf numFmtId="166" fontId="8" fillId="0" borderId="16" xfId="0" applyNumberFormat="1" applyFont="1" applyBorder="1" applyAlignment="1">
      <alignment horizontal="center"/>
    </xf>
    <xf numFmtId="167" fontId="8" fillId="0" borderId="9" xfId="0" applyNumberFormat="1" applyFont="1" applyBorder="1" applyAlignment="1">
      <alignment horizontal="center"/>
    </xf>
    <xf numFmtId="0" fontId="0" fillId="15" borderId="0" xfId="0" applyFill="1" applyAlignment="1">
      <alignment horizontal="center"/>
    </xf>
    <xf numFmtId="0" fontId="12" fillId="15" borderId="0" xfId="0" applyFont="1" applyFill="1" applyAlignment="1">
      <alignment horizontal="center" vertical="top" wrapText="1"/>
    </xf>
    <xf numFmtId="0" fontId="8" fillId="11" borderId="27" xfId="0" applyFont="1" applyFill="1" applyBorder="1" applyAlignment="1">
      <alignment horizontal="center"/>
    </xf>
    <xf numFmtId="0" fontId="12" fillId="11" borderId="27" xfId="0" applyFont="1" applyFill="1" applyBorder="1" applyAlignment="1">
      <alignment horizontal="center"/>
    </xf>
    <xf numFmtId="166" fontId="8" fillId="0" borderId="26" xfId="0" applyNumberFormat="1" applyFont="1" applyBorder="1" applyAlignment="1">
      <alignment horizontal="center"/>
    </xf>
    <xf numFmtId="0" fontId="12" fillId="25" borderId="0" xfId="0" applyFont="1" applyFill="1" applyAlignment="1">
      <alignment horizontal="center"/>
    </xf>
    <xf numFmtId="171" fontId="8" fillId="0" borderId="0" xfId="0" applyNumberFormat="1" applyFont="1" applyAlignment="1">
      <alignment horizontal="center" vertical="center"/>
    </xf>
    <xf numFmtId="177" fontId="8" fillId="0" borderId="0" xfId="0" applyNumberFormat="1" applyFont="1" applyAlignment="1">
      <alignment horizontal="center" vertical="center"/>
    </xf>
    <xf numFmtId="0" fontId="8" fillId="4" borderId="0" xfId="0" applyFont="1" applyFill="1" applyAlignment="1">
      <alignment horizontal="center"/>
    </xf>
    <xf numFmtId="0" fontId="8" fillId="4" borderId="0" xfId="0" applyFont="1" applyFill="1" applyAlignment="1">
      <alignment horizontal="left" vertical="top"/>
    </xf>
    <xf numFmtId="0" fontId="12" fillId="20" borderId="0" xfId="0" applyFont="1" applyFill="1" applyAlignment="1">
      <alignment horizontal="center" vertical="center" wrapText="1"/>
    </xf>
    <xf numFmtId="2" fontId="12" fillId="20" borderId="0" xfId="0" applyNumberFormat="1" applyFont="1" applyFill="1" applyAlignment="1">
      <alignment horizontal="center" vertical="center" wrapText="1"/>
    </xf>
    <xf numFmtId="0" fontId="0" fillId="20" borderId="0" xfId="0" applyFill="1" applyAlignment="1">
      <alignment horizontal="left"/>
    </xf>
    <xf numFmtId="0" fontId="0" fillId="20" borderId="0" xfId="0" applyFill="1"/>
    <xf numFmtId="172" fontId="8" fillId="0" borderId="0" xfId="0" applyNumberFormat="1" applyFont="1"/>
    <xf numFmtId="2" fontId="8" fillId="20" borderId="0" xfId="0" applyNumberFormat="1" applyFont="1" applyFill="1" applyAlignment="1">
      <alignment horizontal="center"/>
    </xf>
    <xf numFmtId="2" fontId="8" fillId="20" borderId="0" xfId="0" applyNumberFormat="1" applyFont="1" applyFill="1"/>
    <xf numFmtId="167" fontId="8" fillId="20" borderId="0" xfId="0" applyNumberFormat="1" applyFont="1" applyFill="1" applyAlignment="1">
      <alignment horizontal="center"/>
    </xf>
    <xf numFmtId="0" fontId="8" fillId="3" borderId="11" xfId="0" applyFont="1" applyFill="1" applyBorder="1" applyAlignment="1">
      <alignment horizontal="left"/>
    </xf>
    <xf numFmtId="0" fontId="8" fillId="3" borderId="12" xfId="0" applyFont="1" applyFill="1" applyBorder="1" applyAlignment="1">
      <alignment horizontal="left"/>
    </xf>
    <xf numFmtId="0" fontId="8" fillId="3" borderId="13" xfId="0" applyFont="1" applyFill="1" applyBorder="1" applyAlignment="1">
      <alignment horizontal="left"/>
    </xf>
    <xf numFmtId="0" fontId="8" fillId="3" borderId="2" xfId="0" applyFont="1" applyFill="1" applyBorder="1" applyAlignment="1">
      <alignment horizontal="center"/>
    </xf>
    <xf numFmtId="0" fontId="8" fillId="3" borderId="3" xfId="0" applyFont="1" applyFill="1" applyBorder="1" applyAlignment="1">
      <alignment horizontal="center"/>
    </xf>
    <xf numFmtId="0" fontId="8" fillId="3" borderId="4" xfId="0" applyFont="1" applyFill="1" applyBorder="1" applyAlignment="1">
      <alignment horizontal="center"/>
    </xf>
    <xf numFmtId="0" fontId="8" fillId="0" borderId="7" xfId="0" applyFont="1" applyBorder="1" applyAlignment="1">
      <alignment horizontal="center"/>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0" fontId="8" fillId="3" borderId="11" xfId="0" applyFont="1" applyFill="1" applyBorder="1" applyAlignment="1">
      <alignment horizontal="center"/>
    </xf>
    <xf numFmtId="0" fontId="8" fillId="3" borderId="12" xfId="0" applyFont="1" applyFill="1" applyBorder="1" applyAlignment="1">
      <alignment horizontal="center"/>
    </xf>
    <xf numFmtId="0" fontId="8" fillId="3" borderId="13" xfId="0" applyFont="1" applyFill="1" applyBorder="1" applyAlignment="1">
      <alignment horizontal="center"/>
    </xf>
    <xf numFmtId="0" fontId="8" fillId="0" borderId="14" xfId="0" applyFont="1" applyBorder="1" applyAlignment="1">
      <alignment horizontal="center"/>
    </xf>
    <xf numFmtId="0" fontId="8" fillId="0" borderId="0" xfId="0" applyFont="1" applyAlignment="1">
      <alignment horizontal="center"/>
    </xf>
    <xf numFmtId="0" fontId="8" fillId="0" borderId="16" xfId="0" applyFont="1" applyBorder="1" applyAlignment="1">
      <alignment horizontal="center"/>
    </xf>
    <xf numFmtId="0" fontId="8" fillId="0" borderId="9" xfId="0" applyFont="1" applyBorder="1" applyAlignment="1">
      <alignment horizontal="center"/>
    </xf>
    <xf numFmtId="172" fontId="11" fillId="0" borderId="16" xfId="0" applyNumberFormat="1" applyFont="1" applyBorder="1" applyAlignment="1">
      <alignment horizontal="center"/>
    </xf>
    <xf numFmtId="172" fontId="11" fillId="0" borderId="9" xfId="0" applyNumberFormat="1" applyFont="1" applyBorder="1" applyAlignment="1">
      <alignment horizontal="center"/>
    </xf>
    <xf numFmtId="172" fontId="11" fillId="0" borderId="14" xfId="0" applyNumberFormat="1" applyFont="1" applyBorder="1" applyAlignment="1">
      <alignment horizontal="center"/>
    </xf>
    <xf numFmtId="172" fontId="11" fillId="0" borderId="0" xfId="0" applyNumberFormat="1" applyFont="1" applyAlignment="1">
      <alignment horizontal="center"/>
    </xf>
    <xf numFmtId="172" fontId="0" fillId="0" borderId="14" xfId="0" applyNumberFormat="1" applyBorder="1" applyAlignment="1">
      <alignment horizontal="center"/>
    </xf>
    <xf numFmtId="172" fontId="0" fillId="0" borderId="0" xfId="0" applyNumberFormat="1" applyAlignment="1">
      <alignment horizontal="center"/>
    </xf>
    <xf numFmtId="0" fontId="1" fillId="10" borderId="9" xfId="1" applyFill="1" applyBorder="1" applyAlignment="1">
      <alignment horizontal="left" vertical="center" wrapText="1"/>
    </xf>
    <xf numFmtId="0" fontId="1" fillId="10" borderId="17" xfId="1" applyFill="1" applyBorder="1" applyAlignment="1">
      <alignment horizontal="left" vertical="center" wrapText="1"/>
    </xf>
    <xf numFmtId="0" fontId="12" fillId="11" borderId="27" xfId="0" applyFont="1" applyFill="1" applyBorder="1" applyAlignment="1">
      <alignment horizontal="center"/>
    </xf>
    <xf numFmtId="0" fontId="8" fillId="11" borderId="27" xfId="0" applyFont="1" applyFill="1" applyBorder="1" applyAlignment="1">
      <alignment horizontal="center"/>
    </xf>
    <xf numFmtId="0" fontId="1" fillId="0" borderId="9" xfId="1" applyBorder="1" applyAlignment="1">
      <alignment horizontal="center" vertical="center" wrapText="1"/>
    </xf>
    <xf numFmtId="0" fontId="1" fillId="0" borderId="17" xfId="1" applyBorder="1" applyAlignment="1">
      <alignment horizontal="center" vertical="center" wrapText="1"/>
    </xf>
    <xf numFmtId="0" fontId="0" fillId="0" borderId="0" xfId="0"/>
    <xf numFmtId="0" fontId="0" fillId="0" borderId="0" xfId="0" applyAlignment="1">
      <alignment horizontal="center"/>
    </xf>
    <xf numFmtId="0" fontId="6" fillId="3" borderId="11" xfId="0" applyFont="1" applyFill="1" applyBorder="1" applyAlignment="1">
      <alignment horizontal="center"/>
    </xf>
    <xf numFmtId="0" fontId="6" fillId="3" borderId="13" xfId="0" applyFont="1" applyFill="1" applyBorder="1" applyAlignment="1">
      <alignment horizontal="center"/>
    </xf>
    <xf numFmtId="0" fontId="6" fillId="3" borderId="12" xfId="0" applyFont="1" applyFill="1" applyBorder="1" applyAlignment="1">
      <alignment horizontal="center"/>
    </xf>
    <xf numFmtId="0" fontId="6" fillId="3" borderId="0" xfId="0" applyFont="1" applyFill="1" applyAlignment="1">
      <alignment horizontal="center"/>
    </xf>
    <xf numFmtId="0" fontId="12" fillId="15" borderId="0" xfId="0" applyFont="1" applyFill="1" applyAlignment="1">
      <alignment horizontal="left"/>
    </xf>
    <xf numFmtId="0" fontId="4" fillId="21" borderId="1" xfId="0" applyFont="1" applyFill="1" applyBorder="1" applyAlignment="1">
      <alignment horizontal="center"/>
    </xf>
    <xf numFmtId="0" fontId="12" fillId="17" borderId="0" xfId="0" applyFont="1" applyFill="1" applyAlignment="1">
      <alignment horizontal="left"/>
    </xf>
    <xf numFmtId="0" fontId="4" fillId="21" borderId="24" xfId="0" applyFont="1" applyFill="1" applyBorder="1" applyAlignment="1">
      <alignment horizontal="center"/>
    </xf>
    <xf numFmtId="0" fontId="4" fillId="21" borderId="25" xfId="0" applyFont="1" applyFill="1" applyBorder="1" applyAlignment="1">
      <alignment horizontal="center"/>
    </xf>
    <xf numFmtId="0" fontId="4" fillId="21" borderId="10" xfId="0" applyFont="1" applyFill="1" applyBorder="1" applyAlignment="1">
      <alignment horizontal="center"/>
    </xf>
    <xf numFmtId="0" fontId="12" fillId="0" borderId="0" xfId="0" applyFont="1" applyAlignment="1">
      <alignment horizontal="left"/>
    </xf>
    <xf numFmtId="0" fontId="4" fillId="13" borderId="0" xfId="0" applyFont="1" applyFill="1" applyAlignment="1">
      <alignment horizontal="center" vertical="center"/>
    </xf>
    <xf numFmtId="0" fontId="0" fillId="3" borderId="0" xfId="0" applyFill="1" applyAlignment="1">
      <alignment horizontal="center"/>
    </xf>
    <xf numFmtId="0" fontId="0" fillId="2" borderId="0" xfId="0" applyFill="1" applyAlignment="1">
      <alignment horizontal="center"/>
    </xf>
    <xf numFmtId="0" fontId="0" fillId="15" borderId="0" xfId="0" applyFill="1" applyAlignment="1">
      <alignment horizontal="center"/>
    </xf>
    <xf numFmtId="0" fontId="0" fillId="14" borderId="0" xfId="0" applyFill="1" applyAlignment="1">
      <alignment horizontal="center"/>
    </xf>
    <xf numFmtId="0" fontId="0" fillId="7" borderId="0" xfId="0" applyFill="1" applyAlignment="1">
      <alignment horizontal="center"/>
    </xf>
    <xf numFmtId="0" fontId="0" fillId="19" borderId="0" xfId="0" applyFill="1" applyAlignment="1">
      <alignment horizontal="center"/>
    </xf>
    <xf numFmtId="0" fontId="0" fillId="10" borderId="0" xfId="0" applyFill="1" applyAlignment="1">
      <alignment horizontal="center"/>
    </xf>
    <xf numFmtId="0" fontId="10" fillId="10" borderId="0" xfId="0" applyFont="1" applyFill="1" applyAlignment="1">
      <alignment horizontal="center"/>
    </xf>
    <xf numFmtId="0" fontId="0" fillId="11" borderId="0" xfId="0" applyFill="1" applyAlignment="1">
      <alignment horizontal="center"/>
    </xf>
    <xf numFmtId="0" fontId="9" fillId="8" borderId="0" xfId="0" applyFont="1" applyFill="1" applyAlignment="1">
      <alignment horizontal="center"/>
    </xf>
    <xf numFmtId="0" fontId="0" fillId="9" borderId="0" xfId="0" applyFill="1" applyAlignment="1">
      <alignment horizontal="center"/>
    </xf>
    <xf numFmtId="0" fontId="9" fillId="2" borderId="0" xfId="0" applyFont="1" applyFill="1" applyAlignment="1">
      <alignment horizontal="center"/>
    </xf>
    <xf numFmtId="0" fontId="9" fillId="9" borderId="0" xfId="0" applyFont="1" applyFill="1" applyAlignment="1">
      <alignment horizontal="center"/>
    </xf>
    <xf numFmtId="167" fontId="8"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cap="none" spc="50" normalizeH="0" baseline="0">
                <a:solidFill>
                  <a:schemeClr val="tx1">
                    <a:lumMod val="65000"/>
                    <a:lumOff val="35000"/>
                  </a:schemeClr>
                </a:solidFill>
                <a:latin typeface="+mj-lt"/>
                <a:ea typeface="+mj-ea"/>
                <a:cs typeface="+mj-cs"/>
              </a:defRPr>
            </a:pPr>
            <a:r>
              <a:rPr lang="en-GB" sz="900" baseline="0">
                <a:solidFill>
                  <a:srgbClr val="002060"/>
                </a:solidFill>
              </a:rPr>
              <a:t>cost-effectiveness scatter plot PGx-DAPT versus standard care</a:t>
            </a:r>
          </a:p>
        </c:rich>
      </c:tx>
      <c:layout>
        <c:manualLayout>
          <c:xMode val="edge"/>
          <c:yMode val="edge"/>
          <c:x val="0.19351568395226534"/>
          <c:y val="4.6808416535265802E-2"/>
        </c:manualLayout>
      </c:layout>
      <c:overlay val="0"/>
      <c:spPr>
        <a:noFill/>
        <a:ln>
          <a:noFill/>
        </a:ln>
        <a:effectLst/>
      </c:spPr>
      <c:txPr>
        <a:bodyPr rot="0" spcFirstLastPara="1" vertOverflow="ellipsis" vert="horz" wrap="square" anchor="ctr" anchorCtr="1"/>
        <a:lstStyle/>
        <a:p>
          <a:pPr>
            <a:defRPr sz="9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2233671543880102"/>
          <c:y val="0.14448592750971403"/>
          <c:w val="0.80083477164769612"/>
          <c:h val="0.7953621135290061"/>
        </c:manualLayout>
      </c:layout>
      <c:scatterChart>
        <c:scatterStyle val="lineMarker"/>
        <c:varyColors val="0"/>
        <c:ser>
          <c:idx val="0"/>
          <c:order val="0"/>
          <c:spPr>
            <a:ln w="25400" cap="rnd">
              <a:noFill/>
              <a:round/>
            </a:ln>
            <a:effectLst/>
          </c:spPr>
          <c:marker>
            <c:symbol val="circle"/>
            <c:size val="6"/>
            <c:spPr>
              <a:solidFill>
                <a:schemeClr val="lt1"/>
              </a:solidFill>
              <a:ln w="38100">
                <a:solidFill>
                  <a:schemeClr val="accent1">
                    <a:alpha val="60000"/>
                  </a:schemeClr>
                </a:solidFill>
              </a:ln>
              <a:effectLst/>
            </c:spPr>
          </c:marker>
          <c:xVal>
            <c:numRef>
              <c:f>simulation!$H$8:$H$1007</c:f>
              <c:numCache>
                <c:formatCode>0.000</c:formatCode>
                <c:ptCount val="1000"/>
                <c:pt idx="0">
                  <c:v>1.5049233490092462E-2</c:v>
                </c:pt>
                <c:pt idx="1">
                  <c:v>7.9562841063924417E-2</c:v>
                </c:pt>
                <c:pt idx="2">
                  <c:v>4.3906166189714213E-2</c:v>
                </c:pt>
                <c:pt idx="3">
                  <c:v>3.2685215535001255E-2</c:v>
                </c:pt>
                <c:pt idx="4">
                  <c:v>2.3505549530173475E-2</c:v>
                </c:pt>
                <c:pt idx="5">
                  <c:v>5.7302279339737971E-2</c:v>
                </c:pt>
                <c:pt idx="6">
                  <c:v>5.9627874422481852E-2</c:v>
                </c:pt>
                <c:pt idx="7">
                  <c:v>2.2791861687601056E-2</c:v>
                </c:pt>
                <c:pt idx="8">
                  <c:v>7.9063036026596478E-3</c:v>
                </c:pt>
                <c:pt idx="9">
                  <c:v>3.2559828691293369E-2</c:v>
                </c:pt>
                <c:pt idx="10">
                  <c:v>2.7213920294113514E-2</c:v>
                </c:pt>
                <c:pt idx="11">
                  <c:v>3.6459780683602894E-2</c:v>
                </c:pt>
                <c:pt idx="12">
                  <c:v>4.2033800175590663E-2</c:v>
                </c:pt>
                <c:pt idx="13">
                  <c:v>3.6655793444149154E-2</c:v>
                </c:pt>
                <c:pt idx="14">
                  <c:v>6.4541370537010145E-2</c:v>
                </c:pt>
                <c:pt idx="15">
                  <c:v>6.8428245852683034E-3</c:v>
                </c:pt>
                <c:pt idx="16">
                  <c:v>1.905426223542861E-2</c:v>
                </c:pt>
                <c:pt idx="17">
                  <c:v>6.1900286321934672E-2</c:v>
                </c:pt>
                <c:pt idx="18">
                  <c:v>4.2265142948975765E-2</c:v>
                </c:pt>
                <c:pt idx="19">
                  <c:v>6.3980430409532829E-2</c:v>
                </c:pt>
                <c:pt idx="20">
                  <c:v>3.0625185266750066E-2</c:v>
                </c:pt>
                <c:pt idx="21">
                  <c:v>4.9734933852644936E-2</c:v>
                </c:pt>
                <c:pt idx="22">
                  <c:v>1.8548379134880832E-2</c:v>
                </c:pt>
                <c:pt idx="23">
                  <c:v>4.8656999296400549E-2</c:v>
                </c:pt>
                <c:pt idx="24">
                  <c:v>4.6072746735511316E-2</c:v>
                </c:pt>
                <c:pt idx="25">
                  <c:v>5.9004620671101016E-2</c:v>
                </c:pt>
                <c:pt idx="26">
                  <c:v>3.320254838226333E-2</c:v>
                </c:pt>
                <c:pt idx="27">
                  <c:v>3.9428590448354228E-2</c:v>
                </c:pt>
                <c:pt idx="28">
                  <c:v>4.5045206263081283E-2</c:v>
                </c:pt>
                <c:pt idx="29">
                  <c:v>5.6715252461470023E-2</c:v>
                </c:pt>
                <c:pt idx="30">
                  <c:v>5.5567893368747789E-2</c:v>
                </c:pt>
                <c:pt idx="31">
                  <c:v>3.6852099496819335E-2</c:v>
                </c:pt>
                <c:pt idx="32">
                  <c:v>5.1554176633403337E-2</c:v>
                </c:pt>
                <c:pt idx="33">
                  <c:v>1.258080788243543E-2</c:v>
                </c:pt>
                <c:pt idx="34">
                  <c:v>3.9349113434060889E-2</c:v>
                </c:pt>
                <c:pt idx="35">
                  <c:v>6.4962420839242974E-2</c:v>
                </c:pt>
                <c:pt idx="36">
                  <c:v>4.416507732265984E-2</c:v>
                </c:pt>
                <c:pt idx="37">
                  <c:v>6.8604509476129394E-2</c:v>
                </c:pt>
                <c:pt idx="38">
                  <c:v>-3.1335265699459214E-3</c:v>
                </c:pt>
                <c:pt idx="39">
                  <c:v>-3.933861440696429E-2</c:v>
                </c:pt>
                <c:pt idx="40">
                  <c:v>4.0083447189760868E-2</c:v>
                </c:pt>
                <c:pt idx="41">
                  <c:v>2.4796900876110861E-2</c:v>
                </c:pt>
                <c:pt idx="42">
                  <c:v>3.6215018009048805E-2</c:v>
                </c:pt>
                <c:pt idx="43">
                  <c:v>5.0708273282721095E-2</c:v>
                </c:pt>
                <c:pt idx="44">
                  <c:v>4.9667935623672221E-2</c:v>
                </c:pt>
                <c:pt idx="45">
                  <c:v>3.814015175836083E-2</c:v>
                </c:pt>
                <c:pt idx="46">
                  <c:v>2.6450865334674667E-2</c:v>
                </c:pt>
                <c:pt idx="47">
                  <c:v>7.0323682007320087E-2</c:v>
                </c:pt>
                <c:pt idx="48">
                  <c:v>5.5381951240526028E-2</c:v>
                </c:pt>
                <c:pt idx="49">
                  <c:v>3.0282904448286629E-2</c:v>
                </c:pt>
                <c:pt idx="50">
                  <c:v>4.6663091469935303E-2</c:v>
                </c:pt>
                <c:pt idx="51">
                  <c:v>3.9028290135680876E-2</c:v>
                </c:pt>
                <c:pt idx="52">
                  <c:v>-5.1601496019175741E-3</c:v>
                </c:pt>
                <c:pt idx="53">
                  <c:v>9.4771118512457342E-2</c:v>
                </c:pt>
                <c:pt idx="54">
                  <c:v>4.2942300745966833E-2</c:v>
                </c:pt>
                <c:pt idx="55">
                  <c:v>4.3898956048865401E-2</c:v>
                </c:pt>
                <c:pt idx="56">
                  <c:v>4.0833989613152433E-2</c:v>
                </c:pt>
                <c:pt idx="57">
                  <c:v>3.2430903336882366E-2</c:v>
                </c:pt>
                <c:pt idx="58">
                  <c:v>-2.8629282360077113E-2</c:v>
                </c:pt>
                <c:pt idx="59">
                  <c:v>6.7362278600578307E-2</c:v>
                </c:pt>
                <c:pt idx="60">
                  <c:v>-5.7904573345384236E-3</c:v>
                </c:pt>
                <c:pt idx="61">
                  <c:v>3.2249496817796874E-2</c:v>
                </c:pt>
                <c:pt idx="62">
                  <c:v>7.2774938456394267E-2</c:v>
                </c:pt>
                <c:pt idx="63">
                  <c:v>5.0035596849685504E-2</c:v>
                </c:pt>
                <c:pt idx="64">
                  <c:v>2.756836265483642E-2</c:v>
                </c:pt>
                <c:pt idx="65">
                  <c:v>4.1137934184639846E-2</c:v>
                </c:pt>
                <c:pt idx="66">
                  <c:v>4.7981681945058696E-2</c:v>
                </c:pt>
                <c:pt idx="67">
                  <c:v>3.918674866288363E-2</c:v>
                </c:pt>
                <c:pt idx="68">
                  <c:v>2.234782928800616E-2</c:v>
                </c:pt>
                <c:pt idx="69">
                  <c:v>2.607142305918142E-2</c:v>
                </c:pt>
                <c:pt idx="70">
                  <c:v>5.962605996438608E-2</c:v>
                </c:pt>
                <c:pt idx="71">
                  <c:v>6.4953682334296658E-3</c:v>
                </c:pt>
                <c:pt idx="72">
                  <c:v>5.8931507408840567E-2</c:v>
                </c:pt>
                <c:pt idx="73">
                  <c:v>3.7940830881757037E-2</c:v>
                </c:pt>
                <c:pt idx="74">
                  <c:v>2.0143391344721984E-2</c:v>
                </c:pt>
                <c:pt idx="75">
                  <c:v>5.8331734826912118E-2</c:v>
                </c:pt>
                <c:pt idx="76">
                  <c:v>3.588979387062885E-2</c:v>
                </c:pt>
                <c:pt idx="77">
                  <c:v>3.3636444232704399E-2</c:v>
                </c:pt>
                <c:pt idx="78">
                  <c:v>4.6912960285643734E-2</c:v>
                </c:pt>
                <c:pt idx="79">
                  <c:v>6.8444924768156667E-2</c:v>
                </c:pt>
                <c:pt idx="80">
                  <c:v>3.9411302938740178E-2</c:v>
                </c:pt>
                <c:pt idx="81">
                  <c:v>3.0503096791091977E-2</c:v>
                </c:pt>
                <c:pt idx="82">
                  <c:v>7.4091164901747497E-2</c:v>
                </c:pt>
                <c:pt idx="83">
                  <c:v>-5.7139286970200764E-2</c:v>
                </c:pt>
                <c:pt idx="84">
                  <c:v>3.567919659971075E-2</c:v>
                </c:pt>
                <c:pt idx="85">
                  <c:v>1.3657263499525563E-2</c:v>
                </c:pt>
                <c:pt idx="86">
                  <c:v>3.5103092138177416E-2</c:v>
                </c:pt>
                <c:pt idx="87">
                  <c:v>3.2369956398859756E-2</c:v>
                </c:pt>
                <c:pt idx="88">
                  <c:v>2.567931418529934E-2</c:v>
                </c:pt>
                <c:pt idx="89">
                  <c:v>5.5588131768544713E-2</c:v>
                </c:pt>
                <c:pt idx="90">
                  <c:v>3.9262383063642048E-2</c:v>
                </c:pt>
                <c:pt idx="91">
                  <c:v>3.3804806500184803E-2</c:v>
                </c:pt>
                <c:pt idx="92">
                  <c:v>6.9302606981551662E-3</c:v>
                </c:pt>
                <c:pt idx="93">
                  <c:v>-2.3584261835474685E-2</c:v>
                </c:pt>
                <c:pt idx="94">
                  <c:v>2.2212794096971855E-2</c:v>
                </c:pt>
                <c:pt idx="95">
                  <c:v>5.5176943091733932E-2</c:v>
                </c:pt>
                <c:pt idx="96">
                  <c:v>2.6185919666287027E-2</c:v>
                </c:pt>
                <c:pt idx="97">
                  <c:v>-3.0106807303302396E-2</c:v>
                </c:pt>
                <c:pt idx="98">
                  <c:v>6.5596894728171762E-2</c:v>
                </c:pt>
                <c:pt idx="99">
                  <c:v>3.9312558769370121E-2</c:v>
                </c:pt>
                <c:pt idx="100">
                  <c:v>5.1258940875245074E-2</c:v>
                </c:pt>
                <c:pt idx="101">
                  <c:v>4.3113218637351736E-2</c:v>
                </c:pt>
                <c:pt idx="102">
                  <c:v>9.8740802369290392E-3</c:v>
                </c:pt>
                <c:pt idx="103">
                  <c:v>2.9761458992478396E-2</c:v>
                </c:pt>
                <c:pt idx="104">
                  <c:v>6.3926253727224491E-2</c:v>
                </c:pt>
                <c:pt idx="105">
                  <c:v>3.3266059052971642E-2</c:v>
                </c:pt>
                <c:pt idx="106">
                  <c:v>-5.2044392744985402E-3</c:v>
                </c:pt>
                <c:pt idx="107">
                  <c:v>4.7999447190313127E-2</c:v>
                </c:pt>
                <c:pt idx="108">
                  <c:v>3.2893952358577394E-2</c:v>
                </c:pt>
                <c:pt idx="109">
                  <c:v>3.0127937261304361E-2</c:v>
                </c:pt>
                <c:pt idx="110">
                  <c:v>3.9774394816476821E-2</c:v>
                </c:pt>
                <c:pt idx="111">
                  <c:v>5.1875218943306045E-2</c:v>
                </c:pt>
                <c:pt idx="112">
                  <c:v>3.1464174233960307E-2</c:v>
                </c:pt>
                <c:pt idx="113">
                  <c:v>4.0947637038008189E-2</c:v>
                </c:pt>
                <c:pt idx="114">
                  <c:v>3.5756681608380525E-2</c:v>
                </c:pt>
                <c:pt idx="115">
                  <c:v>3.2923592193384366E-2</c:v>
                </c:pt>
                <c:pt idx="116">
                  <c:v>4.3205623919897462E-2</c:v>
                </c:pt>
                <c:pt idx="117">
                  <c:v>8.5040382966967698E-3</c:v>
                </c:pt>
                <c:pt idx="118">
                  <c:v>1.6280781571585301E-2</c:v>
                </c:pt>
                <c:pt idx="119">
                  <c:v>4.4351035930988658E-2</c:v>
                </c:pt>
                <c:pt idx="120">
                  <c:v>2.3047590504719828E-2</c:v>
                </c:pt>
                <c:pt idx="121">
                  <c:v>2.9143170325665935E-2</c:v>
                </c:pt>
                <c:pt idx="122">
                  <c:v>7.6907616181687288E-2</c:v>
                </c:pt>
                <c:pt idx="123">
                  <c:v>5.2421713027043459E-2</c:v>
                </c:pt>
                <c:pt idx="124">
                  <c:v>3.7952320544438756E-2</c:v>
                </c:pt>
                <c:pt idx="125">
                  <c:v>2.4510109055882801E-2</c:v>
                </c:pt>
                <c:pt idx="126">
                  <c:v>3.8188137200082295E-2</c:v>
                </c:pt>
                <c:pt idx="127">
                  <c:v>5.8596607419220348E-2</c:v>
                </c:pt>
                <c:pt idx="128">
                  <c:v>3.2900448840172736E-2</c:v>
                </c:pt>
                <c:pt idx="129">
                  <c:v>2.3608860195985848E-2</c:v>
                </c:pt>
                <c:pt idx="130">
                  <c:v>1.2444625049882418E-2</c:v>
                </c:pt>
                <c:pt idx="131">
                  <c:v>3.0841555061295267E-2</c:v>
                </c:pt>
                <c:pt idx="132">
                  <c:v>4.5733216368870622E-2</c:v>
                </c:pt>
                <c:pt idx="133">
                  <c:v>4.1935373543847021E-2</c:v>
                </c:pt>
                <c:pt idx="134">
                  <c:v>3.3961060372700302E-2</c:v>
                </c:pt>
                <c:pt idx="135">
                  <c:v>2.0258460720830485E-2</c:v>
                </c:pt>
                <c:pt idx="136">
                  <c:v>3.3120930198983878E-2</c:v>
                </c:pt>
                <c:pt idx="137">
                  <c:v>2.5608089279410606E-2</c:v>
                </c:pt>
                <c:pt idx="138">
                  <c:v>2.7413839014210239E-2</c:v>
                </c:pt>
                <c:pt idx="139">
                  <c:v>1.331835936999326E-2</c:v>
                </c:pt>
                <c:pt idx="140">
                  <c:v>4.686790682123565E-2</c:v>
                </c:pt>
                <c:pt idx="141">
                  <c:v>3.6999528446663987E-3</c:v>
                </c:pt>
                <c:pt idx="142">
                  <c:v>1.5158418447899003E-2</c:v>
                </c:pt>
                <c:pt idx="143">
                  <c:v>-2.3081882682271626E-2</c:v>
                </c:pt>
                <c:pt idx="144">
                  <c:v>5.622410348385376E-2</c:v>
                </c:pt>
                <c:pt idx="145">
                  <c:v>4.8506927361330554E-2</c:v>
                </c:pt>
                <c:pt idx="146">
                  <c:v>-1.2001122925982877E-2</c:v>
                </c:pt>
                <c:pt idx="147">
                  <c:v>1.4769726024213448E-2</c:v>
                </c:pt>
                <c:pt idx="148">
                  <c:v>3.7722623398686927E-2</c:v>
                </c:pt>
                <c:pt idx="149">
                  <c:v>3.2044991486949392E-2</c:v>
                </c:pt>
                <c:pt idx="150">
                  <c:v>5.3086196828388665E-2</c:v>
                </c:pt>
                <c:pt idx="151">
                  <c:v>4.8326852436590073E-2</c:v>
                </c:pt>
                <c:pt idx="152">
                  <c:v>3.6028226179990241E-2</c:v>
                </c:pt>
                <c:pt idx="153">
                  <c:v>6.5350989319972186E-2</c:v>
                </c:pt>
                <c:pt idx="154">
                  <c:v>7.4484393727169973E-3</c:v>
                </c:pt>
                <c:pt idx="155">
                  <c:v>6.1611828900556276E-2</c:v>
                </c:pt>
                <c:pt idx="156">
                  <c:v>5.6839012702658565E-2</c:v>
                </c:pt>
                <c:pt idx="157">
                  <c:v>4.6628757636586471E-2</c:v>
                </c:pt>
                <c:pt idx="158">
                  <c:v>3.4663687154532496E-2</c:v>
                </c:pt>
                <c:pt idx="159">
                  <c:v>1.208984840422378E-2</c:v>
                </c:pt>
                <c:pt idx="160">
                  <c:v>4.4566339547960965E-2</c:v>
                </c:pt>
                <c:pt idx="161">
                  <c:v>3.0301920198477994E-2</c:v>
                </c:pt>
                <c:pt idx="162">
                  <c:v>2.8771866115580025E-3</c:v>
                </c:pt>
                <c:pt idx="163">
                  <c:v>-4.2412121491262056E-3</c:v>
                </c:pt>
                <c:pt idx="164">
                  <c:v>2.780204057107305E-2</c:v>
                </c:pt>
                <c:pt idx="165">
                  <c:v>6.3122477295145529E-3</c:v>
                </c:pt>
                <c:pt idx="166">
                  <c:v>6.567607103867168E-3</c:v>
                </c:pt>
                <c:pt idx="167">
                  <c:v>3.4852817806787506E-2</c:v>
                </c:pt>
                <c:pt idx="168">
                  <c:v>4.4463117234778693E-2</c:v>
                </c:pt>
                <c:pt idx="169">
                  <c:v>6.0054113290449074E-2</c:v>
                </c:pt>
                <c:pt idx="170">
                  <c:v>4.972348288974171E-2</c:v>
                </c:pt>
                <c:pt idx="171">
                  <c:v>3.7894462234770998E-2</c:v>
                </c:pt>
                <c:pt idx="172">
                  <c:v>3.2724802412507081E-2</c:v>
                </c:pt>
                <c:pt idx="173">
                  <c:v>2.0440350017505438E-3</c:v>
                </c:pt>
                <c:pt idx="174">
                  <c:v>3.3968928765596651E-2</c:v>
                </c:pt>
                <c:pt idx="175">
                  <c:v>5.2158931482888526E-2</c:v>
                </c:pt>
                <c:pt idx="176">
                  <c:v>5.1717334083345889E-2</c:v>
                </c:pt>
                <c:pt idx="177">
                  <c:v>8.8595493834890959E-3</c:v>
                </c:pt>
                <c:pt idx="178">
                  <c:v>4.9171966717028504E-2</c:v>
                </c:pt>
                <c:pt idx="179">
                  <c:v>6.9565115596162741E-2</c:v>
                </c:pt>
                <c:pt idx="180">
                  <c:v>4.1192514183173046E-2</c:v>
                </c:pt>
                <c:pt idx="181">
                  <c:v>3.2278195158782275E-2</c:v>
                </c:pt>
                <c:pt idx="182">
                  <c:v>7.2736874055554068E-2</c:v>
                </c:pt>
                <c:pt idx="183">
                  <c:v>7.2886028530226632E-2</c:v>
                </c:pt>
                <c:pt idx="184">
                  <c:v>5.4707100277181731E-2</c:v>
                </c:pt>
                <c:pt idx="185">
                  <c:v>3.2294369522888111E-2</c:v>
                </c:pt>
                <c:pt idx="186">
                  <c:v>2.2621784729289551E-2</c:v>
                </c:pt>
                <c:pt idx="187">
                  <c:v>-7.1089533186992071E-3</c:v>
                </c:pt>
                <c:pt idx="188">
                  <c:v>2.899809417356991E-2</c:v>
                </c:pt>
                <c:pt idx="189">
                  <c:v>6.9768299716949755E-2</c:v>
                </c:pt>
                <c:pt idx="190">
                  <c:v>1.614418774783033E-2</c:v>
                </c:pt>
                <c:pt idx="191">
                  <c:v>1.9064994192624418E-2</c:v>
                </c:pt>
                <c:pt idx="192">
                  <c:v>-1.3357829882236771E-3</c:v>
                </c:pt>
                <c:pt idx="193">
                  <c:v>5.7306933285010686E-2</c:v>
                </c:pt>
                <c:pt idx="194">
                  <c:v>5.0919438880018042E-2</c:v>
                </c:pt>
                <c:pt idx="195">
                  <c:v>3.7650937489614122E-2</c:v>
                </c:pt>
                <c:pt idx="196">
                  <c:v>7.8818651360993641E-2</c:v>
                </c:pt>
                <c:pt idx="197">
                  <c:v>5.7494278566585955E-2</c:v>
                </c:pt>
                <c:pt idx="198">
                  <c:v>1.5547562882778365E-2</c:v>
                </c:pt>
                <c:pt idx="199">
                  <c:v>7.37219870384207E-2</c:v>
                </c:pt>
                <c:pt idx="200">
                  <c:v>1.6943718246213102E-2</c:v>
                </c:pt>
                <c:pt idx="201">
                  <c:v>-9.6300488195097955E-3</c:v>
                </c:pt>
                <c:pt idx="202">
                  <c:v>5.3900482520718995E-2</c:v>
                </c:pt>
                <c:pt idx="203">
                  <c:v>3.0560555784784782E-2</c:v>
                </c:pt>
                <c:pt idx="204">
                  <c:v>4.1284610894344986E-2</c:v>
                </c:pt>
                <c:pt idx="205">
                  <c:v>4.8692579116225154E-2</c:v>
                </c:pt>
                <c:pt idx="206">
                  <c:v>2.6471973495045376E-2</c:v>
                </c:pt>
                <c:pt idx="207">
                  <c:v>-1.4897270136430052E-2</c:v>
                </c:pt>
                <c:pt idx="208">
                  <c:v>3.6796545265135983E-2</c:v>
                </c:pt>
                <c:pt idx="209">
                  <c:v>1.7344834103056428E-2</c:v>
                </c:pt>
                <c:pt idx="210">
                  <c:v>1.4321202670058319E-2</c:v>
                </c:pt>
                <c:pt idx="211">
                  <c:v>5.7644511830636347E-2</c:v>
                </c:pt>
                <c:pt idx="212">
                  <c:v>2.1468199288004364E-2</c:v>
                </c:pt>
                <c:pt idx="213">
                  <c:v>4.209947389227775E-2</c:v>
                </c:pt>
                <c:pt idx="214">
                  <c:v>4.6656970107364693E-2</c:v>
                </c:pt>
                <c:pt idx="215">
                  <c:v>3.3717227463202271E-2</c:v>
                </c:pt>
                <c:pt idx="216">
                  <c:v>5.1818679619714203E-2</c:v>
                </c:pt>
                <c:pt idx="217">
                  <c:v>4.164421000144447E-2</c:v>
                </c:pt>
                <c:pt idx="218">
                  <c:v>3.412584807519714E-3</c:v>
                </c:pt>
                <c:pt idx="219">
                  <c:v>5.5217974036980699E-2</c:v>
                </c:pt>
                <c:pt idx="220">
                  <c:v>3.0420438969073871E-2</c:v>
                </c:pt>
                <c:pt idx="221">
                  <c:v>3.3331053225637675E-2</c:v>
                </c:pt>
                <c:pt idx="222">
                  <c:v>4.7320726047298756E-2</c:v>
                </c:pt>
                <c:pt idx="223">
                  <c:v>7.3793445939171143E-2</c:v>
                </c:pt>
                <c:pt idx="224">
                  <c:v>5.1470319669558506E-2</c:v>
                </c:pt>
                <c:pt idx="225">
                  <c:v>1.607004972778725E-2</c:v>
                </c:pt>
                <c:pt idx="226">
                  <c:v>3.7342660691993323E-2</c:v>
                </c:pt>
                <c:pt idx="227">
                  <c:v>5.9779423009504562E-2</c:v>
                </c:pt>
                <c:pt idx="228">
                  <c:v>1.4749960605012546E-2</c:v>
                </c:pt>
                <c:pt idx="229">
                  <c:v>5.8781946661411233E-2</c:v>
                </c:pt>
                <c:pt idx="230">
                  <c:v>1.6668915872678269E-2</c:v>
                </c:pt>
                <c:pt idx="231">
                  <c:v>2.0230320603547902E-2</c:v>
                </c:pt>
                <c:pt idx="232">
                  <c:v>5.3760903408671901E-2</c:v>
                </c:pt>
                <c:pt idx="233">
                  <c:v>1.2351011523145772E-2</c:v>
                </c:pt>
                <c:pt idx="234">
                  <c:v>4.67121964603745E-3</c:v>
                </c:pt>
                <c:pt idx="235">
                  <c:v>2.5436265149654247E-2</c:v>
                </c:pt>
                <c:pt idx="236">
                  <c:v>6.3441806834728887E-2</c:v>
                </c:pt>
                <c:pt idx="237">
                  <c:v>6.9318406797640897E-2</c:v>
                </c:pt>
                <c:pt idx="238">
                  <c:v>1.2942805603286978E-2</c:v>
                </c:pt>
                <c:pt idx="239">
                  <c:v>4.7300586353377305E-2</c:v>
                </c:pt>
                <c:pt idx="240">
                  <c:v>5.5007901218726118E-2</c:v>
                </c:pt>
                <c:pt idx="241">
                  <c:v>4.9719191719452382E-2</c:v>
                </c:pt>
                <c:pt idx="242">
                  <c:v>3.7031869134176887E-2</c:v>
                </c:pt>
                <c:pt idx="243">
                  <c:v>4.5562114591870539E-3</c:v>
                </c:pt>
                <c:pt idx="244">
                  <c:v>6.1639537540242095E-2</c:v>
                </c:pt>
                <c:pt idx="245">
                  <c:v>4.4630099137936696E-2</c:v>
                </c:pt>
                <c:pt idx="246">
                  <c:v>2.2889884894145673E-2</c:v>
                </c:pt>
                <c:pt idx="247">
                  <c:v>-1.738626748665606E-2</c:v>
                </c:pt>
                <c:pt idx="248">
                  <c:v>6.0881165780712898E-2</c:v>
                </c:pt>
                <c:pt idx="249">
                  <c:v>3.7704534829725134E-2</c:v>
                </c:pt>
                <c:pt idx="250">
                  <c:v>3.710757060601555E-2</c:v>
                </c:pt>
                <c:pt idx="251">
                  <c:v>6.2258423179449629E-2</c:v>
                </c:pt>
                <c:pt idx="252">
                  <c:v>7.0035396312005282E-2</c:v>
                </c:pt>
                <c:pt idx="253">
                  <c:v>3.1854969555913826E-2</c:v>
                </c:pt>
                <c:pt idx="254">
                  <c:v>2.4152286448666516E-3</c:v>
                </c:pt>
                <c:pt idx="255">
                  <c:v>5.2996719869201847E-2</c:v>
                </c:pt>
                <c:pt idx="256">
                  <c:v>1.9840123972159063E-3</c:v>
                </c:pt>
                <c:pt idx="257">
                  <c:v>3.7077735645878462E-2</c:v>
                </c:pt>
                <c:pt idx="258">
                  <c:v>4.1599762261823159E-2</c:v>
                </c:pt>
                <c:pt idx="259">
                  <c:v>2.4574633641326393E-2</c:v>
                </c:pt>
                <c:pt idx="260">
                  <c:v>4.2603494496517236E-2</c:v>
                </c:pt>
                <c:pt idx="261">
                  <c:v>4.8149214301049348E-2</c:v>
                </c:pt>
                <c:pt idx="262">
                  <c:v>4.6777756156811456E-2</c:v>
                </c:pt>
                <c:pt idx="263">
                  <c:v>4.1194999101059615E-2</c:v>
                </c:pt>
                <c:pt idx="264">
                  <c:v>3.6182155802369387E-2</c:v>
                </c:pt>
                <c:pt idx="265">
                  <c:v>4.1888966604259892E-2</c:v>
                </c:pt>
                <c:pt idx="266">
                  <c:v>-2.6490265167510074E-2</c:v>
                </c:pt>
                <c:pt idx="267">
                  <c:v>3.4446566702476922E-2</c:v>
                </c:pt>
                <c:pt idx="268">
                  <c:v>7.7399289709735086E-2</c:v>
                </c:pt>
                <c:pt idx="269">
                  <c:v>1.0842393798872862E-2</c:v>
                </c:pt>
                <c:pt idx="270">
                  <c:v>3.5680966110522405E-2</c:v>
                </c:pt>
                <c:pt idx="271">
                  <c:v>5.0947451865726023E-2</c:v>
                </c:pt>
                <c:pt idx="272">
                  <c:v>1.0103157806358176E-2</c:v>
                </c:pt>
                <c:pt idx="273">
                  <c:v>-1.5118346549787276E-3</c:v>
                </c:pt>
                <c:pt idx="274">
                  <c:v>6.5181960829005625E-2</c:v>
                </c:pt>
                <c:pt idx="275">
                  <c:v>2.2591326429462377E-2</c:v>
                </c:pt>
                <c:pt idx="276">
                  <c:v>4.6303062759684543E-2</c:v>
                </c:pt>
                <c:pt idx="277">
                  <c:v>2.7534689577215055E-2</c:v>
                </c:pt>
                <c:pt idx="278">
                  <c:v>5.6408315874391768E-2</c:v>
                </c:pt>
                <c:pt idx="279">
                  <c:v>3.0322492436992476E-2</c:v>
                </c:pt>
                <c:pt idx="280">
                  <c:v>2.21384589799829E-2</c:v>
                </c:pt>
                <c:pt idx="281">
                  <c:v>2.247960368198676E-2</c:v>
                </c:pt>
                <c:pt idx="282">
                  <c:v>2.4117881454644774E-2</c:v>
                </c:pt>
                <c:pt idx="283">
                  <c:v>4.1532040197641784E-2</c:v>
                </c:pt>
                <c:pt idx="284">
                  <c:v>3.6132841152952899E-2</c:v>
                </c:pt>
                <c:pt idx="285">
                  <c:v>4.7641577189950546E-2</c:v>
                </c:pt>
                <c:pt idx="286">
                  <c:v>1.0151429303655313E-2</c:v>
                </c:pt>
                <c:pt idx="287">
                  <c:v>4.3028945916975481E-2</c:v>
                </c:pt>
                <c:pt idx="288">
                  <c:v>4.9231743571167108E-2</c:v>
                </c:pt>
                <c:pt idx="289">
                  <c:v>5.7920816403226105E-2</c:v>
                </c:pt>
                <c:pt idx="290">
                  <c:v>2.6812023949043251E-2</c:v>
                </c:pt>
                <c:pt idx="291">
                  <c:v>4.674444568440439E-2</c:v>
                </c:pt>
                <c:pt idx="292">
                  <c:v>1.4587345110039784E-2</c:v>
                </c:pt>
                <c:pt idx="293">
                  <c:v>7.4822285102076336E-3</c:v>
                </c:pt>
                <c:pt idx="294">
                  <c:v>1.2303991071652476E-2</c:v>
                </c:pt>
                <c:pt idx="295">
                  <c:v>5.5154668121332406E-2</c:v>
                </c:pt>
                <c:pt idx="296">
                  <c:v>2.1382454951611507E-2</c:v>
                </c:pt>
                <c:pt idx="297">
                  <c:v>-7.7280804252870539E-3</c:v>
                </c:pt>
                <c:pt idx="298">
                  <c:v>4.1564397504103567E-2</c:v>
                </c:pt>
                <c:pt idx="299">
                  <c:v>5.021242575096263E-2</c:v>
                </c:pt>
                <c:pt idx="300">
                  <c:v>2.1865789935421986E-2</c:v>
                </c:pt>
                <c:pt idx="301">
                  <c:v>6.4129070315231296E-2</c:v>
                </c:pt>
                <c:pt idx="302">
                  <c:v>3.68665676568245E-2</c:v>
                </c:pt>
                <c:pt idx="303">
                  <c:v>4.9351478254271441E-2</c:v>
                </c:pt>
                <c:pt idx="304">
                  <c:v>4.5591701442897481E-2</c:v>
                </c:pt>
                <c:pt idx="305">
                  <c:v>2.097589355696261E-2</c:v>
                </c:pt>
                <c:pt idx="306">
                  <c:v>3.0987587481846823E-2</c:v>
                </c:pt>
                <c:pt idx="307">
                  <c:v>3.5629179214067719E-2</c:v>
                </c:pt>
                <c:pt idx="308">
                  <c:v>4.8418647291365247E-2</c:v>
                </c:pt>
                <c:pt idx="309">
                  <c:v>2.8390094068013738E-2</c:v>
                </c:pt>
                <c:pt idx="310">
                  <c:v>1.6042799697826737E-2</c:v>
                </c:pt>
                <c:pt idx="311">
                  <c:v>5.0922661976673389E-2</c:v>
                </c:pt>
                <c:pt idx="312">
                  <c:v>4.3677802654793041E-2</c:v>
                </c:pt>
                <c:pt idx="313">
                  <c:v>2.5875572124175683E-2</c:v>
                </c:pt>
                <c:pt idx="314">
                  <c:v>4.3197958431674621E-2</c:v>
                </c:pt>
                <c:pt idx="315">
                  <c:v>6.2587368926838138E-2</c:v>
                </c:pt>
                <c:pt idx="316">
                  <c:v>-4.326731075675383E-3</c:v>
                </c:pt>
                <c:pt idx="317">
                  <c:v>4.1800450438064907E-2</c:v>
                </c:pt>
                <c:pt idx="318">
                  <c:v>-1.2161657052995878E-2</c:v>
                </c:pt>
                <c:pt idx="319">
                  <c:v>5.529009732899226E-2</c:v>
                </c:pt>
                <c:pt idx="320">
                  <c:v>4.0918665602167614E-2</c:v>
                </c:pt>
                <c:pt idx="321">
                  <c:v>5.2303585472130543E-2</c:v>
                </c:pt>
                <c:pt idx="322">
                  <c:v>2.8983661106349423E-2</c:v>
                </c:pt>
                <c:pt idx="323">
                  <c:v>4.24639202428434E-2</c:v>
                </c:pt>
                <c:pt idx="324">
                  <c:v>3.9504769163082543E-2</c:v>
                </c:pt>
                <c:pt idx="325">
                  <c:v>5.1581801875938638E-2</c:v>
                </c:pt>
                <c:pt idx="326">
                  <c:v>-8.7550751310709884E-3</c:v>
                </c:pt>
                <c:pt idx="327">
                  <c:v>6.6921889353834807E-2</c:v>
                </c:pt>
                <c:pt idx="328">
                  <c:v>1.8354658089197784E-2</c:v>
                </c:pt>
                <c:pt idx="329">
                  <c:v>5.1157058780966658E-2</c:v>
                </c:pt>
                <c:pt idx="330">
                  <c:v>4.6682265354254682E-2</c:v>
                </c:pt>
                <c:pt idx="331">
                  <c:v>3.1775256517427408E-2</c:v>
                </c:pt>
                <c:pt idx="332">
                  <c:v>2.2319933215342758E-2</c:v>
                </c:pt>
                <c:pt idx="333">
                  <c:v>6.1127630993307314E-2</c:v>
                </c:pt>
                <c:pt idx="334">
                  <c:v>3.0032919394295199E-2</c:v>
                </c:pt>
                <c:pt idx="335">
                  <c:v>2.6884140511493015E-2</c:v>
                </c:pt>
                <c:pt idx="336">
                  <c:v>5.6420210669351434E-2</c:v>
                </c:pt>
                <c:pt idx="337">
                  <c:v>8.4810627509153136E-3</c:v>
                </c:pt>
                <c:pt idx="338">
                  <c:v>6.7865793604548585E-2</c:v>
                </c:pt>
                <c:pt idx="339">
                  <c:v>1.7714641828858291E-2</c:v>
                </c:pt>
                <c:pt idx="340">
                  <c:v>3.0801735091142923E-2</c:v>
                </c:pt>
                <c:pt idx="341">
                  <c:v>7.0334590196702074E-2</c:v>
                </c:pt>
                <c:pt idx="342">
                  <c:v>9.2255113250434562E-3</c:v>
                </c:pt>
                <c:pt idx="343">
                  <c:v>6.1931215797654815E-2</c:v>
                </c:pt>
                <c:pt idx="344">
                  <c:v>4.3728558926455996E-2</c:v>
                </c:pt>
                <c:pt idx="345">
                  <c:v>4.7858648295795447E-2</c:v>
                </c:pt>
                <c:pt idx="346">
                  <c:v>9.4591880576082588E-3</c:v>
                </c:pt>
                <c:pt idx="347">
                  <c:v>4.4390668084674623E-2</c:v>
                </c:pt>
                <c:pt idx="348">
                  <c:v>3.0974215093574564E-2</c:v>
                </c:pt>
                <c:pt idx="349">
                  <c:v>4.6034366559183582E-2</c:v>
                </c:pt>
                <c:pt idx="350">
                  <c:v>6.5572390202755848E-2</c:v>
                </c:pt>
                <c:pt idx="351">
                  <c:v>4.2041996354849509E-2</c:v>
                </c:pt>
                <c:pt idx="352">
                  <c:v>1.244734846882789E-2</c:v>
                </c:pt>
                <c:pt idx="353">
                  <c:v>4.7810635916001765E-2</c:v>
                </c:pt>
                <c:pt idx="354">
                  <c:v>2.0824853347449768E-2</c:v>
                </c:pt>
                <c:pt idx="355">
                  <c:v>2.9310403590572243E-2</c:v>
                </c:pt>
                <c:pt idx="356">
                  <c:v>3.1360857932717146E-2</c:v>
                </c:pt>
                <c:pt idx="357">
                  <c:v>3.862216886310943E-2</c:v>
                </c:pt>
                <c:pt idx="358">
                  <c:v>1.1287555998951149E-4</c:v>
                </c:pt>
                <c:pt idx="359">
                  <c:v>6.2409248208687984E-2</c:v>
                </c:pt>
                <c:pt idx="360">
                  <c:v>-3.0071174451166804E-2</c:v>
                </c:pt>
                <c:pt idx="361">
                  <c:v>4.3480433951113007E-2</c:v>
                </c:pt>
                <c:pt idx="362">
                  <c:v>5.0859654055376069E-2</c:v>
                </c:pt>
                <c:pt idx="363">
                  <c:v>3.8643856471454185E-2</c:v>
                </c:pt>
                <c:pt idx="364">
                  <c:v>2.7793474251619266E-2</c:v>
                </c:pt>
                <c:pt idx="365">
                  <c:v>5.0860389128147609E-2</c:v>
                </c:pt>
                <c:pt idx="366">
                  <c:v>6.8303583498678933E-2</c:v>
                </c:pt>
                <c:pt idx="367">
                  <c:v>7.751845219425757E-2</c:v>
                </c:pt>
                <c:pt idx="368">
                  <c:v>2.4755037932064461E-2</c:v>
                </c:pt>
                <c:pt idx="369">
                  <c:v>3.4757362068192243E-2</c:v>
                </c:pt>
                <c:pt idx="370">
                  <c:v>4.5026784331599679E-2</c:v>
                </c:pt>
                <c:pt idx="371">
                  <c:v>4.8759889646183829E-2</c:v>
                </c:pt>
                <c:pt idx="372">
                  <c:v>4.0227156404148978E-2</c:v>
                </c:pt>
                <c:pt idx="373">
                  <c:v>-5.6424254167168897E-3</c:v>
                </c:pt>
                <c:pt idx="374">
                  <c:v>5.5030914692030919E-2</c:v>
                </c:pt>
                <c:pt idx="375">
                  <c:v>2.8623923416530417E-2</c:v>
                </c:pt>
                <c:pt idx="376">
                  <c:v>1.0064211099645171E-2</c:v>
                </c:pt>
                <c:pt idx="377">
                  <c:v>7.727438076490234E-2</c:v>
                </c:pt>
                <c:pt idx="378">
                  <c:v>5.2654610369849308E-2</c:v>
                </c:pt>
                <c:pt idx="379">
                  <c:v>2.5241307013626368E-2</c:v>
                </c:pt>
                <c:pt idx="380">
                  <c:v>4.8842627991690257E-2</c:v>
                </c:pt>
                <c:pt idx="381">
                  <c:v>1.7187118066549267E-2</c:v>
                </c:pt>
                <c:pt idx="382">
                  <c:v>2.5266105032293318E-2</c:v>
                </c:pt>
                <c:pt idx="383">
                  <c:v>6.4087921929218084E-2</c:v>
                </c:pt>
                <c:pt idx="384">
                  <c:v>3.2495642051993734E-2</c:v>
                </c:pt>
                <c:pt idx="385">
                  <c:v>5.9735725162071596E-2</c:v>
                </c:pt>
                <c:pt idx="386">
                  <c:v>6.2120313451384135E-2</c:v>
                </c:pt>
                <c:pt idx="387">
                  <c:v>2.5757436025836355E-2</c:v>
                </c:pt>
                <c:pt idx="388">
                  <c:v>5.7802255432852334E-2</c:v>
                </c:pt>
                <c:pt idx="389">
                  <c:v>3.5527464925377394E-2</c:v>
                </c:pt>
                <c:pt idx="390">
                  <c:v>3.6172259293567599E-2</c:v>
                </c:pt>
                <c:pt idx="391">
                  <c:v>2.3039509399711555E-2</c:v>
                </c:pt>
                <c:pt idx="392">
                  <c:v>5.5178594066093822E-2</c:v>
                </c:pt>
                <c:pt idx="393">
                  <c:v>3.5856337033548513E-3</c:v>
                </c:pt>
                <c:pt idx="394">
                  <c:v>3.1423315994677736E-2</c:v>
                </c:pt>
                <c:pt idx="395">
                  <c:v>3.6874907577289839E-2</c:v>
                </c:pt>
                <c:pt idx="396">
                  <c:v>2.362323248379905E-2</c:v>
                </c:pt>
                <c:pt idx="397">
                  <c:v>3.9058639054671218E-2</c:v>
                </c:pt>
                <c:pt idx="398">
                  <c:v>1.6008743012959847E-2</c:v>
                </c:pt>
                <c:pt idx="399">
                  <c:v>8.2162139349932772E-3</c:v>
                </c:pt>
                <c:pt idx="400">
                  <c:v>3.6445721002892562E-2</c:v>
                </c:pt>
                <c:pt idx="401">
                  <c:v>6.7621871421641444E-2</c:v>
                </c:pt>
                <c:pt idx="402">
                  <c:v>4.3537545822284862E-2</c:v>
                </c:pt>
                <c:pt idx="403">
                  <c:v>3.7692824228486188E-2</c:v>
                </c:pt>
                <c:pt idx="404">
                  <c:v>5.4896255773439151E-2</c:v>
                </c:pt>
                <c:pt idx="405">
                  <c:v>3.689082909233754E-2</c:v>
                </c:pt>
                <c:pt idx="406">
                  <c:v>5.6075148453447632E-2</c:v>
                </c:pt>
                <c:pt idx="407">
                  <c:v>3.2749177790743822E-2</c:v>
                </c:pt>
                <c:pt idx="408">
                  <c:v>1.0427662485275491E-2</c:v>
                </c:pt>
                <c:pt idx="409">
                  <c:v>4.3109513292995061E-2</c:v>
                </c:pt>
                <c:pt idx="410">
                  <c:v>-4.5590857656119255E-3</c:v>
                </c:pt>
                <c:pt idx="411">
                  <c:v>6.3912774055439492E-2</c:v>
                </c:pt>
                <c:pt idx="412">
                  <c:v>3.5107049261386081E-2</c:v>
                </c:pt>
                <c:pt idx="413">
                  <c:v>3.1701483588573609E-2</c:v>
                </c:pt>
                <c:pt idx="414">
                  <c:v>2.3615467934190448E-2</c:v>
                </c:pt>
                <c:pt idx="415">
                  <c:v>6.195973160632029E-2</c:v>
                </c:pt>
                <c:pt idx="416">
                  <c:v>2.0115523519112166E-2</c:v>
                </c:pt>
                <c:pt idx="417">
                  <c:v>3.6458279661452764E-2</c:v>
                </c:pt>
                <c:pt idx="418">
                  <c:v>5.7181064928321312E-2</c:v>
                </c:pt>
                <c:pt idx="419">
                  <c:v>4.8424304799013385E-2</c:v>
                </c:pt>
                <c:pt idx="420">
                  <c:v>1.8511236035911871E-2</c:v>
                </c:pt>
                <c:pt idx="421">
                  <c:v>1.8175402391845452E-2</c:v>
                </c:pt>
                <c:pt idx="422">
                  <c:v>1.4111950920804084E-2</c:v>
                </c:pt>
                <c:pt idx="423">
                  <c:v>4.3698464874254661E-2</c:v>
                </c:pt>
                <c:pt idx="424">
                  <c:v>3.7858198859230363E-2</c:v>
                </c:pt>
                <c:pt idx="425">
                  <c:v>3.4361715010336802E-2</c:v>
                </c:pt>
                <c:pt idx="426">
                  <c:v>3.477301297675961E-2</c:v>
                </c:pt>
                <c:pt idx="427">
                  <c:v>3.000864246930135E-2</c:v>
                </c:pt>
                <c:pt idx="428">
                  <c:v>5.4887069565895175E-2</c:v>
                </c:pt>
                <c:pt idx="429">
                  <c:v>1.073452019559884E-2</c:v>
                </c:pt>
                <c:pt idx="430">
                  <c:v>7.4676585360094805E-2</c:v>
                </c:pt>
                <c:pt idx="431">
                  <c:v>6.2480595399115657E-2</c:v>
                </c:pt>
                <c:pt idx="432">
                  <c:v>2.6268905177731838E-2</c:v>
                </c:pt>
                <c:pt idx="433">
                  <c:v>5.6484087332416166E-2</c:v>
                </c:pt>
                <c:pt idx="434">
                  <c:v>4.3947765805597783E-2</c:v>
                </c:pt>
                <c:pt idx="435">
                  <c:v>4.2467602745721145E-2</c:v>
                </c:pt>
                <c:pt idx="436">
                  <c:v>3.6463674654839018E-2</c:v>
                </c:pt>
                <c:pt idx="437">
                  <c:v>4.1591089212847265E-2</c:v>
                </c:pt>
                <c:pt idx="438">
                  <c:v>5.5462163122326658E-2</c:v>
                </c:pt>
                <c:pt idx="439">
                  <c:v>7.7533099454391241E-2</c:v>
                </c:pt>
                <c:pt idx="440">
                  <c:v>5.9124780354092188E-2</c:v>
                </c:pt>
                <c:pt idx="441">
                  <c:v>3.7876140644758749E-2</c:v>
                </c:pt>
                <c:pt idx="442">
                  <c:v>3.4460841346538373E-2</c:v>
                </c:pt>
                <c:pt idx="443">
                  <c:v>5.5878128726873477E-2</c:v>
                </c:pt>
                <c:pt idx="444">
                  <c:v>1.3196650103219909E-3</c:v>
                </c:pt>
                <c:pt idx="445">
                  <c:v>6.4429252518377389E-2</c:v>
                </c:pt>
                <c:pt idx="446">
                  <c:v>5.019284509364752E-2</c:v>
                </c:pt>
                <c:pt idx="447">
                  <c:v>6.2469677980452332E-3</c:v>
                </c:pt>
                <c:pt idx="448">
                  <c:v>5.1583523167369805E-2</c:v>
                </c:pt>
                <c:pt idx="449">
                  <c:v>4.204929693179249E-2</c:v>
                </c:pt>
                <c:pt idx="450">
                  <c:v>2.5624571389991857E-2</c:v>
                </c:pt>
                <c:pt idx="451">
                  <c:v>-1.3915165264522855E-2</c:v>
                </c:pt>
                <c:pt idx="452">
                  <c:v>7.6478241571606986E-3</c:v>
                </c:pt>
                <c:pt idx="453">
                  <c:v>3.076238452165736E-2</c:v>
                </c:pt>
                <c:pt idx="454">
                  <c:v>4.3801008100522232E-2</c:v>
                </c:pt>
                <c:pt idx="455">
                  <c:v>3.6695805245915203E-2</c:v>
                </c:pt>
                <c:pt idx="456">
                  <c:v>2.1376375768824118E-2</c:v>
                </c:pt>
                <c:pt idx="457">
                  <c:v>3.0205307838778062E-2</c:v>
                </c:pt>
                <c:pt idx="458">
                  <c:v>5.6789074791928407E-2</c:v>
                </c:pt>
                <c:pt idx="459">
                  <c:v>5.0986576333313494E-2</c:v>
                </c:pt>
                <c:pt idx="460">
                  <c:v>4.4520901730746409E-2</c:v>
                </c:pt>
                <c:pt idx="461">
                  <c:v>6.0310274092295835E-2</c:v>
                </c:pt>
                <c:pt idx="462">
                  <c:v>-3.9457372043036898E-3</c:v>
                </c:pt>
                <c:pt idx="463">
                  <c:v>5.3476827433877716E-2</c:v>
                </c:pt>
                <c:pt idx="464">
                  <c:v>-1.854944090988031E-2</c:v>
                </c:pt>
                <c:pt idx="465">
                  <c:v>-2.115372317508335E-2</c:v>
                </c:pt>
                <c:pt idx="466">
                  <c:v>3.6892565158819224E-2</c:v>
                </c:pt>
                <c:pt idx="467">
                  <c:v>2.967801797046743E-2</c:v>
                </c:pt>
                <c:pt idx="468">
                  <c:v>1.8894305639154396E-2</c:v>
                </c:pt>
                <c:pt idx="469">
                  <c:v>3.2093011021126827E-2</c:v>
                </c:pt>
                <c:pt idx="470">
                  <c:v>3.3331666078770361E-2</c:v>
                </c:pt>
                <c:pt idx="471">
                  <c:v>4.8492323950803495E-2</c:v>
                </c:pt>
                <c:pt idx="472">
                  <c:v>3.0260691272424367E-2</c:v>
                </c:pt>
                <c:pt idx="473">
                  <c:v>-1.6435828226244453E-3</c:v>
                </c:pt>
                <c:pt idx="474">
                  <c:v>5.3686540884608114E-2</c:v>
                </c:pt>
                <c:pt idx="475">
                  <c:v>6.5032545519462914E-2</c:v>
                </c:pt>
                <c:pt idx="476">
                  <c:v>4.4350960851096133E-2</c:v>
                </c:pt>
                <c:pt idx="477">
                  <c:v>3.835150427410472E-2</c:v>
                </c:pt>
                <c:pt idx="478">
                  <c:v>4.9272859809784464E-2</c:v>
                </c:pt>
                <c:pt idx="479">
                  <c:v>3.5197354551125493E-2</c:v>
                </c:pt>
                <c:pt idx="480">
                  <c:v>5.8154300390695468E-2</c:v>
                </c:pt>
                <c:pt idx="481">
                  <c:v>6.7487683397562392E-3</c:v>
                </c:pt>
                <c:pt idx="482">
                  <c:v>9.1603007844032192E-3</c:v>
                </c:pt>
                <c:pt idx="483">
                  <c:v>2.3554438792216637E-2</c:v>
                </c:pt>
                <c:pt idx="484">
                  <c:v>5.1947125726091947E-2</c:v>
                </c:pt>
                <c:pt idx="485">
                  <c:v>4.3448619339338634E-2</c:v>
                </c:pt>
                <c:pt idx="486">
                  <c:v>3.7686471900270746E-2</c:v>
                </c:pt>
                <c:pt idx="487">
                  <c:v>4.0136073973216391E-2</c:v>
                </c:pt>
                <c:pt idx="488">
                  <c:v>4.6867501686362445E-2</c:v>
                </c:pt>
                <c:pt idx="489">
                  <c:v>2.8911270766109887E-2</c:v>
                </c:pt>
                <c:pt idx="490">
                  <c:v>4.8081778591797963E-2</c:v>
                </c:pt>
                <c:pt idx="491">
                  <c:v>3.9750543376579905E-2</c:v>
                </c:pt>
                <c:pt idx="492">
                  <c:v>1.0236682226712368E-2</c:v>
                </c:pt>
                <c:pt idx="493">
                  <c:v>5.6385297439908832E-2</c:v>
                </c:pt>
                <c:pt idx="494">
                  <c:v>-1.5717718798092584E-2</c:v>
                </c:pt>
                <c:pt idx="495">
                  <c:v>5.7015913590075407E-2</c:v>
                </c:pt>
                <c:pt idx="496">
                  <c:v>3.4210114239708211E-2</c:v>
                </c:pt>
                <c:pt idx="497">
                  <c:v>-5.8644268258163379E-3</c:v>
                </c:pt>
                <c:pt idx="498">
                  <c:v>1.1286836789102139E-2</c:v>
                </c:pt>
                <c:pt idx="499">
                  <c:v>4.0931996390868086E-2</c:v>
                </c:pt>
                <c:pt idx="500">
                  <c:v>1.6954655698885546E-2</c:v>
                </c:pt>
                <c:pt idx="501">
                  <c:v>5.5271576158751223E-2</c:v>
                </c:pt>
                <c:pt idx="502">
                  <c:v>-8.8540398167022971E-3</c:v>
                </c:pt>
                <c:pt idx="503">
                  <c:v>4.6239919936915896E-2</c:v>
                </c:pt>
                <c:pt idx="504">
                  <c:v>-2.798351961433454E-2</c:v>
                </c:pt>
                <c:pt idx="505">
                  <c:v>2.0094873257336943E-2</c:v>
                </c:pt>
                <c:pt idx="506">
                  <c:v>4.6872522925125004E-2</c:v>
                </c:pt>
                <c:pt idx="507">
                  <c:v>6.6800265200786413E-2</c:v>
                </c:pt>
                <c:pt idx="508">
                  <c:v>4.7775054749617851E-2</c:v>
                </c:pt>
                <c:pt idx="509">
                  <c:v>5.6225843881863469E-2</c:v>
                </c:pt>
                <c:pt idx="510">
                  <c:v>-4.6189022874801644E-2</c:v>
                </c:pt>
                <c:pt idx="511">
                  <c:v>4.712087081214289E-2</c:v>
                </c:pt>
                <c:pt idx="512">
                  <c:v>3.1357645446120408E-2</c:v>
                </c:pt>
                <c:pt idx="513">
                  <c:v>2.8565792644297261E-2</c:v>
                </c:pt>
                <c:pt idx="514">
                  <c:v>5.2969845955503914E-2</c:v>
                </c:pt>
                <c:pt idx="515">
                  <c:v>6.2878412390815264E-2</c:v>
                </c:pt>
                <c:pt idx="516">
                  <c:v>1.6475185226335398E-2</c:v>
                </c:pt>
                <c:pt idx="517">
                  <c:v>7.1406424109611955E-2</c:v>
                </c:pt>
                <c:pt idx="518">
                  <c:v>6.4673328871494462E-2</c:v>
                </c:pt>
                <c:pt idx="519">
                  <c:v>1.593693259748985E-2</c:v>
                </c:pt>
                <c:pt idx="520">
                  <c:v>1.2208534062452259E-2</c:v>
                </c:pt>
                <c:pt idx="521">
                  <c:v>5.9652092506650156E-2</c:v>
                </c:pt>
                <c:pt idx="522">
                  <c:v>4.8919113459929164E-2</c:v>
                </c:pt>
                <c:pt idx="523">
                  <c:v>3.9820698504125396E-2</c:v>
                </c:pt>
                <c:pt idx="524">
                  <c:v>4.7811074068583537E-2</c:v>
                </c:pt>
                <c:pt idx="525">
                  <c:v>4.03059191747559E-2</c:v>
                </c:pt>
                <c:pt idx="526">
                  <c:v>4.8023396326658307E-2</c:v>
                </c:pt>
                <c:pt idx="527">
                  <c:v>3.7968762417945889E-2</c:v>
                </c:pt>
                <c:pt idx="528">
                  <c:v>-2.6991390639390822E-2</c:v>
                </c:pt>
                <c:pt idx="529">
                  <c:v>2.7045792959056847E-2</c:v>
                </c:pt>
                <c:pt idx="530">
                  <c:v>5.357388917476591E-2</c:v>
                </c:pt>
                <c:pt idx="531">
                  <c:v>4.7971238802890781E-2</c:v>
                </c:pt>
                <c:pt idx="532">
                  <c:v>1.2771828826363851E-2</c:v>
                </c:pt>
                <c:pt idx="533">
                  <c:v>1.0540972993233311E-2</c:v>
                </c:pt>
                <c:pt idx="534">
                  <c:v>2.3567332732613799E-2</c:v>
                </c:pt>
                <c:pt idx="535">
                  <c:v>2.0866587410019122E-2</c:v>
                </c:pt>
                <c:pt idx="536">
                  <c:v>1.900610683138293E-2</c:v>
                </c:pt>
                <c:pt idx="537">
                  <c:v>4.1282281510256702E-2</c:v>
                </c:pt>
                <c:pt idx="538">
                  <c:v>4.5101525630325767E-2</c:v>
                </c:pt>
                <c:pt idx="539">
                  <c:v>3.7495475721146754E-2</c:v>
                </c:pt>
                <c:pt idx="540">
                  <c:v>3.7007877252460908E-2</c:v>
                </c:pt>
                <c:pt idx="541">
                  <c:v>4.7817751354672033E-2</c:v>
                </c:pt>
                <c:pt idx="542">
                  <c:v>-2.6641518588315982E-2</c:v>
                </c:pt>
                <c:pt idx="543">
                  <c:v>3.8775450668507183E-2</c:v>
                </c:pt>
                <c:pt idx="544">
                  <c:v>4.6589907544668741E-2</c:v>
                </c:pt>
                <c:pt idx="545">
                  <c:v>5.5730401915150551E-2</c:v>
                </c:pt>
                <c:pt idx="546">
                  <c:v>1.1495379402011174E-2</c:v>
                </c:pt>
                <c:pt idx="547">
                  <c:v>2.841720485513477E-2</c:v>
                </c:pt>
                <c:pt idx="548">
                  <c:v>3.2982512046436874E-2</c:v>
                </c:pt>
                <c:pt idx="549">
                  <c:v>3.1543594354997317E-2</c:v>
                </c:pt>
                <c:pt idx="550">
                  <c:v>2.1047469240258465E-2</c:v>
                </c:pt>
                <c:pt idx="551">
                  <c:v>3.21646727676832E-2</c:v>
                </c:pt>
                <c:pt idx="552">
                  <c:v>2.7802453250214576E-2</c:v>
                </c:pt>
                <c:pt idx="553">
                  <c:v>1.7768556182707229E-2</c:v>
                </c:pt>
                <c:pt idx="554">
                  <c:v>4.9551474463182643E-2</c:v>
                </c:pt>
                <c:pt idx="555">
                  <c:v>2.847150255380626E-2</c:v>
                </c:pt>
                <c:pt idx="556">
                  <c:v>6.0582538285801846E-2</c:v>
                </c:pt>
                <c:pt idx="557">
                  <c:v>3.2600455200527456E-2</c:v>
                </c:pt>
                <c:pt idx="558">
                  <c:v>4.4398751686000715E-2</c:v>
                </c:pt>
                <c:pt idx="559">
                  <c:v>4.9847668853600702E-2</c:v>
                </c:pt>
                <c:pt idx="560">
                  <c:v>3.7613487188600914E-2</c:v>
                </c:pt>
                <c:pt idx="561">
                  <c:v>4.3211440838152981E-2</c:v>
                </c:pt>
                <c:pt idx="562">
                  <c:v>3.1226824315913504E-2</c:v>
                </c:pt>
                <c:pt idx="563">
                  <c:v>5.2720038470758901E-2</c:v>
                </c:pt>
                <c:pt idx="564">
                  <c:v>2.874451273899048E-2</c:v>
                </c:pt>
                <c:pt idx="565">
                  <c:v>3.647379154157715E-2</c:v>
                </c:pt>
                <c:pt idx="566">
                  <c:v>6.1366021768185064E-2</c:v>
                </c:pt>
                <c:pt idx="567">
                  <c:v>-8.9846887726992009E-3</c:v>
                </c:pt>
                <c:pt idx="568">
                  <c:v>2.7297643607528954E-2</c:v>
                </c:pt>
                <c:pt idx="569">
                  <c:v>1.6129871762553094E-2</c:v>
                </c:pt>
                <c:pt idx="570">
                  <c:v>3.2189934205110404E-2</c:v>
                </c:pt>
                <c:pt idx="571">
                  <c:v>4.5318736459459608E-2</c:v>
                </c:pt>
                <c:pt idx="572">
                  <c:v>2.4658889178247989E-2</c:v>
                </c:pt>
                <c:pt idx="573">
                  <c:v>1.2912018956212634E-2</c:v>
                </c:pt>
                <c:pt idx="574">
                  <c:v>3.406625588187584E-2</c:v>
                </c:pt>
                <c:pt idx="575">
                  <c:v>5.4048043202261198E-2</c:v>
                </c:pt>
                <c:pt idx="576">
                  <c:v>5.4132332994785592E-2</c:v>
                </c:pt>
                <c:pt idx="577">
                  <c:v>1.6531332231921603E-2</c:v>
                </c:pt>
                <c:pt idx="578">
                  <c:v>2.4635444346109203E-2</c:v>
                </c:pt>
                <c:pt idx="579">
                  <c:v>3.1719884793829145E-2</c:v>
                </c:pt>
                <c:pt idx="580">
                  <c:v>4.1066829917388858E-2</c:v>
                </c:pt>
                <c:pt idx="581">
                  <c:v>3.2718858387607241E-2</c:v>
                </c:pt>
                <c:pt idx="582">
                  <c:v>5.8549470786645408E-2</c:v>
                </c:pt>
                <c:pt idx="583">
                  <c:v>5.7359301367989168E-2</c:v>
                </c:pt>
                <c:pt idx="584">
                  <c:v>2.5715586766588139E-2</c:v>
                </c:pt>
                <c:pt idx="585">
                  <c:v>1.8874290391190485E-2</c:v>
                </c:pt>
                <c:pt idx="586">
                  <c:v>2.8357114290390228E-2</c:v>
                </c:pt>
                <c:pt idx="587">
                  <c:v>4.2196458114918123E-2</c:v>
                </c:pt>
                <c:pt idx="588">
                  <c:v>1.6487240025145233E-2</c:v>
                </c:pt>
                <c:pt idx="589">
                  <c:v>2.4978939820762491E-2</c:v>
                </c:pt>
                <c:pt idx="590">
                  <c:v>3.2541719670986957E-2</c:v>
                </c:pt>
                <c:pt idx="591">
                  <c:v>4.2755435173241985E-2</c:v>
                </c:pt>
                <c:pt idx="592">
                  <c:v>4.3679063093284398E-2</c:v>
                </c:pt>
                <c:pt idx="593">
                  <c:v>3.2533958547109165E-2</c:v>
                </c:pt>
                <c:pt idx="594">
                  <c:v>2.8337978042490164E-2</c:v>
                </c:pt>
                <c:pt idx="595">
                  <c:v>2.3896073478195667E-2</c:v>
                </c:pt>
                <c:pt idx="596">
                  <c:v>5.5246782095682789E-2</c:v>
                </c:pt>
                <c:pt idx="597">
                  <c:v>3.0151434856333204E-2</c:v>
                </c:pt>
                <c:pt idx="598">
                  <c:v>3.2021870177763034E-2</c:v>
                </c:pt>
                <c:pt idx="599">
                  <c:v>2.8370428642393364E-2</c:v>
                </c:pt>
                <c:pt idx="600">
                  <c:v>8.9530444689618349E-3</c:v>
                </c:pt>
                <c:pt idx="601">
                  <c:v>4.9990507055496458E-2</c:v>
                </c:pt>
                <c:pt idx="602">
                  <c:v>4.70465757906533E-2</c:v>
                </c:pt>
                <c:pt idx="603">
                  <c:v>4.4595109852179071E-2</c:v>
                </c:pt>
                <c:pt idx="604">
                  <c:v>1.93664647291234E-2</c:v>
                </c:pt>
                <c:pt idx="605">
                  <c:v>4.372753561106979E-2</c:v>
                </c:pt>
                <c:pt idx="606">
                  <c:v>5.5947198137587861E-2</c:v>
                </c:pt>
                <c:pt idx="607">
                  <c:v>4.5425915908229086E-2</c:v>
                </c:pt>
                <c:pt idx="608">
                  <c:v>2.5114305759672106E-2</c:v>
                </c:pt>
                <c:pt idx="609">
                  <c:v>3.6390890897436634E-2</c:v>
                </c:pt>
                <c:pt idx="610">
                  <c:v>2.9526328982400152E-2</c:v>
                </c:pt>
                <c:pt idx="611">
                  <c:v>5.5382005709760485E-2</c:v>
                </c:pt>
                <c:pt idx="612">
                  <c:v>4.1962520831423156E-2</c:v>
                </c:pt>
                <c:pt idx="613">
                  <c:v>5.5399840685065094E-2</c:v>
                </c:pt>
                <c:pt idx="614">
                  <c:v>5.6768031332623536E-2</c:v>
                </c:pt>
                <c:pt idx="615">
                  <c:v>4.0412850854602667E-2</c:v>
                </c:pt>
                <c:pt idx="616">
                  <c:v>1.1035647938482995E-2</c:v>
                </c:pt>
                <c:pt idx="617">
                  <c:v>4.0801585173960042E-2</c:v>
                </c:pt>
                <c:pt idx="618">
                  <c:v>6.1407987591195479E-2</c:v>
                </c:pt>
                <c:pt idx="619">
                  <c:v>3.5225098497058127E-2</c:v>
                </c:pt>
                <c:pt idx="620">
                  <c:v>-5.2912252377037561E-3</c:v>
                </c:pt>
                <c:pt idx="621">
                  <c:v>5.2758766486770803E-2</c:v>
                </c:pt>
                <c:pt idx="622">
                  <c:v>6.0645759336791727E-2</c:v>
                </c:pt>
                <c:pt idx="623">
                  <c:v>4.2367780021582035E-2</c:v>
                </c:pt>
                <c:pt idx="624">
                  <c:v>4.5253607076074509E-2</c:v>
                </c:pt>
                <c:pt idx="625">
                  <c:v>3.7485746650168572E-2</c:v>
                </c:pt>
                <c:pt idx="626">
                  <c:v>2.4196572936793892E-2</c:v>
                </c:pt>
                <c:pt idx="627">
                  <c:v>4.1374813301969127E-2</c:v>
                </c:pt>
                <c:pt idx="628">
                  <c:v>-1.7170136709926176E-2</c:v>
                </c:pt>
                <c:pt idx="629">
                  <c:v>6.1457452517485578E-2</c:v>
                </c:pt>
                <c:pt idx="630">
                  <c:v>1.8904473784930431E-2</c:v>
                </c:pt>
                <c:pt idx="631">
                  <c:v>3.150202509053468E-2</c:v>
                </c:pt>
                <c:pt idx="632">
                  <c:v>3.1911122957162696E-2</c:v>
                </c:pt>
                <c:pt idx="633">
                  <c:v>6.4326552062476949E-2</c:v>
                </c:pt>
                <c:pt idx="634">
                  <c:v>3.6756822650092502E-2</c:v>
                </c:pt>
                <c:pt idx="635">
                  <c:v>6.1436359036505017E-2</c:v>
                </c:pt>
                <c:pt idx="636">
                  <c:v>2.6916079174986507E-2</c:v>
                </c:pt>
                <c:pt idx="637">
                  <c:v>8.0453071781295016E-2</c:v>
                </c:pt>
                <c:pt idx="638">
                  <c:v>3.3104813333040717E-2</c:v>
                </c:pt>
                <c:pt idx="639">
                  <c:v>2.7918556263948346E-2</c:v>
                </c:pt>
                <c:pt idx="640">
                  <c:v>5.4339082750342271E-2</c:v>
                </c:pt>
                <c:pt idx="641">
                  <c:v>2.8346944961351817E-2</c:v>
                </c:pt>
                <c:pt idx="642">
                  <c:v>-8.3706279436190911E-3</c:v>
                </c:pt>
                <c:pt idx="643">
                  <c:v>5.4279577808899582E-2</c:v>
                </c:pt>
                <c:pt idx="644">
                  <c:v>3.2544045154697443E-2</c:v>
                </c:pt>
                <c:pt idx="645">
                  <c:v>4.1547704475446423E-2</c:v>
                </c:pt>
                <c:pt idx="646">
                  <c:v>3.5229989545130458E-2</c:v>
                </c:pt>
                <c:pt idx="647">
                  <c:v>4.5200798589398516E-2</c:v>
                </c:pt>
                <c:pt idx="648">
                  <c:v>-1.3558777795873667E-2</c:v>
                </c:pt>
                <c:pt idx="649">
                  <c:v>4.0468012142669707E-2</c:v>
                </c:pt>
                <c:pt idx="650">
                  <c:v>2.9358402496424851E-2</c:v>
                </c:pt>
                <c:pt idx="651">
                  <c:v>2.5535863085961452E-3</c:v>
                </c:pt>
                <c:pt idx="652">
                  <c:v>3.3921974428407609E-2</c:v>
                </c:pt>
                <c:pt idx="653">
                  <c:v>3.1911863158177844E-2</c:v>
                </c:pt>
                <c:pt idx="654">
                  <c:v>5.0243352394030438E-2</c:v>
                </c:pt>
                <c:pt idx="655">
                  <c:v>1.7382664828064165E-2</c:v>
                </c:pt>
                <c:pt idx="656">
                  <c:v>5.4206529605677289E-2</c:v>
                </c:pt>
                <c:pt idx="657">
                  <c:v>2.9110329141556868E-2</c:v>
                </c:pt>
                <c:pt idx="658">
                  <c:v>2.2050478187603417E-2</c:v>
                </c:pt>
                <c:pt idx="659">
                  <c:v>4.7606380886906052E-2</c:v>
                </c:pt>
                <c:pt idx="660">
                  <c:v>1.836742539622005E-2</c:v>
                </c:pt>
                <c:pt idx="661">
                  <c:v>5.1251246196880373E-2</c:v>
                </c:pt>
                <c:pt idx="662">
                  <c:v>2.1419397265522555E-2</c:v>
                </c:pt>
                <c:pt idx="663">
                  <c:v>4.7317102055506766E-2</c:v>
                </c:pt>
                <c:pt idx="664">
                  <c:v>6.1359386934462634E-2</c:v>
                </c:pt>
                <c:pt idx="665">
                  <c:v>5.0030646830653502E-2</c:v>
                </c:pt>
                <c:pt idx="666">
                  <c:v>1.5647546351390318E-2</c:v>
                </c:pt>
                <c:pt idx="667">
                  <c:v>4.2574629684927423E-2</c:v>
                </c:pt>
                <c:pt idx="668">
                  <c:v>4.2411095987350045E-2</c:v>
                </c:pt>
                <c:pt idx="669">
                  <c:v>3.1400082246554106E-2</c:v>
                </c:pt>
                <c:pt idx="670">
                  <c:v>1.6444435487062314E-2</c:v>
                </c:pt>
                <c:pt idx="671">
                  <c:v>5.404624290597404E-2</c:v>
                </c:pt>
                <c:pt idx="672">
                  <c:v>6.4817224241497051E-2</c:v>
                </c:pt>
                <c:pt idx="673">
                  <c:v>5.203862973761364E-2</c:v>
                </c:pt>
                <c:pt idx="674">
                  <c:v>1.5633410401427739E-2</c:v>
                </c:pt>
                <c:pt idx="675">
                  <c:v>-1.2204660487551422E-3</c:v>
                </c:pt>
                <c:pt idx="676">
                  <c:v>5.042207106139962E-2</c:v>
                </c:pt>
                <c:pt idx="677">
                  <c:v>3.9263639687529661E-2</c:v>
                </c:pt>
                <c:pt idx="678">
                  <c:v>3.9661346583645951E-2</c:v>
                </c:pt>
                <c:pt idx="679">
                  <c:v>6.9564682299658287E-2</c:v>
                </c:pt>
                <c:pt idx="680">
                  <c:v>5.462205819081678E-2</c:v>
                </c:pt>
                <c:pt idx="681">
                  <c:v>2.7189736945640419E-2</c:v>
                </c:pt>
                <c:pt idx="682">
                  <c:v>2.3799551057290813E-2</c:v>
                </c:pt>
                <c:pt idx="683">
                  <c:v>5.0986017667649541E-2</c:v>
                </c:pt>
                <c:pt idx="684">
                  <c:v>2.7186118585866836E-3</c:v>
                </c:pt>
                <c:pt idx="685">
                  <c:v>1.8333318073233684E-2</c:v>
                </c:pt>
                <c:pt idx="686">
                  <c:v>3.9077460905819983E-2</c:v>
                </c:pt>
                <c:pt idx="687">
                  <c:v>4.8656536133412587E-2</c:v>
                </c:pt>
                <c:pt idx="688">
                  <c:v>1.9907528904747451E-2</c:v>
                </c:pt>
                <c:pt idx="689">
                  <c:v>6.5052433205051052E-2</c:v>
                </c:pt>
                <c:pt idx="690">
                  <c:v>6.1598629046363484E-2</c:v>
                </c:pt>
                <c:pt idx="691">
                  <c:v>5.7153884706271363E-2</c:v>
                </c:pt>
                <c:pt idx="692">
                  <c:v>5.607468566636431E-2</c:v>
                </c:pt>
                <c:pt idx="693">
                  <c:v>-1.6412359457394388E-2</c:v>
                </c:pt>
                <c:pt idx="694">
                  <c:v>5.0150024810339922E-2</c:v>
                </c:pt>
                <c:pt idx="695">
                  <c:v>1.1022647997568136E-2</c:v>
                </c:pt>
                <c:pt idx="696">
                  <c:v>6.6614800167911881E-2</c:v>
                </c:pt>
                <c:pt idx="697">
                  <c:v>4.3132236756545872E-2</c:v>
                </c:pt>
                <c:pt idx="698">
                  <c:v>4.0934955407874618E-2</c:v>
                </c:pt>
                <c:pt idx="699">
                  <c:v>3.196313328189504E-2</c:v>
                </c:pt>
                <c:pt idx="700">
                  <c:v>1.8872635580064134E-2</c:v>
                </c:pt>
                <c:pt idx="701">
                  <c:v>4.955420657405174E-2</c:v>
                </c:pt>
                <c:pt idx="702">
                  <c:v>5.2636087353943317E-2</c:v>
                </c:pt>
                <c:pt idx="703">
                  <c:v>4.1141755106376188E-2</c:v>
                </c:pt>
                <c:pt idx="704">
                  <c:v>4.6149119985245513E-2</c:v>
                </c:pt>
                <c:pt idx="705">
                  <c:v>4.8715068832185793E-2</c:v>
                </c:pt>
                <c:pt idx="706">
                  <c:v>4.1404403678059865E-2</c:v>
                </c:pt>
                <c:pt idx="707">
                  <c:v>4.5447684962727664E-2</c:v>
                </c:pt>
                <c:pt idx="708">
                  <c:v>5.042245704366799E-2</c:v>
                </c:pt>
                <c:pt idx="709">
                  <c:v>5.0778341958267248E-2</c:v>
                </c:pt>
                <c:pt idx="710">
                  <c:v>4.6051234571796051E-2</c:v>
                </c:pt>
                <c:pt idx="711">
                  <c:v>7.5896487591350592E-2</c:v>
                </c:pt>
                <c:pt idx="712">
                  <c:v>3.6753702854834813E-2</c:v>
                </c:pt>
                <c:pt idx="713">
                  <c:v>2.3915438422412727E-2</c:v>
                </c:pt>
                <c:pt idx="714">
                  <c:v>5.5495968547046637E-2</c:v>
                </c:pt>
                <c:pt idx="715">
                  <c:v>2.3002188451474836E-2</c:v>
                </c:pt>
                <c:pt idx="716">
                  <c:v>3.3638589036096178E-2</c:v>
                </c:pt>
                <c:pt idx="717">
                  <c:v>2.2297239059628104E-2</c:v>
                </c:pt>
                <c:pt idx="718">
                  <c:v>3.6038734968758313E-2</c:v>
                </c:pt>
                <c:pt idx="719">
                  <c:v>-9.7140698698057193E-3</c:v>
                </c:pt>
                <c:pt idx="720">
                  <c:v>5.3230728921276338E-3</c:v>
                </c:pt>
                <c:pt idx="721">
                  <c:v>5.0999360471871036E-2</c:v>
                </c:pt>
                <c:pt idx="722">
                  <c:v>1.2727099245403828E-2</c:v>
                </c:pt>
                <c:pt idx="723">
                  <c:v>4.3751223977344544E-2</c:v>
                </c:pt>
                <c:pt idx="724">
                  <c:v>3.9557028902681424E-3</c:v>
                </c:pt>
                <c:pt idx="725">
                  <c:v>2.1124284974463059E-2</c:v>
                </c:pt>
                <c:pt idx="726">
                  <c:v>6.2631474530101094E-2</c:v>
                </c:pt>
                <c:pt idx="727">
                  <c:v>5.7666004735754228E-2</c:v>
                </c:pt>
                <c:pt idx="728">
                  <c:v>3.026767001245112E-2</c:v>
                </c:pt>
                <c:pt idx="729">
                  <c:v>5.722487466185644E-2</c:v>
                </c:pt>
                <c:pt idx="730">
                  <c:v>1.8248625499728277E-2</c:v>
                </c:pt>
                <c:pt idx="731">
                  <c:v>1.5676832451755551E-2</c:v>
                </c:pt>
                <c:pt idx="732">
                  <c:v>4.4110195273266761E-2</c:v>
                </c:pt>
                <c:pt idx="733">
                  <c:v>4.2160010335702935E-2</c:v>
                </c:pt>
                <c:pt idx="734">
                  <c:v>4.0338772162014536E-2</c:v>
                </c:pt>
                <c:pt idx="735">
                  <c:v>3.7826843908570496E-2</c:v>
                </c:pt>
                <c:pt idx="736">
                  <c:v>-1.7125558706246657E-2</c:v>
                </c:pt>
                <c:pt idx="737">
                  <c:v>7.0769472572774994E-2</c:v>
                </c:pt>
                <c:pt idx="738">
                  <c:v>6.1934871124623037E-2</c:v>
                </c:pt>
                <c:pt idx="739">
                  <c:v>7.844600736711449E-3</c:v>
                </c:pt>
                <c:pt idx="740">
                  <c:v>5.5272272364436326E-2</c:v>
                </c:pt>
                <c:pt idx="741">
                  <c:v>2.7155700072602151E-2</c:v>
                </c:pt>
                <c:pt idx="742">
                  <c:v>6.2523697171771531E-2</c:v>
                </c:pt>
                <c:pt idx="743">
                  <c:v>1.2785944052009945E-2</c:v>
                </c:pt>
                <c:pt idx="744">
                  <c:v>1.3777520194302895E-2</c:v>
                </c:pt>
                <c:pt idx="745">
                  <c:v>3.7354059046093013E-2</c:v>
                </c:pt>
                <c:pt idx="746">
                  <c:v>1.0120016438300183E-2</c:v>
                </c:pt>
                <c:pt idx="747">
                  <c:v>5.6997802104749695E-2</c:v>
                </c:pt>
                <c:pt idx="748">
                  <c:v>4.5745557597690834E-2</c:v>
                </c:pt>
                <c:pt idx="749">
                  <c:v>1.7094807108676058E-2</c:v>
                </c:pt>
                <c:pt idx="750">
                  <c:v>1.4447997477391006E-2</c:v>
                </c:pt>
                <c:pt idx="751">
                  <c:v>1.8751286337597151E-3</c:v>
                </c:pt>
                <c:pt idx="752">
                  <c:v>4.9979303835655742E-2</c:v>
                </c:pt>
                <c:pt idx="753">
                  <c:v>7.0669749933332859E-2</c:v>
                </c:pt>
                <c:pt idx="754">
                  <c:v>1.4691787439184978E-3</c:v>
                </c:pt>
                <c:pt idx="755">
                  <c:v>4.7140103384852416E-2</c:v>
                </c:pt>
                <c:pt idx="756">
                  <c:v>6.5324007448540833E-2</c:v>
                </c:pt>
                <c:pt idx="757">
                  <c:v>2.5621589239268161E-2</c:v>
                </c:pt>
                <c:pt idx="758">
                  <c:v>3.5340255342676485E-2</c:v>
                </c:pt>
                <c:pt idx="759">
                  <c:v>2.2114263460889738E-2</c:v>
                </c:pt>
                <c:pt idx="760">
                  <c:v>1.6922796270363527E-2</c:v>
                </c:pt>
                <c:pt idx="761">
                  <c:v>2.6932547790645245E-2</c:v>
                </c:pt>
                <c:pt idx="762">
                  <c:v>4.1566775232919184E-2</c:v>
                </c:pt>
                <c:pt idx="763">
                  <c:v>1.7195610982998488E-2</c:v>
                </c:pt>
                <c:pt idx="764">
                  <c:v>2.3566065475971065E-2</c:v>
                </c:pt>
                <c:pt idx="765">
                  <c:v>3.6393960315012741E-2</c:v>
                </c:pt>
                <c:pt idx="766">
                  <c:v>6.039666091883511E-2</c:v>
                </c:pt>
                <c:pt idx="767">
                  <c:v>5.5952206963115536E-2</c:v>
                </c:pt>
                <c:pt idx="768">
                  <c:v>2.5319940443806921E-2</c:v>
                </c:pt>
                <c:pt idx="769">
                  <c:v>1.1124423584953469E-2</c:v>
                </c:pt>
                <c:pt idx="770">
                  <c:v>2.4313798826754329E-2</c:v>
                </c:pt>
                <c:pt idx="771">
                  <c:v>4.8513069129817232E-2</c:v>
                </c:pt>
                <c:pt idx="772">
                  <c:v>3.5161448149164443E-2</c:v>
                </c:pt>
                <c:pt idx="773">
                  <c:v>-3.7393374081941211E-2</c:v>
                </c:pt>
                <c:pt idx="774">
                  <c:v>1.3037473852961945E-2</c:v>
                </c:pt>
                <c:pt idx="775">
                  <c:v>2.530098459852681E-2</c:v>
                </c:pt>
                <c:pt idx="776">
                  <c:v>3.4102550317985703E-2</c:v>
                </c:pt>
                <c:pt idx="777">
                  <c:v>6.3441214752256059E-2</c:v>
                </c:pt>
                <c:pt idx="778">
                  <c:v>2.433375044918229E-2</c:v>
                </c:pt>
                <c:pt idx="779">
                  <c:v>4.2957058066614096E-2</c:v>
                </c:pt>
                <c:pt idx="780">
                  <c:v>3.8318520643232823E-2</c:v>
                </c:pt>
                <c:pt idx="781">
                  <c:v>3.0480757127991254E-2</c:v>
                </c:pt>
                <c:pt idx="782">
                  <c:v>5.9046948097583929E-2</c:v>
                </c:pt>
                <c:pt idx="783">
                  <c:v>5.49252109586158E-2</c:v>
                </c:pt>
                <c:pt idx="784">
                  <c:v>-1.5187312694254551E-2</c:v>
                </c:pt>
                <c:pt idx="785">
                  <c:v>5.5542028389947262E-2</c:v>
                </c:pt>
                <c:pt idx="786">
                  <c:v>6.9268811584244361E-3</c:v>
                </c:pt>
                <c:pt idx="787">
                  <c:v>5.2915804646687548E-2</c:v>
                </c:pt>
                <c:pt idx="788">
                  <c:v>3.6997736832661943E-2</c:v>
                </c:pt>
                <c:pt idx="789">
                  <c:v>4.801767310255034E-2</c:v>
                </c:pt>
                <c:pt idx="790">
                  <c:v>3.869182228350887E-2</c:v>
                </c:pt>
                <c:pt idx="791">
                  <c:v>5.6206448811574994E-2</c:v>
                </c:pt>
                <c:pt idx="792">
                  <c:v>6.3032244247235525E-2</c:v>
                </c:pt>
                <c:pt idx="793">
                  <c:v>2.1348063266807493E-2</c:v>
                </c:pt>
                <c:pt idx="794">
                  <c:v>1.2314792140537989E-2</c:v>
                </c:pt>
                <c:pt idx="795">
                  <c:v>2.4165510227114773E-2</c:v>
                </c:pt>
                <c:pt idx="796">
                  <c:v>3.1532631066145456E-2</c:v>
                </c:pt>
                <c:pt idx="797">
                  <c:v>4.4815736649891136E-2</c:v>
                </c:pt>
                <c:pt idx="798">
                  <c:v>3.2639169307412175E-2</c:v>
                </c:pt>
                <c:pt idx="799">
                  <c:v>4.6114189129400351E-2</c:v>
                </c:pt>
                <c:pt idx="800">
                  <c:v>9.7073311790083494E-3</c:v>
                </c:pt>
                <c:pt idx="801">
                  <c:v>6.385989817007065E-2</c:v>
                </c:pt>
                <c:pt idx="802">
                  <c:v>5.4986227991814296E-2</c:v>
                </c:pt>
                <c:pt idx="803">
                  <c:v>4.3270592530820551E-2</c:v>
                </c:pt>
                <c:pt idx="804">
                  <c:v>9.262650906888048E-3</c:v>
                </c:pt>
                <c:pt idx="805">
                  <c:v>4.1884358362152874E-2</c:v>
                </c:pt>
                <c:pt idx="806">
                  <c:v>-2.5913003936937073E-3</c:v>
                </c:pt>
                <c:pt idx="807">
                  <c:v>4.4043405104301492E-2</c:v>
                </c:pt>
                <c:pt idx="808">
                  <c:v>6.1078104521261167E-2</c:v>
                </c:pt>
                <c:pt idx="809">
                  <c:v>1.0852547767913556E-2</c:v>
                </c:pt>
                <c:pt idx="810">
                  <c:v>7.1301620038756397E-2</c:v>
                </c:pt>
                <c:pt idx="811">
                  <c:v>-8.9960272444500333E-4</c:v>
                </c:pt>
                <c:pt idx="812">
                  <c:v>3.7569302051517539E-2</c:v>
                </c:pt>
                <c:pt idx="813">
                  <c:v>2.4419655142715158E-2</c:v>
                </c:pt>
                <c:pt idx="814">
                  <c:v>3.4847274077446144E-2</c:v>
                </c:pt>
                <c:pt idx="815">
                  <c:v>2.1146795045194011E-2</c:v>
                </c:pt>
                <c:pt idx="816">
                  <c:v>2.8132732361009438E-2</c:v>
                </c:pt>
                <c:pt idx="817">
                  <c:v>3.6443648217947988E-2</c:v>
                </c:pt>
                <c:pt idx="818">
                  <c:v>5.1973726256406394E-2</c:v>
                </c:pt>
                <c:pt idx="819">
                  <c:v>8.6724372463671706E-2</c:v>
                </c:pt>
                <c:pt idx="820">
                  <c:v>3.016434761804021E-2</c:v>
                </c:pt>
                <c:pt idx="821">
                  <c:v>3.5081701684803512E-2</c:v>
                </c:pt>
                <c:pt idx="822">
                  <c:v>5.96964805179514E-2</c:v>
                </c:pt>
                <c:pt idx="823">
                  <c:v>2.7041989709821301E-2</c:v>
                </c:pt>
                <c:pt idx="824">
                  <c:v>3.8345348903551901E-2</c:v>
                </c:pt>
                <c:pt idx="825">
                  <c:v>2.5741797186003446E-2</c:v>
                </c:pt>
                <c:pt idx="826">
                  <c:v>2.3417564679209413E-2</c:v>
                </c:pt>
                <c:pt idx="827">
                  <c:v>5.0580028489252804E-2</c:v>
                </c:pt>
                <c:pt idx="828">
                  <c:v>1.6590987252093292E-2</c:v>
                </c:pt>
                <c:pt idx="829">
                  <c:v>4.4006990351920905E-2</c:v>
                </c:pt>
                <c:pt idx="830">
                  <c:v>3.473618726743144E-2</c:v>
                </c:pt>
                <c:pt idx="831">
                  <c:v>5.4030662067996893E-2</c:v>
                </c:pt>
                <c:pt idx="832">
                  <c:v>1.9113573211041235E-2</c:v>
                </c:pt>
                <c:pt idx="833">
                  <c:v>4.4693306998230931E-2</c:v>
                </c:pt>
                <c:pt idx="834">
                  <c:v>6.8969719448089606E-2</c:v>
                </c:pt>
                <c:pt idx="835">
                  <c:v>4.4734264471450125E-2</c:v>
                </c:pt>
                <c:pt idx="836">
                  <c:v>5.0648211874191773E-2</c:v>
                </c:pt>
                <c:pt idx="837">
                  <c:v>2.8611270025693081E-2</c:v>
                </c:pt>
                <c:pt idx="838">
                  <c:v>3.9564921160534006E-2</c:v>
                </c:pt>
                <c:pt idx="839">
                  <c:v>-9.9372169085860662E-3</c:v>
                </c:pt>
                <c:pt idx="840">
                  <c:v>1.3904731707254037E-2</c:v>
                </c:pt>
                <c:pt idx="841">
                  <c:v>4.1752525954612985E-2</c:v>
                </c:pt>
                <c:pt idx="842">
                  <c:v>7.7657817485382807E-2</c:v>
                </c:pt>
                <c:pt idx="843">
                  <c:v>7.8299469487426165E-3</c:v>
                </c:pt>
                <c:pt idx="844">
                  <c:v>2.5019265217843589E-2</c:v>
                </c:pt>
                <c:pt idx="845">
                  <c:v>2.4601569126635248E-2</c:v>
                </c:pt>
                <c:pt idx="846">
                  <c:v>4.2454341960530328E-2</c:v>
                </c:pt>
                <c:pt idx="847">
                  <c:v>4.0368950485073718E-2</c:v>
                </c:pt>
                <c:pt idx="848">
                  <c:v>3.6861350111756508E-2</c:v>
                </c:pt>
                <c:pt idx="849">
                  <c:v>3.5493524537470122E-2</c:v>
                </c:pt>
                <c:pt idx="850">
                  <c:v>3.4706257038409127E-2</c:v>
                </c:pt>
                <c:pt idx="851">
                  <c:v>2.5437320837721877E-2</c:v>
                </c:pt>
                <c:pt idx="852">
                  <c:v>2.2761768764537393E-2</c:v>
                </c:pt>
                <c:pt idx="853">
                  <c:v>4.3668762367621738E-2</c:v>
                </c:pt>
                <c:pt idx="854">
                  <c:v>3.7153443613175519E-2</c:v>
                </c:pt>
                <c:pt idx="855">
                  <c:v>2.9481401173652166E-2</c:v>
                </c:pt>
                <c:pt idx="856">
                  <c:v>6.1901155164827415E-2</c:v>
                </c:pt>
                <c:pt idx="857">
                  <c:v>2.9514306351240194E-2</c:v>
                </c:pt>
                <c:pt idx="858">
                  <c:v>1.8456117944688266E-2</c:v>
                </c:pt>
                <c:pt idx="859">
                  <c:v>4.4955665944653056E-2</c:v>
                </c:pt>
                <c:pt idx="860">
                  <c:v>3.4223720095197585E-2</c:v>
                </c:pt>
                <c:pt idx="861">
                  <c:v>5.2565017136097403E-2</c:v>
                </c:pt>
                <c:pt idx="862">
                  <c:v>1.4981211844078857E-2</c:v>
                </c:pt>
                <c:pt idx="863">
                  <c:v>5.4635459171800349E-2</c:v>
                </c:pt>
                <c:pt idx="864">
                  <c:v>3.6621826559255943E-2</c:v>
                </c:pt>
                <c:pt idx="865">
                  <c:v>7.9122787316025622E-2</c:v>
                </c:pt>
                <c:pt idx="866">
                  <c:v>-1.092621283426265E-2</c:v>
                </c:pt>
                <c:pt idx="867">
                  <c:v>7.2019135605420281E-2</c:v>
                </c:pt>
                <c:pt idx="868">
                  <c:v>3.204924166871681E-2</c:v>
                </c:pt>
                <c:pt idx="869">
                  <c:v>6.5867079435755649E-2</c:v>
                </c:pt>
                <c:pt idx="870">
                  <c:v>1.3581490242962957E-2</c:v>
                </c:pt>
                <c:pt idx="871">
                  <c:v>4.5728975880237499E-2</c:v>
                </c:pt>
                <c:pt idx="872">
                  <c:v>1.0673743783341294E-2</c:v>
                </c:pt>
                <c:pt idx="873">
                  <c:v>4.4900535920059603E-2</c:v>
                </c:pt>
                <c:pt idx="874">
                  <c:v>5.1583523823069299E-2</c:v>
                </c:pt>
                <c:pt idx="875">
                  <c:v>2.8696057132771458E-2</c:v>
                </c:pt>
                <c:pt idx="876">
                  <c:v>5.1365482119692274E-2</c:v>
                </c:pt>
                <c:pt idx="877">
                  <c:v>3.363018521307648E-2</c:v>
                </c:pt>
                <c:pt idx="878">
                  <c:v>7.4208593761088792E-2</c:v>
                </c:pt>
                <c:pt idx="879">
                  <c:v>5.9493948835151578E-2</c:v>
                </c:pt>
                <c:pt idx="880">
                  <c:v>5.4202215702357393E-2</c:v>
                </c:pt>
                <c:pt idx="881">
                  <c:v>4.0882828860037357E-2</c:v>
                </c:pt>
                <c:pt idx="882">
                  <c:v>4.3746287741500467E-2</c:v>
                </c:pt>
                <c:pt idx="883">
                  <c:v>1.285587417704015E-2</c:v>
                </c:pt>
                <c:pt idx="884">
                  <c:v>2.9242461424821009E-2</c:v>
                </c:pt>
                <c:pt idx="885">
                  <c:v>5.5247737022665611E-2</c:v>
                </c:pt>
                <c:pt idx="886">
                  <c:v>3.1355005224257049E-2</c:v>
                </c:pt>
                <c:pt idx="887">
                  <c:v>4.0940284495981416E-2</c:v>
                </c:pt>
                <c:pt idx="888">
                  <c:v>1.2053705107531343E-2</c:v>
                </c:pt>
                <c:pt idx="889">
                  <c:v>3.061582632023363E-2</c:v>
                </c:pt>
                <c:pt idx="890">
                  <c:v>4.0853016387385921E-2</c:v>
                </c:pt>
                <c:pt idx="891">
                  <c:v>1.2176626308064264E-2</c:v>
                </c:pt>
                <c:pt idx="892">
                  <c:v>7.2490675539351734E-2</c:v>
                </c:pt>
                <c:pt idx="893">
                  <c:v>4.5696833265077785E-2</c:v>
                </c:pt>
                <c:pt idx="894">
                  <c:v>5.3532639126644632E-2</c:v>
                </c:pt>
                <c:pt idx="895">
                  <c:v>3.0296292865220842E-2</c:v>
                </c:pt>
                <c:pt idx="896">
                  <c:v>5.5181967724049485E-4</c:v>
                </c:pt>
                <c:pt idx="897">
                  <c:v>1.7170524695284684E-3</c:v>
                </c:pt>
                <c:pt idx="898">
                  <c:v>3.5073627701237342E-2</c:v>
                </c:pt>
                <c:pt idx="899">
                  <c:v>4.4941056952049863E-2</c:v>
                </c:pt>
                <c:pt idx="900">
                  <c:v>1.3002421149261423E-2</c:v>
                </c:pt>
                <c:pt idx="901">
                  <c:v>3.1048885229838952E-2</c:v>
                </c:pt>
                <c:pt idx="902">
                  <c:v>4.5182564844395756E-2</c:v>
                </c:pt>
                <c:pt idx="903">
                  <c:v>5.411897470699234E-2</c:v>
                </c:pt>
                <c:pt idx="904">
                  <c:v>7.1940770148112954E-2</c:v>
                </c:pt>
                <c:pt idx="905">
                  <c:v>5.5420373575812754E-2</c:v>
                </c:pt>
                <c:pt idx="906">
                  <c:v>-1.4536325716812293E-2</c:v>
                </c:pt>
                <c:pt idx="907">
                  <c:v>5.2630855729279169E-2</c:v>
                </c:pt>
                <c:pt idx="908">
                  <c:v>5.0853894889929308E-2</c:v>
                </c:pt>
                <c:pt idx="909">
                  <c:v>4.5033557566460658E-3</c:v>
                </c:pt>
                <c:pt idx="910">
                  <c:v>3.9997851329535372E-2</c:v>
                </c:pt>
                <c:pt idx="911">
                  <c:v>6.3174948871909109E-3</c:v>
                </c:pt>
                <c:pt idx="912">
                  <c:v>6.1723851038046895E-2</c:v>
                </c:pt>
                <c:pt idx="913">
                  <c:v>2.1738490788573372E-2</c:v>
                </c:pt>
                <c:pt idx="914">
                  <c:v>8.0202443484408192E-2</c:v>
                </c:pt>
                <c:pt idx="915">
                  <c:v>4.6212832523123915E-2</c:v>
                </c:pt>
                <c:pt idx="916">
                  <c:v>6.5797666695184276E-2</c:v>
                </c:pt>
                <c:pt idx="917">
                  <c:v>6.4519466235990031E-2</c:v>
                </c:pt>
                <c:pt idx="918">
                  <c:v>-1.7722016161702214E-2</c:v>
                </c:pt>
                <c:pt idx="919">
                  <c:v>2.6626855241695502E-2</c:v>
                </c:pt>
                <c:pt idx="920">
                  <c:v>6.412549560215286E-2</c:v>
                </c:pt>
                <c:pt idx="921">
                  <c:v>5.0643313567774406E-2</c:v>
                </c:pt>
                <c:pt idx="922">
                  <c:v>2.8762549393236192E-2</c:v>
                </c:pt>
                <c:pt idx="923">
                  <c:v>4.5530536265556698E-2</c:v>
                </c:pt>
                <c:pt idx="924">
                  <c:v>3.7624946793235026E-2</c:v>
                </c:pt>
                <c:pt idx="925">
                  <c:v>3.5443870682877687E-2</c:v>
                </c:pt>
                <c:pt idx="926">
                  <c:v>2.0995545772310109E-2</c:v>
                </c:pt>
                <c:pt idx="927">
                  <c:v>1.761953493956625E-2</c:v>
                </c:pt>
                <c:pt idx="928">
                  <c:v>4.3501068084360384E-2</c:v>
                </c:pt>
                <c:pt idx="929">
                  <c:v>3.8134543538954624E-2</c:v>
                </c:pt>
                <c:pt idx="930">
                  <c:v>5.2872659221137042E-2</c:v>
                </c:pt>
                <c:pt idx="931">
                  <c:v>3.1951686299543702E-2</c:v>
                </c:pt>
                <c:pt idx="932">
                  <c:v>4.0773430494269292E-2</c:v>
                </c:pt>
                <c:pt idx="933">
                  <c:v>4.8833246108682893E-2</c:v>
                </c:pt>
                <c:pt idx="934">
                  <c:v>3.150998669734939E-2</c:v>
                </c:pt>
                <c:pt idx="935">
                  <c:v>3.2105853784277549E-2</c:v>
                </c:pt>
                <c:pt idx="936">
                  <c:v>1.4902937471814148E-2</c:v>
                </c:pt>
                <c:pt idx="937">
                  <c:v>1.0722833183889335E-2</c:v>
                </c:pt>
                <c:pt idx="938">
                  <c:v>3.6333399342242778E-2</c:v>
                </c:pt>
                <c:pt idx="939">
                  <c:v>4.1843924624276774E-2</c:v>
                </c:pt>
                <c:pt idx="940">
                  <c:v>2.2166642847519569E-2</c:v>
                </c:pt>
                <c:pt idx="941">
                  <c:v>2.6303220915003145E-2</c:v>
                </c:pt>
                <c:pt idx="942">
                  <c:v>3.6819393030063097E-2</c:v>
                </c:pt>
                <c:pt idx="943">
                  <c:v>5.0260358912976422E-2</c:v>
                </c:pt>
                <c:pt idx="944">
                  <c:v>1.9768788705750495E-2</c:v>
                </c:pt>
                <c:pt idx="945">
                  <c:v>1.5450354670377919E-2</c:v>
                </c:pt>
                <c:pt idx="946">
                  <c:v>6.4313739741916898E-2</c:v>
                </c:pt>
                <c:pt idx="947">
                  <c:v>3.0895013373203106E-2</c:v>
                </c:pt>
                <c:pt idx="948">
                  <c:v>1.5538236702058228E-2</c:v>
                </c:pt>
                <c:pt idx="949">
                  <c:v>3.488938072296488E-2</c:v>
                </c:pt>
                <c:pt idx="950">
                  <c:v>3.7935524793491382E-2</c:v>
                </c:pt>
                <c:pt idx="951">
                  <c:v>4.4888387152421494E-2</c:v>
                </c:pt>
                <c:pt idx="952">
                  <c:v>3.5784449665976048E-2</c:v>
                </c:pt>
                <c:pt idx="953">
                  <c:v>5.1864293650142557E-2</c:v>
                </c:pt>
                <c:pt idx="954">
                  <c:v>2.0866775711471774E-2</c:v>
                </c:pt>
                <c:pt idx="955">
                  <c:v>4.2932637583901645E-2</c:v>
                </c:pt>
                <c:pt idx="956">
                  <c:v>-3.3896396162337084E-2</c:v>
                </c:pt>
                <c:pt idx="957">
                  <c:v>4.3986004428299808E-2</c:v>
                </c:pt>
                <c:pt idx="958">
                  <c:v>2.4301952302582919E-2</c:v>
                </c:pt>
                <c:pt idx="959">
                  <c:v>4.1572411031896017E-2</c:v>
                </c:pt>
                <c:pt idx="960">
                  <c:v>2.2986673086518472E-2</c:v>
                </c:pt>
                <c:pt idx="961">
                  <c:v>2.6968584648098037E-2</c:v>
                </c:pt>
                <c:pt idx="962">
                  <c:v>2.1072634414145419E-2</c:v>
                </c:pt>
                <c:pt idx="963">
                  <c:v>1.9531569905553603E-2</c:v>
                </c:pt>
                <c:pt idx="964">
                  <c:v>3.5649936477001098E-2</c:v>
                </c:pt>
                <c:pt idx="965">
                  <c:v>4.0185675413345834E-2</c:v>
                </c:pt>
                <c:pt idx="966">
                  <c:v>3.8323415504021519E-2</c:v>
                </c:pt>
                <c:pt idx="967">
                  <c:v>4.5057187792207465E-2</c:v>
                </c:pt>
                <c:pt idx="968">
                  <c:v>3.7834828696109213E-2</c:v>
                </c:pt>
                <c:pt idx="969">
                  <c:v>1.7385727365782699E-2</c:v>
                </c:pt>
                <c:pt idx="970">
                  <c:v>4.0537589223637482E-2</c:v>
                </c:pt>
                <c:pt idx="971">
                  <c:v>3.809738908303828E-2</c:v>
                </c:pt>
                <c:pt idx="972">
                  <c:v>1.7000116262714471E-2</c:v>
                </c:pt>
                <c:pt idx="973">
                  <c:v>4.7471886540407127E-2</c:v>
                </c:pt>
                <c:pt idx="974">
                  <c:v>4.4691068759278529E-2</c:v>
                </c:pt>
                <c:pt idx="975">
                  <c:v>3.559777288190169E-2</c:v>
                </c:pt>
                <c:pt idx="976">
                  <c:v>3.8266191804496863E-2</c:v>
                </c:pt>
                <c:pt idx="977">
                  <c:v>4.502861666467517E-2</c:v>
                </c:pt>
                <c:pt idx="978">
                  <c:v>-2.6973850571874181E-3</c:v>
                </c:pt>
                <c:pt idx="979">
                  <c:v>2.8871847842143694E-2</c:v>
                </c:pt>
                <c:pt idx="980">
                  <c:v>4.5817514172020957E-2</c:v>
                </c:pt>
                <c:pt idx="981">
                  <c:v>4.7255570983701034E-2</c:v>
                </c:pt>
                <c:pt idx="982">
                  <c:v>3.4167179388346902E-2</c:v>
                </c:pt>
                <c:pt idx="983">
                  <c:v>-1.6340241251531218E-2</c:v>
                </c:pt>
                <c:pt idx="984">
                  <c:v>3.1934288308872461E-2</c:v>
                </c:pt>
                <c:pt idx="985">
                  <c:v>5.501259456791896E-2</c:v>
                </c:pt>
                <c:pt idx="986">
                  <c:v>3.2186229869918925E-2</c:v>
                </c:pt>
                <c:pt idx="987">
                  <c:v>3.5940389446364129E-2</c:v>
                </c:pt>
                <c:pt idx="988">
                  <c:v>2.9355816447847793E-2</c:v>
                </c:pt>
                <c:pt idx="989">
                  <c:v>4.0494554919254355E-2</c:v>
                </c:pt>
                <c:pt idx="990">
                  <c:v>5.0072498066302984E-2</c:v>
                </c:pt>
                <c:pt idx="991">
                  <c:v>4.0994094671259695E-2</c:v>
                </c:pt>
                <c:pt idx="992">
                  <c:v>3.3504188907907739E-2</c:v>
                </c:pt>
                <c:pt idx="993">
                  <c:v>3.4904117780993893E-2</c:v>
                </c:pt>
                <c:pt idx="994">
                  <c:v>-8.9797333211425467E-3</c:v>
                </c:pt>
                <c:pt idx="995">
                  <c:v>2.3492141865678384E-2</c:v>
                </c:pt>
                <c:pt idx="996">
                  <c:v>6.11745821371521E-2</c:v>
                </c:pt>
                <c:pt idx="997">
                  <c:v>4.3943791951075895E-2</c:v>
                </c:pt>
                <c:pt idx="998">
                  <c:v>2.4969685366128758E-2</c:v>
                </c:pt>
                <c:pt idx="999">
                  <c:v>-8.3222723771863016E-3</c:v>
                </c:pt>
              </c:numCache>
            </c:numRef>
          </c:xVal>
          <c:yVal>
            <c:numRef>
              <c:f>simulation!$G$8:$G$1007</c:f>
              <c:numCache>
                <c:formatCode>General</c:formatCode>
                <c:ptCount val="1000"/>
                <c:pt idx="0">
                  <c:v>124.26736241701656</c:v>
                </c:pt>
                <c:pt idx="1">
                  <c:v>299.48431243283267</c:v>
                </c:pt>
                <c:pt idx="2">
                  <c:v>165.09877192481872</c:v>
                </c:pt>
                <c:pt idx="3">
                  <c:v>258.69510986393652</c:v>
                </c:pt>
                <c:pt idx="4">
                  <c:v>92.288985859118839</c:v>
                </c:pt>
                <c:pt idx="5">
                  <c:v>191.43589224624156</c:v>
                </c:pt>
                <c:pt idx="6">
                  <c:v>305.16869222105379</c:v>
                </c:pt>
                <c:pt idx="7">
                  <c:v>160.71732061751027</c:v>
                </c:pt>
                <c:pt idx="8">
                  <c:v>107.58268155752739</c:v>
                </c:pt>
                <c:pt idx="9">
                  <c:v>222.97260689014001</c:v>
                </c:pt>
                <c:pt idx="10">
                  <c:v>185.37148879291271</c:v>
                </c:pt>
                <c:pt idx="11">
                  <c:v>278.24219176093902</c:v>
                </c:pt>
                <c:pt idx="12">
                  <c:v>273.69376873334113</c:v>
                </c:pt>
                <c:pt idx="13">
                  <c:v>228.71295071816348</c:v>
                </c:pt>
                <c:pt idx="14">
                  <c:v>269.33218031685828</c:v>
                </c:pt>
                <c:pt idx="15">
                  <c:v>108.62686616112478</c:v>
                </c:pt>
                <c:pt idx="16">
                  <c:v>265.02355706241724</c:v>
                </c:pt>
                <c:pt idx="17">
                  <c:v>296.976242111803</c:v>
                </c:pt>
                <c:pt idx="18">
                  <c:v>180.69753655322347</c:v>
                </c:pt>
                <c:pt idx="19">
                  <c:v>268.59408158339647</c:v>
                </c:pt>
                <c:pt idx="20">
                  <c:v>208.13360516127432</c:v>
                </c:pt>
                <c:pt idx="21">
                  <c:v>187.87295737934619</c:v>
                </c:pt>
                <c:pt idx="22">
                  <c:v>201.04284707446277</c:v>
                </c:pt>
                <c:pt idx="23">
                  <c:v>237.79763134408495</c:v>
                </c:pt>
                <c:pt idx="24">
                  <c:v>306.50821533090129</c:v>
                </c:pt>
                <c:pt idx="25">
                  <c:v>251.32398427308726</c:v>
                </c:pt>
                <c:pt idx="26">
                  <c:v>287.13411302713212</c:v>
                </c:pt>
                <c:pt idx="27">
                  <c:v>171.46168668066457</c:v>
                </c:pt>
                <c:pt idx="28">
                  <c:v>182.25408248664462</c:v>
                </c:pt>
                <c:pt idx="29">
                  <c:v>317.28898379435122</c:v>
                </c:pt>
                <c:pt idx="30">
                  <c:v>271.18290374836215</c:v>
                </c:pt>
                <c:pt idx="31">
                  <c:v>140.51426763898053</c:v>
                </c:pt>
                <c:pt idx="32">
                  <c:v>243.06907494876214</c:v>
                </c:pt>
                <c:pt idx="33">
                  <c:v>268.01209337637556</c:v>
                </c:pt>
                <c:pt idx="34">
                  <c:v>208.62907944217659</c:v>
                </c:pt>
                <c:pt idx="35">
                  <c:v>351.45509664118435</c:v>
                </c:pt>
                <c:pt idx="36">
                  <c:v>138.70880183614281</c:v>
                </c:pt>
                <c:pt idx="37">
                  <c:v>284.95103041392576</c:v>
                </c:pt>
                <c:pt idx="38">
                  <c:v>102.96886390584768</c:v>
                </c:pt>
                <c:pt idx="39">
                  <c:v>-8.2439846364941332</c:v>
                </c:pt>
                <c:pt idx="40">
                  <c:v>317.67552389753473</c:v>
                </c:pt>
                <c:pt idx="41">
                  <c:v>180.50272932691587</c:v>
                </c:pt>
                <c:pt idx="42">
                  <c:v>353.40382221073014</c:v>
                </c:pt>
                <c:pt idx="43">
                  <c:v>225.96080967085436</c:v>
                </c:pt>
                <c:pt idx="44">
                  <c:v>211.57577086684614</c:v>
                </c:pt>
                <c:pt idx="45">
                  <c:v>193.32061828577571</c:v>
                </c:pt>
                <c:pt idx="46">
                  <c:v>168.37704706408476</c:v>
                </c:pt>
                <c:pt idx="47">
                  <c:v>324.95545548274458</c:v>
                </c:pt>
                <c:pt idx="48">
                  <c:v>187.56870966687347</c:v>
                </c:pt>
                <c:pt idx="49">
                  <c:v>192.71006398014651</c:v>
                </c:pt>
                <c:pt idx="50">
                  <c:v>251.82261240610023</c:v>
                </c:pt>
                <c:pt idx="51">
                  <c:v>343.27182956817342</c:v>
                </c:pt>
                <c:pt idx="52">
                  <c:v>129.61118550724495</c:v>
                </c:pt>
                <c:pt idx="53">
                  <c:v>343.67934889421304</c:v>
                </c:pt>
                <c:pt idx="54">
                  <c:v>233.29731582788008</c:v>
                </c:pt>
                <c:pt idx="55">
                  <c:v>219.88220002717935</c:v>
                </c:pt>
                <c:pt idx="56">
                  <c:v>123.8741509471256</c:v>
                </c:pt>
                <c:pt idx="57">
                  <c:v>165.45932643847118</c:v>
                </c:pt>
                <c:pt idx="58">
                  <c:v>25.980914378520538</c:v>
                </c:pt>
                <c:pt idx="59">
                  <c:v>318.47682353312848</c:v>
                </c:pt>
                <c:pt idx="60">
                  <c:v>150.45783804616804</c:v>
                </c:pt>
                <c:pt idx="61">
                  <c:v>194.54996127635968</c:v>
                </c:pt>
                <c:pt idx="62">
                  <c:v>308.03188031080936</c:v>
                </c:pt>
                <c:pt idx="63">
                  <c:v>272.62559309117205</c:v>
                </c:pt>
                <c:pt idx="64">
                  <c:v>358.51192076411826</c:v>
                </c:pt>
                <c:pt idx="65">
                  <c:v>322.64842483991379</c:v>
                </c:pt>
                <c:pt idx="66">
                  <c:v>233.66645783954664</c:v>
                </c:pt>
                <c:pt idx="67">
                  <c:v>289.17611659559407</c:v>
                </c:pt>
                <c:pt idx="68">
                  <c:v>105.78227376161885</c:v>
                </c:pt>
                <c:pt idx="69">
                  <c:v>157.8337356603588</c:v>
                </c:pt>
                <c:pt idx="70">
                  <c:v>299.9553275356011</c:v>
                </c:pt>
                <c:pt idx="71">
                  <c:v>115.20579410106438</c:v>
                </c:pt>
                <c:pt idx="72">
                  <c:v>183.15471628713567</c:v>
                </c:pt>
                <c:pt idx="73">
                  <c:v>214.68358587335024</c:v>
                </c:pt>
                <c:pt idx="74">
                  <c:v>101.66989552205632</c:v>
                </c:pt>
                <c:pt idx="75">
                  <c:v>355.4788622006381</c:v>
                </c:pt>
                <c:pt idx="76">
                  <c:v>197.1734376411041</c:v>
                </c:pt>
                <c:pt idx="77">
                  <c:v>197.93850699235918</c:v>
                </c:pt>
                <c:pt idx="78">
                  <c:v>231.0036481168645</c:v>
                </c:pt>
                <c:pt idx="79">
                  <c:v>242.65254974553318</c:v>
                </c:pt>
                <c:pt idx="80">
                  <c:v>240.66871957135663</c:v>
                </c:pt>
                <c:pt idx="81">
                  <c:v>222.82942268301122</c:v>
                </c:pt>
                <c:pt idx="82">
                  <c:v>257.99515417236762</c:v>
                </c:pt>
                <c:pt idx="83">
                  <c:v>-8.7259206436683598</c:v>
                </c:pt>
                <c:pt idx="84">
                  <c:v>235.33483600249747</c:v>
                </c:pt>
                <c:pt idx="85">
                  <c:v>127.51745401015432</c:v>
                </c:pt>
                <c:pt idx="86">
                  <c:v>244.80923214696668</c:v>
                </c:pt>
                <c:pt idx="87">
                  <c:v>172.1830973331962</c:v>
                </c:pt>
                <c:pt idx="88">
                  <c:v>235.32948401262911</c:v>
                </c:pt>
                <c:pt idx="89">
                  <c:v>296.58955977523146</c:v>
                </c:pt>
                <c:pt idx="90">
                  <c:v>384.52191352141381</c:v>
                </c:pt>
                <c:pt idx="91">
                  <c:v>176.52246779505731</c:v>
                </c:pt>
                <c:pt idx="92">
                  <c:v>167.92237991731599</c:v>
                </c:pt>
                <c:pt idx="93">
                  <c:v>-11.366613923604746</c:v>
                </c:pt>
                <c:pt idx="94">
                  <c:v>176.70880842042607</c:v>
                </c:pt>
                <c:pt idx="95">
                  <c:v>291.64753545739222</c:v>
                </c:pt>
                <c:pt idx="96">
                  <c:v>275.98399936133501</c:v>
                </c:pt>
                <c:pt idx="97">
                  <c:v>29.866337580373511</c:v>
                </c:pt>
                <c:pt idx="98">
                  <c:v>270.06984302912315</c:v>
                </c:pt>
                <c:pt idx="99">
                  <c:v>279.50695115620692</c:v>
                </c:pt>
                <c:pt idx="100">
                  <c:v>264.17826397456156</c:v>
                </c:pt>
                <c:pt idx="101">
                  <c:v>201.26671598248868</c:v>
                </c:pt>
                <c:pt idx="102">
                  <c:v>200.45839083442479</c:v>
                </c:pt>
                <c:pt idx="103">
                  <c:v>320.58578035991741</c:v>
                </c:pt>
                <c:pt idx="104">
                  <c:v>304.19898836630819</c:v>
                </c:pt>
                <c:pt idx="105">
                  <c:v>202.35305624286048</c:v>
                </c:pt>
                <c:pt idx="106">
                  <c:v>187.20256856292326</c:v>
                </c:pt>
                <c:pt idx="107">
                  <c:v>171.34113377143149</c:v>
                </c:pt>
                <c:pt idx="108">
                  <c:v>195.6118825169433</c:v>
                </c:pt>
                <c:pt idx="109">
                  <c:v>291.39233296406746</c:v>
                </c:pt>
                <c:pt idx="110">
                  <c:v>158.67480766007066</c:v>
                </c:pt>
                <c:pt idx="111">
                  <c:v>274.41629121965525</c:v>
                </c:pt>
                <c:pt idx="112">
                  <c:v>132.82519893542485</c:v>
                </c:pt>
                <c:pt idx="113">
                  <c:v>216.86368901347305</c:v>
                </c:pt>
                <c:pt idx="114">
                  <c:v>146.17490563422689</c:v>
                </c:pt>
                <c:pt idx="115">
                  <c:v>203.23679798271041</c:v>
                </c:pt>
                <c:pt idx="116">
                  <c:v>174.04330310108344</c:v>
                </c:pt>
                <c:pt idx="117">
                  <c:v>109.04668385214609</c:v>
                </c:pt>
                <c:pt idx="118">
                  <c:v>185.16794761950587</c:v>
                </c:pt>
                <c:pt idx="119">
                  <c:v>165.47725750814789</c:v>
                </c:pt>
                <c:pt idx="120">
                  <c:v>265.39560898737545</c:v>
                </c:pt>
                <c:pt idx="121">
                  <c:v>352.24684352624899</c:v>
                </c:pt>
                <c:pt idx="122">
                  <c:v>264.22938176773459</c:v>
                </c:pt>
                <c:pt idx="123">
                  <c:v>212.64517409466862</c:v>
                </c:pt>
                <c:pt idx="124">
                  <c:v>269.75822838684689</c:v>
                </c:pt>
                <c:pt idx="125">
                  <c:v>195.95653994215536</c:v>
                </c:pt>
                <c:pt idx="126">
                  <c:v>162.19601886081</c:v>
                </c:pt>
                <c:pt idx="127">
                  <c:v>255.95938348734853</c:v>
                </c:pt>
                <c:pt idx="128">
                  <c:v>149.59406202746322</c:v>
                </c:pt>
                <c:pt idx="129">
                  <c:v>195.76902673549921</c:v>
                </c:pt>
                <c:pt idx="130">
                  <c:v>189.76475883361127</c:v>
                </c:pt>
                <c:pt idx="131">
                  <c:v>163.11063656338956</c:v>
                </c:pt>
                <c:pt idx="132">
                  <c:v>219.23124612362153</c:v>
                </c:pt>
                <c:pt idx="133">
                  <c:v>291.02166137675522</c:v>
                </c:pt>
                <c:pt idx="134">
                  <c:v>239.13255821393614</c:v>
                </c:pt>
                <c:pt idx="135">
                  <c:v>161.98751949701182</c:v>
                </c:pt>
                <c:pt idx="136">
                  <c:v>183.13775025856376</c:v>
                </c:pt>
                <c:pt idx="137">
                  <c:v>153.69290930453644</c:v>
                </c:pt>
                <c:pt idx="138">
                  <c:v>322.77902335421459</c:v>
                </c:pt>
                <c:pt idx="139">
                  <c:v>209.81254976095079</c:v>
                </c:pt>
                <c:pt idx="140">
                  <c:v>296.78733792570711</c:v>
                </c:pt>
                <c:pt idx="141">
                  <c:v>165.84366645360569</c:v>
                </c:pt>
                <c:pt idx="142">
                  <c:v>83.268245126568218</c:v>
                </c:pt>
                <c:pt idx="143">
                  <c:v>44.216771024788613</c:v>
                </c:pt>
                <c:pt idx="144">
                  <c:v>237.14309818149923</c:v>
                </c:pt>
                <c:pt idx="145">
                  <c:v>262.04827453384496</c:v>
                </c:pt>
                <c:pt idx="146">
                  <c:v>108.31648067563947</c:v>
                </c:pt>
                <c:pt idx="147">
                  <c:v>211.755534947657</c:v>
                </c:pt>
                <c:pt idx="148">
                  <c:v>270.47386016098972</c:v>
                </c:pt>
                <c:pt idx="149">
                  <c:v>273.28518325441837</c:v>
                </c:pt>
                <c:pt idx="150">
                  <c:v>195.20562681559386</c:v>
                </c:pt>
                <c:pt idx="151">
                  <c:v>160.33567023506475</c:v>
                </c:pt>
                <c:pt idx="152">
                  <c:v>203.33760976574922</c:v>
                </c:pt>
                <c:pt idx="153">
                  <c:v>297.76125856877115</c:v>
                </c:pt>
                <c:pt idx="154">
                  <c:v>178.97917660382882</c:v>
                </c:pt>
                <c:pt idx="155">
                  <c:v>205.5410973790531</c:v>
                </c:pt>
                <c:pt idx="156">
                  <c:v>275.99960419441413</c:v>
                </c:pt>
                <c:pt idx="157">
                  <c:v>404.95339733245419</c:v>
                </c:pt>
                <c:pt idx="158">
                  <c:v>259.82938888961507</c:v>
                </c:pt>
                <c:pt idx="159">
                  <c:v>63.812085040339298</c:v>
                </c:pt>
                <c:pt idx="160">
                  <c:v>336.89041453482423</c:v>
                </c:pt>
                <c:pt idx="161">
                  <c:v>151.71574194003915</c:v>
                </c:pt>
                <c:pt idx="162">
                  <c:v>137.55908149143943</c:v>
                </c:pt>
                <c:pt idx="163">
                  <c:v>91.597905906270171</c:v>
                </c:pt>
                <c:pt idx="164">
                  <c:v>140.8601206387757</c:v>
                </c:pt>
                <c:pt idx="165">
                  <c:v>83.498487260836555</c:v>
                </c:pt>
                <c:pt idx="166">
                  <c:v>93.739556981796341</c:v>
                </c:pt>
                <c:pt idx="167">
                  <c:v>269.65551008007606</c:v>
                </c:pt>
                <c:pt idx="168">
                  <c:v>166.8103585372337</c:v>
                </c:pt>
                <c:pt idx="169">
                  <c:v>302.08094436114334</c:v>
                </c:pt>
                <c:pt idx="170">
                  <c:v>187.64545967470622</c:v>
                </c:pt>
                <c:pt idx="171">
                  <c:v>193.96411211716259</c:v>
                </c:pt>
                <c:pt idx="172">
                  <c:v>114.52674496857435</c:v>
                </c:pt>
                <c:pt idx="173">
                  <c:v>99.901719395595137</c:v>
                </c:pt>
                <c:pt idx="174">
                  <c:v>214.00497341646769</c:v>
                </c:pt>
                <c:pt idx="175">
                  <c:v>266.19808370579267</c:v>
                </c:pt>
                <c:pt idx="176">
                  <c:v>251.58937744161085</c:v>
                </c:pt>
                <c:pt idx="177">
                  <c:v>77.408847712657007</c:v>
                </c:pt>
                <c:pt idx="178">
                  <c:v>294.91202965047705</c:v>
                </c:pt>
                <c:pt idx="179">
                  <c:v>201.71346873151924</c:v>
                </c:pt>
                <c:pt idx="180">
                  <c:v>213.06692541524171</c:v>
                </c:pt>
                <c:pt idx="181">
                  <c:v>148.33459973492063</c:v>
                </c:pt>
                <c:pt idx="182">
                  <c:v>325.01058257464683</c:v>
                </c:pt>
                <c:pt idx="183">
                  <c:v>296.05738990292593</c:v>
                </c:pt>
                <c:pt idx="184">
                  <c:v>232.24498840807792</c:v>
                </c:pt>
                <c:pt idx="185">
                  <c:v>267.29017941739585</c:v>
                </c:pt>
                <c:pt idx="186">
                  <c:v>310.25193228030548</c:v>
                </c:pt>
                <c:pt idx="187">
                  <c:v>41.334467134252918</c:v>
                </c:pt>
                <c:pt idx="188">
                  <c:v>202.76353151528747</c:v>
                </c:pt>
                <c:pt idx="189">
                  <c:v>292.98796372531069</c:v>
                </c:pt>
                <c:pt idx="190">
                  <c:v>133.91288496354173</c:v>
                </c:pt>
                <c:pt idx="191">
                  <c:v>93.067280626619322</c:v>
                </c:pt>
                <c:pt idx="192">
                  <c:v>98.6594097148336</c:v>
                </c:pt>
                <c:pt idx="193">
                  <c:v>222.49440260546544</c:v>
                </c:pt>
                <c:pt idx="194">
                  <c:v>267.77980332730658</c:v>
                </c:pt>
                <c:pt idx="195">
                  <c:v>390.22125302144559</c:v>
                </c:pt>
                <c:pt idx="196">
                  <c:v>331.68499597236223</c:v>
                </c:pt>
                <c:pt idx="197">
                  <c:v>275.51653805022579</c:v>
                </c:pt>
                <c:pt idx="198">
                  <c:v>232.13108662236482</c:v>
                </c:pt>
                <c:pt idx="199">
                  <c:v>355.32599359729284</c:v>
                </c:pt>
                <c:pt idx="200">
                  <c:v>120.24852730177736</c:v>
                </c:pt>
                <c:pt idx="201">
                  <c:v>70.333185174069513</c:v>
                </c:pt>
                <c:pt idx="202">
                  <c:v>200.7142368563218</c:v>
                </c:pt>
                <c:pt idx="203">
                  <c:v>164.52859270276167</c:v>
                </c:pt>
                <c:pt idx="204">
                  <c:v>220.29345954466407</c:v>
                </c:pt>
                <c:pt idx="205">
                  <c:v>247.65808107571138</c:v>
                </c:pt>
                <c:pt idx="206">
                  <c:v>237.5056070360406</c:v>
                </c:pt>
                <c:pt idx="207">
                  <c:v>90.281433221134648</c:v>
                </c:pt>
                <c:pt idx="208">
                  <c:v>186.00650074247096</c:v>
                </c:pt>
                <c:pt idx="209">
                  <c:v>170.03776727341028</c:v>
                </c:pt>
                <c:pt idx="210">
                  <c:v>95.91736050954205</c:v>
                </c:pt>
                <c:pt idx="211">
                  <c:v>307.75449009114163</c:v>
                </c:pt>
                <c:pt idx="212">
                  <c:v>175.53570174629203</c:v>
                </c:pt>
                <c:pt idx="213">
                  <c:v>297.12383910083372</c:v>
                </c:pt>
                <c:pt idx="214">
                  <c:v>305.99270576436538</c:v>
                </c:pt>
                <c:pt idx="215">
                  <c:v>289.23966435252805</c:v>
                </c:pt>
                <c:pt idx="216">
                  <c:v>325.45598475007864</c:v>
                </c:pt>
                <c:pt idx="217">
                  <c:v>211.15039971469741</c:v>
                </c:pt>
                <c:pt idx="218">
                  <c:v>195.98072020149266</c:v>
                </c:pt>
                <c:pt idx="219">
                  <c:v>228.67889781292251</c:v>
                </c:pt>
                <c:pt idx="220">
                  <c:v>118.67284564039801</c:v>
                </c:pt>
                <c:pt idx="221">
                  <c:v>147.75720978687605</c:v>
                </c:pt>
                <c:pt idx="222">
                  <c:v>200.68990288650821</c:v>
                </c:pt>
                <c:pt idx="223">
                  <c:v>219.48168485128554</c:v>
                </c:pt>
                <c:pt idx="224">
                  <c:v>178.63105704593909</c:v>
                </c:pt>
                <c:pt idx="225">
                  <c:v>128.21444252763104</c:v>
                </c:pt>
                <c:pt idx="226">
                  <c:v>242.09202972322237</c:v>
                </c:pt>
                <c:pt idx="227">
                  <c:v>286.9793661994845</c:v>
                </c:pt>
                <c:pt idx="228">
                  <c:v>121.74451036395476</c:v>
                </c:pt>
                <c:pt idx="229">
                  <c:v>239.17138914812313</c:v>
                </c:pt>
                <c:pt idx="230">
                  <c:v>295.34280217739433</c:v>
                </c:pt>
                <c:pt idx="231">
                  <c:v>150.06811907600422</c:v>
                </c:pt>
                <c:pt idx="232">
                  <c:v>338.85555020823813</c:v>
                </c:pt>
                <c:pt idx="233">
                  <c:v>161.63933039292169</c:v>
                </c:pt>
                <c:pt idx="234">
                  <c:v>228.15440922087873</c:v>
                </c:pt>
                <c:pt idx="235">
                  <c:v>249.55307056441598</c:v>
                </c:pt>
                <c:pt idx="236">
                  <c:v>252.23792754726674</c:v>
                </c:pt>
                <c:pt idx="237">
                  <c:v>358.70225143039715</c:v>
                </c:pt>
                <c:pt idx="238">
                  <c:v>123.05640489111101</c:v>
                </c:pt>
                <c:pt idx="239">
                  <c:v>242.5832014579828</c:v>
                </c:pt>
                <c:pt idx="240">
                  <c:v>310.73525723945204</c:v>
                </c:pt>
                <c:pt idx="241">
                  <c:v>198.89392289743409</c:v>
                </c:pt>
                <c:pt idx="242">
                  <c:v>334.33989760392433</c:v>
                </c:pt>
                <c:pt idx="243">
                  <c:v>25.397695150259096</c:v>
                </c:pt>
                <c:pt idx="244">
                  <c:v>193.44442939668807</c:v>
                </c:pt>
                <c:pt idx="245">
                  <c:v>151.7002234251886</c:v>
                </c:pt>
                <c:pt idx="246">
                  <c:v>130.86554627573787</c:v>
                </c:pt>
                <c:pt idx="247">
                  <c:v>100.67753839201032</c:v>
                </c:pt>
                <c:pt idx="248">
                  <c:v>240.1875926749417</c:v>
                </c:pt>
                <c:pt idx="249">
                  <c:v>268.85632612488916</c:v>
                </c:pt>
                <c:pt idx="250">
                  <c:v>256.5731232861508</c:v>
                </c:pt>
                <c:pt idx="251">
                  <c:v>231.18023234378779</c:v>
                </c:pt>
                <c:pt idx="252">
                  <c:v>342.37047352992158</c:v>
                </c:pt>
                <c:pt idx="253">
                  <c:v>324.25178684922867</c:v>
                </c:pt>
                <c:pt idx="254">
                  <c:v>88.904466248535755</c:v>
                </c:pt>
                <c:pt idx="255">
                  <c:v>235.66699886319111</c:v>
                </c:pt>
                <c:pt idx="256">
                  <c:v>237.83076848756536</c:v>
                </c:pt>
                <c:pt idx="257">
                  <c:v>152.49095490643595</c:v>
                </c:pt>
                <c:pt idx="258">
                  <c:v>176.45622062546317</c:v>
                </c:pt>
                <c:pt idx="259">
                  <c:v>135.53026000327009</c:v>
                </c:pt>
                <c:pt idx="260">
                  <c:v>292.4275361860964</c:v>
                </c:pt>
                <c:pt idx="261">
                  <c:v>313.74225073399793</c:v>
                </c:pt>
                <c:pt idx="262">
                  <c:v>226.08291056615053</c:v>
                </c:pt>
                <c:pt idx="263">
                  <c:v>318.28871800822526</c:v>
                </c:pt>
                <c:pt idx="264">
                  <c:v>197.9320694382659</c:v>
                </c:pt>
                <c:pt idx="265">
                  <c:v>267.2307383710322</c:v>
                </c:pt>
                <c:pt idx="266">
                  <c:v>13.948919492697314</c:v>
                </c:pt>
                <c:pt idx="267">
                  <c:v>253.20051490348123</c:v>
                </c:pt>
                <c:pt idx="268">
                  <c:v>314.16673685553906</c:v>
                </c:pt>
                <c:pt idx="269">
                  <c:v>77.936751699173328</c:v>
                </c:pt>
                <c:pt idx="270">
                  <c:v>165.20102984410551</c:v>
                </c:pt>
                <c:pt idx="271">
                  <c:v>196.59991518427705</c:v>
                </c:pt>
                <c:pt idx="272">
                  <c:v>148.90297300081511</c:v>
                </c:pt>
                <c:pt idx="273">
                  <c:v>163.36446659107969</c:v>
                </c:pt>
                <c:pt idx="274">
                  <c:v>242.59163914141027</c:v>
                </c:pt>
                <c:pt idx="275">
                  <c:v>142.23128836459</c:v>
                </c:pt>
                <c:pt idx="276">
                  <c:v>210.76774241448948</c:v>
                </c:pt>
                <c:pt idx="277">
                  <c:v>299.56792554245112</c:v>
                </c:pt>
                <c:pt idx="278">
                  <c:v>219.30322398039061</c:v>
                </c:pt>
                <c:pt idx="279">
                  <c:v>185.78730865715988</c:v>
                </c:pt>
                <c:pt idx="280">
                  <c:v>170.45361671844876</c:v>
                </c:pt>
                <c:pt idx="281">
                  <c:v>168.11622001908836</c:v>
                </c:pt>
                <c:pt idx="282">
                  <c:v>175.29126542595623</c:v>
                </c:pt>
                <c:pt idx="283">
                  <c:v>219.05825103271491</c:v>
                </c:pt>
                <c:pt idx="284">
                  <c:v>272.387522445184</c:v>
                </c:pt>
                <c:pt idx="285">
                  <c:v>382.72482609177678</c:v>
                </c:pt>
                <c:pt idx="286">
                  <c:v>181.75657368195971</c:v>
                </c:pt>
                <c:pt idx="287">
                  <c:v>256.97965805106287</c:v>
                </c:pt>
                <c:pt idx="288">
                  <c:v>150.8016687325362</c:v>
                </c:pt>
                <c:pt idx="289">
                  <c:v>205.19228147873582</c:v>
                </c:pt>
                <c:pt idx="290">
                  <c:v>240.22154916508225</c:v>
                </c:pt>
                <c:pt idx="291">
                  <c:v>170.87378501884814</c:v>
                </c:pt>
                <c:pt idx="292">
                  <c:v>106.66062440471796</c:v>
                </c:pt>
                <c:pt idx="293">
                  <c:v>204.03100338363947</c:v>
                </c:pt>
                <c:pt idx="294">
                  <c:v>151.50418272908064</c:v>
                </c:pt>
                <c:pt idx="295">
                  <c:v>383.3978684907961</c:v>
                </c:pt>
                <c:pt idx="296">
                  <c:v>201.31232175453988</c:v>
                </c:pt>
                <c:pt idx="297">
                  <c:v>95.412092696435138</c:v>
                </c:pt>
                <c:pt idx="298">
                  <c:v>160.94284250012788</c:v>
                </c:pt>
                <c:pt idx="299">
                  <c:v>225.03660123355075</c:v>
                </c:pt>
                <c:pt idx="300">
                  <c:v>254.65723091317341</c:v>
                </c:pt>
                <c:pt idx="301">
                  <c:v>278.91471803189052</c:v>
                </c:pt>
                <c:pt idx="302">
                  <c:v>210.95713540735233</c:v>
                </c:pt>
                <c:pt idx="303">
                  <c:v>249.68074563080518</c:v>
                </c:pt>
                <c:pt idx="304">
                  <c:v>354.8695196034314</c:v>
                </c:pt>
                <c:pt idx="305">
                  <c:v>320.70535019974341</c:v>
                </c:pt>
                <c:pt idx="306">
                  <c:v>259.07390992757428</c:v>
                </c:pt>
                <c:pt idx="307">
                  <c:v>220.11453795674606</c:v>
                </c:pt>
                <c:pt idx="308">
                  <c:v>210.19864967879403</c:v>
                </c:pt>
                <c:pt idx="309">
                  <c:v>191.39020020982207</c:v>
                </c:pt>
                <c:pt idx="310">
                  <c:v>186.99780346285479</c:v>
                </c:pt>
                <c:pt idx="311">
                  <c:v>262.13524875691292</c:v>
                </c:pt>
                <c:pt idx="312">
                  <c:v>206.65085018098762</c:v>
                </c:pt>
                <c:pt idx="313">
                  <c:v>192.14574253353931</c:v>
                </c:pt>
                <c:pt idx="314">
                  <c:v>339.0196599158262</c:v>
                </c:pt>
                <c:pt idx="315">
                  <c:v>237.07736900631426</c:v>
                </c:pt>
                <c:pt idx="316">
                  <c:v>71.90044484425016</c:v>
                </c:pt>
                <c:pt idx="317">
                  <c:v>299.17428603032022</c:v>
                </c:pt>
                <c:pt idx="318">
                  <c:v>90.589584541554359</c:v>
                </c:pt>
                <c:pt idx="319">
                  <c:v>286.52888644300765</c:v>
                </c:pt>
                <c:pt idx="320">
                  <c:v>236.11124568431842</c:v>
                </c:pt>
                <c:pt idx="321">
                  <c:v>303.55574853291182</c:v>
                </c:pt>
                <c:pt idx="322">
                  <c:v>276.54736333557594</c:v>
                </c:pt>
                <c:pt idx="323">
                  <c:v>182.02886204848983</c:v>
                </c:pt>
                <c:pt idx="324">
                  <c:v>170.60674520812609</c:v>
                </c:pt>
                <c:pt idx="325">
                  <c:v>211.08605220261597</c:v>
                </c:pt>
                <c:pt idx="326">
                  <c:v>99.892759740476322</c:v>
                </c:pt>
                <c:pt idx="327">
                  <c:v>343.44733279713546</c:v>
                </c:pt>
                <c:pt idx="328">
                  <c:v>108.89991711213224</c:v>
                </c:pt>
                <c:pt idx="329">
                  <c:v>176.66515928543959</c:v>
                </c:pt>
                <c:pt idx="330">
                  <c:v>274.46950228368951</c:v>
                </c:pt>
                <c:pt idx="331">
                  <c:v>286.67224324340714</c:v>
                </c:pt>
                <c:pt idx="332">
                  <c:v>253.07357219379264</c:v>
                </c:pt>
                <c:pt idx="333">
                  <c:v>214.74450764981884</c:v>
                </c:pt>
                <c:pt idx="334">
                  <c:v>158.86391006498161</c:v>
                </c:pt>
                <c:pt idx="335">
                  <c:v>296.24918348022766</c:v>
                </c:pt>
                <c:pt idx="336">
                  <c:v>341.09057334164754</c:v>
                </c:pt>
                <c:pt idx="337">
                  <c:v>151.24376152324476</c:v>
                </c:pt>
                <c:pt idx="338">
                  <c:v>214.30368023244228</c:v>
                </c:pt>
                <c:pt idx="339">
                  <c:v>155.97253872895089</c:v>
                </c:pt>
                <c:pt idx="340">
                  <c:v>208.52292132023285</c:v>
                </c:pt>
                <c:pt idx="341">
                  <c:v>296.86265088225991</c:v>
                </c:pt>
                <c:pt idx="342">
                  <c:v>131.42173567666032</c:v>
                </c:pt>
                <c:pt idx="343">
                  <c:v>285.98611978883127</c:v>
                </c:pt>
                <c:pt idx="344">
                  <c:v>271.68297435504064</c:v>
                </c:pt>
                <c:pt idx="345">
                  <c:v>161.27986498051177</c:v>
                </c:pt>
                <c:pt idx="346">
                  <c:v>238.04378166091919</c:v>
                </c:pt>
                <c:pt idx="347">
                  <c:v>292.62300786279593</c:v>
                </c:pt>
                <c:pt idx="348">
                  <c:v>156.37757709939615</c:v>
                </c:pt>
                <c:pt idx="349">
                  <c:v>365.26224982275016</c:v>
                </c:pt>
                <c:pt idx="350">
                  <c:v>279.09230530871355</c:v>
                </c:pt>
                <c:pt idx="351">
                  <c:v>252.72644608739938</c:v>
                </c:pt>
                <c:pt idx="352">
                  <c:v>178.17015702643403</c:v>
                </c:pt>
                <c:pt idx="353">
                  <c:v>312.01592375299515</c:v>
                </c:pt>
                <c:pt idx="354">
                  <c:v>180.09972633080906</c:v>
                </c:pt>
                <c:pt idx="355">
                  <c:v>178.21558027997162</c:v>
                </c:pt>
                <c:pt idx="356">
                  <c:v>180.49883638983374</c:v>
                </c:pt>
                <c:pt idx="357">
                  <c:v>207.06870242531659</c:v>
                </c:pt>
                <c:pt idx="358">
                  <c:v>155.12517865574409</c:v>
                </c:pt>
                <c:pt idx="359">
                  <c:v>201.000496844179</c:v>
                </c:pt>
                <c:pt idx="360">
                  <c:v>45.696279977542872</c:v>
                </c:pt>
                <c:pt idx="361">
                  <c:v>258.92590841280253</c:v>
                </c:pt>
                <c:pt idx="362">
                  <c:v>333.11971736139822</c:v>
                </c:pt>
                <c:pt idx="363">
                  <c:v>229.8290226145109</c:v>
                </c:pt>
                <c:pt idx="364">
                  <c:v>168.36786937017314</c:v>
                </c:pt>
                <c:pt idx="365">
                  <c:v>230.48101122607841</c:v>
                </c:pt>
                <c:pt idx="366">
                  <c:v>316.71381188861415</c:v>
                </c:pt>
                <c:pt idx="367">
                  <c:v>309.43924197780871</c:v>
                </c:pt>
                <c:pt idx="368">
                  <c:v>204.19818397245763</c:v>
                </c:pt>
                <c:pt idx="369">
                  <c:v>132.49327088553036</c:v>
                </c:pt>
                <c:pt idx="370">
                  <c:v>151.86853101139423</c:v>
                </c:pt>
                <c:pt idx="371">
                  <c:v>215.14648543327712</c:v>
                </c:pt>
                <c:pt idx="372">
                  <c:v>227.05646613753925</c:v>
                </c:pt>
                <c:pt idx="373">
                  <c:v>124.76861957270376</c:v>
                </c:pt>
                <c:pt idx="374">
                  <c:v>230.65198591686567</c:v>
                </c:pt>
                <c:pt idx="375">
                  <c:v>90.347766545139166</c:v>
                </c:pt>
                <c:pt idx="376">
                  <c:v>140.72384704446085</c:v>
                </c:pt>
                <c:pt idx="377">
                  <c:v>350.37896819418893</c:v>
                </c:pt>
                <c:pt idx="378">
                  <c:v>173.22693780351619</c:v>
                </c:pt>
                <c:pt idx="379">
                  <c:v>239.20032469903526</c:v>
                </c:pt>
                <c:pt idx="380">
                  <c:v>345.74609415280065</c:v>
                </c:pt>
                <c:pt idx="381">
                  <c:v>145.78820764159536</c:v>
                </c:pt>
                <c:pt idx="382">
                  <c:v>223.86151549670467</c:v>
                </c:pt>
                <c:pt idx="383">
                  <c:v>312.68825773313438</c:v>
                </c:pt>
                <c:pt idx="384">
                  <c:v>175.03528820139763</c:v>
                </c:pt>
                <c:pt idx="385">
                  <c:v>424.86202623509234</c:v>
                </c:pt>
                <c:pt idx="386">
                  <c:v>323.37415919282648</c:v>
                </c:pt>
                <c:pt idx="387">
                  <c:v>132.24955584674535</c:v>
                </c:pt>
                <c:pt idx="388">
                  <c:v>254.78722367675073</c:v>
                </c:pt>
                <c:pt idx="389">
                  <c:v>182.81558159196356</c:v>
                </c:pt>
                <c:pt idx="390">
                  <c:v>103.76724205271603</c:v>
                </c:pt>
                <c:pt idx="391">
                  <c:v>134.6842490085146</c:v>
                </c:pt>
                <c:pt idx="392">
                  <c:v>330.72966167318373</c:v>
                </c:pt>
                <c:pt idx="393">
                  <c:v>163.6178783184514</c:v>
                </c:pt>
                <c:pt idx="394">
                  <c:v>357.07907525868723</c:v>
                </c:pt>
                <c:pt idx="395">
                  <c:v>184.30944153492601</c:v>
                </c:pt>
                <c:pt idx="396">
                  <c:v>192.42386095709662</c:v>
                </c:pt>
                <c:pt idx="397">
                  <c:v>334.74139343698334</c:v>
                </c:pt>
                <c:pt idx="398">
                  <c:v>114.58703903737114</c:v>
                </c:pt>
                <c:pt idx="399">
                  <c:v>78.34199596860708</c:v>
                </c:pt>
                <c:pt idx="400">
                  <c:v>252.55003222457526</c:v>
                </c:pt>
                <c:pt idx="401">
                  <c:v>264.96296715434437</c:v>
                </c:pt>
                <c:pt idx="402">
                  <c:v>208.49707750763264</c:v>
                </c:pt>
                <c:pt idx="403">
                  <c:v>188.25232765577675</c:v>
                </c:pt>
                <c:pt idx="404">
                  <c:v>263.53572957714277</c:v>
                </c:pt>
                <c:pt idx="405">
                  <c:v>163.75222246934936</c:v>
                </c:pt>
                <c:pt idx="406">
                  <c:v>213.64423434501805</c:v>
                </c:pt>
                <c:pt idx="407">
                  <c:v>282.45540734557289</c:v>
                </c:pt>
                <c:pt idx="408">
                  <c:v>73.31459698166509</c:v>
                </c:pt>
                <c:pt idx="409">
                  <c:v>273.53108114053975</c:v>
                </c:pt>
                <c:pt idx="410">
                  <c:v>177.94577604507504</c:v>
                </c:pt>
                <c:pt idx="411">
                  <c:v>198.43221374166023</c:v>
                </c:pt>
                <c:pt idx="412">
                  <c:v>196.97315822216115</c:v>
                </c:pt>
                <c:pt idx="413">
                  <c:v>198.1626507634428</c:v>
                </c:pt>
                <c:pt idx="414">
                  <c:v>203.88796658846695</c:v>
                </c:pt>
                <c:pt idx="415">
                  <c:v>326.35863886035804</c:v>
                </c:pt>
                <c:pt idx="416">
                  <c:v>237.96362330915144</c:v>
                </c:pt>
                <c:pt idx="417">
                  <c:v>251.78518062221701</c:v>
                </c:pt>
                <c:pt idx="418">
                  <c:v>282.94207860442839</c:v>
                </c:pt>
                <c:pt idx="419">
                  <c:v>193.47938624855669</c:v>
                </c:pt>
                <c:pt idx="420">
                  <c:v>160.68828790165935</c:v>
                </c:pt>
                <c:pt idx="421">
                  <c:v>336.29441582955405</c:v>
                </c:pt>
                <c:pt idx="422">
                  <c:v>117.30663226052275</c:v>
                </c:pt>
                <c:pt idx="423">
                  <c:v>269.04479031651863</c:v>
                </c:pt>
                <c:pt idx="424">
                  <c:v>177.13674445756988</c:v>
                </c:pt>
                <c:pt idx="425">
                  <c:v>227.33226463329629</c:v>
                </c:pt>
                <c:pt idx="426">
                  <c:v>199.08955769971362</c:v>
                </c:pt>
                <c:pt idx="427">
                  <c:v>217.24133087919108</c:v>
                </c:pt>
                <c:pt idx="428">
                  <c:v>290.65843190122905</c:v>
                </c:pt>
                <c:pt idx="429">
                  <c:v>171.00654701940948</c:v>
                </c:pt>
                <c:pt idx="430">
                  <c:v>359.73425562702323</c:v>
                </c:pt>
                <c:pt idx="431">
                  <c:v>317.04131725289699</c:v>
                </c:pt>
                <c:pt idx="432">
                  <c:v>286.21897785527108</c:v>
                </c:pt>
                <c:pt idx="433">
                  <c:v>185.80395723391484</c:v>
                </c:pt>
                <c:pt idx="434">
                  <c:v>322.80600388517996</c:v>
                </c:pt>
                <c:pt idx="435">
                  <c:v>332.29195375592099</c:v>
                </c:pt>
                <c:pt idx="436">
                  <c:v>238.93571273110501</c:v>
                </c:pt>
                <c:pt idx="437">
                  <c:v>221.58654007809309</c:v>
                </c:pt>
                <c:pt idx="438">
                  <c:v>247.70588160183979</c:v>
                </c:pt>
                <c:pt idx="439">
                  <c:v>318.99153099054456</c:v>
                </c:pt>
                <c:pt idx="440">
                  <c:v>220.98753467218557</c:v>
                </c:pt>
                <c:pt idx="441">
                  <c:v>198.42603417533974</c:v>
                </c:pt>
                <c:pt idx="442">
                  <c:v>186.50125788663718</c:v>
                </c:pt>
                <c:pt idx="443">
                  <c:v>201.64191164402655</c:v>
                </c:pt>
                <c:pt idx="444">
                  <c:v>59.834487347561662</c:v>
                </c:pt>
                <c:pt idx="445">
                  <c:v>270.96351628072807</c:v>
                </c:pt>
                <c:pt idx="446">
                  <c:v>274.28912467129703</c:v>
                </c:pt>
                <c:pt idx="447">
                  <c:v>189.11390571782249</c:v>
                </c:pt>
                <c:pt idx="448">
                  <c:v>222.34409015373967</c:v>
                </c:pt>
                <c:pt idx="449">
                  <c:v>225.57175474606629</c:v>
                </c:pt>
                <c:pt idx="450">
                  <c:v>301.87503821531209</c:v>
                </c:pt>
                <c:pt idx="451">
                  <c:v>78.139227893068892</c:v>
                </c:pt>
                <c:pt idx="452">
                  <c:v>183.16138517381842</c:v>
                </c:pt>
                <c:pt idx="453">
                  <c:v>117.66658851549073</c:v>
                </c:pt>
                <c:pt idx="454">
                  <c:v>276.00714177842019</c:v>
                </c:pt>
                <c:pt idx="455">
                  <c:v>351.92131182276353</c:v>
                </c:pt>
                <c:pt idx="456">
                  <c:v>221.69850429312282</c:v>
                </c:pt>
                <c:pt idx="457">
                  <c:v>251.69469969633064</c:v>
                </c:pt>
                <c:pt idx="458">
                  <c:v>164.04433981022521</c:v>
                </c:pt>
                <c:pt idx="459">
                  <c:v>285.00073990441888</c:v>
                </c:pt>
                <c:pt idx="460">
                  <c:v>258.47539028599203</c:v>
                </c:pt>
                <c:pt idx="461">
                  <c:v>234.88253467193135</c:v>
                </c:pt>
                <c:pt idx="462">
                  <c:v>119.22236073297972</c:v>
                </c:pt>
                <c:pt idx="463">
                  <c:v>163.12991716160468</c:v>
                </c:pt>
                <c:pt idx="464">
                  <c:v>78.49749670070014</c:v>
                </c:pt>
                <c:pt idx="465">
                  <c:v>38.79791084471799</c:v>
                </c:pt>
                <c:pt idx="466">
                  <c:v>337.89271968622779</c:v>
                </c:pt>
                <c:pt idx="467">
                  <c:v>191.7106915005279</c:v>
                </c:pt>
                <c:pt idx="468">
                  <c:v>198.54120828798114</c:v>
                </c:pt>
                <c:pt idx="469">
                  <c:v>277.91902155732532</c:v>
                </c:pt>
                <c:pt idx="470">
                  <c:v>153.13318285260175</c:v>
                </c:pt>
                <c:pt idx="471">
                  <c:v>240.43447069987087</c:v>
                </c:pt>
                <c:pt idx="472">
                  <c:v>181.57983821866947</c:v>
                </c:pt>
                <c:pt idx="473">
                  <c:v>131.66257503435918</c:v>
                </c:pt>
                <c:pt idx="474">
                  <c:v>261.53152787252111</c:v>
                </c:pt>
                <c:pt idx="475">
                  <c:v>243.58142124524602</c:v>
                </c:pt>
                <c:pt idx="476">
                  <c:v>275.24783698135798</c:v>
                </c:pt>
                <c:pt idx="477">
                  <c:v>206.03837949819717</c:v>
                </c:pt>
                <c:pt idx="478">
                  <c:v>313.82105133750883</c:v>
                </c:pt>
                <c:pt idx="479">
                  <c:v>195.33566928617074</c:v>
                </c:pt>
                <c:pt idx="480">
                  <c:v>286.62967980942994</c:v>
                </c:pt>
                <c:pt idx="481">
                  <c:v>92.895589179832314</c:v>
                </c:pt>
                <c:pt idx="482">
                  <c:v>147.89319926132157</c:v>
                </c:pt>
                <c:pt idx="483">
                  <c:v>181.34441541502747</c:v>
                </c:pt>
                <c:pt idx="484">
                  <c:v>156.11782872396725</c:v>
                </c:pt>
                <c:pt idx="485">
                  <c:v>166.75500962659135</c:v>
                </c:pt>
                <c:pt idx="486">
                  <c:v>189.28131074770863</c:v>
                </c:pt>
                <c:pt idx="487">
                  <c:v>292.24612711599548</c:v>
                </c:pt>
                <c:pt idx="488">
                  <c:v>300.58793983321448</c:v>
                </c:pt>
                <c:pt idx="489">
                  <c:v>150.59739792570326</c:v>
                </c:pt>
                <c:pt idx="490">
                  <c:v>144.81252287186362</c:v>
                </c:pt>
                <c:pt idx="491">
                  <c:v>381.36587535586295</c:v>
                </c:pt>
                <c:pt idx="492">
                  <c:v>170.94384466156407</c:v>
                </c:pt>
                <c:pt idx="493">
                  <c:v>274.04834693285738</c:v>
                </c:pt>
                <c:pt idx="494">
                  <c:v>79.945381599151006</c:v>
                </c:pt>
                <c:pt idx="495">
                  <c:v>306.69849923941001</c:v>
                </c:pt>
                <c:pt idx="496">
                  <c:v>230.24670958587012</c:v>
                </c:pt>
                <c:pt idx="497">
                  <c:v>48.80465985515184</c:v>
                </c:pt>
                <c:pt idx="498">
                  <c:v>99.73168626408733</c:v>
                </c:pt>
                <c:pt idx="499">
                  <c:v>270.79685209866875</c:v>
                </c:pt>
                <c:pt idx="500">
                  <c:v>115.09292048634597</c:v>
                </c:pt>
                <c:pt idx="501">
                  <c:v>229.99511828555842</c:v>
                </c:pt>
                <c:pt idx="502">
                  <c:v>42.456208478648477</c:v>
                </c:pt>
                <c:pt idx="503">
                  <c:v>241.10897921739888</c:v>
                </c:pt>
                <c:pt idx="504">
                  <c:v>-28.896821697064297</c:v>
                </c:pt>
                <c:pt idx="505">
                  <c:v>144.5888892465664</c:v>
                </c:pt>
                <c:pt idx="506">
                  <c:v>216.16302551962508</c:v>
                </c:pt>
                <c:pt idx="507">
                  <c:v>292.40634283327381</c:v>
                </c:pt>
                <c:pt idx="508">
                  <c:v>202.43136765283998</c:v>
                </c:pt>
                <c:pt idx="509">
                  <c:v>209.54528721923998</c:v>
                </c:pt>
                <c:pt idx="510">
                  <c:v>-42.221978151901567</c:v>
                </c:pt>
                <c:pt idx="511">
                  <c:v>310.53814750747188</c:v>
                </c:pt>
                <c:pt idx="512">
                  <c:v>215.34018174312587</c:v>
                </c:pt>
                <c:pt idx="513">
                  <c:v>153.61609133353704</c:v>
                </c:pt>
                <c:pt idx="514">
                  <c:v>266.29099808017781</c:v>
                </c:pt>
                <c:pt idx="515">
                  <c:v>228.45187312676717</c:v>
                </c:pt>
                <c:pt idx="516">
                  <c:v>234.60300199711855</c:v>
                </c:pt>
                <c:pt idx="517">
                  <c:v>264.75385357367122</c:v>
                </c:pt>
                <c:pt idx="518">
                  <c:v>274.10042544427779</c:v>
                </c:pt>
                <c:pt idx="519">
                  <c:v>218.69662154006801</c:v>
                </c:pt>
                <c:pt idx="520">
                  <c:v>290.8809015817169</c:v>
                </c:pt>
                <c:pt idx="521">
                  <c:v>214.61124433181249</c:v>
                </c:pt>
                <c:pt idx="522">
                  <c:v>231.2643923142823</c:v>
                </c:pt>
                <c:pt idx="523">
                  <c:v>285.7119522351677</c:v>
                </c:pt>
                <c:pt idx="524">
                  <c:v>233.55891636640081</c:v>
                </c:pt>
                <c:pt idx="525">
                  <c:v>249.65662924144999</c:v>
                </c:pt>
                <c:pt idx="526">
                  <c:v>336.93536781689545</c:v>
                </c:pt>
                <c:pt idx="527">
                  <c:v>200.32762228176944</c:v>
                </c:pt>
                <c:pt idx="528">
                  <c:v>81.72441005732253</c:v>
                </c:pt>
                <c:pt idx="529">
                  <c:v>235.69652757429503</c:v>
                </c:pt>
                <c:pt idx="530">
                  <c:v>278.1248888760274</c:v>
                </c:pt>
                <c:pt idx="531">
                  <c:v>266.18447972978174</c:v>
                </c:pt>
                <c:pt idx="532">
                  <c:v>166.65774065944424</c:v>
                </c:pt>
                <c:pt idx="533">
                  <c:v>112.62652531431377</c:v>
                </c:pt>
                <c:pt idx="534">
                  <c:v>173.4174824639631</c:v>
                </c:pt>
                <c:pt idx="535">
                  <c:v>173.71588329460428</c:v>
                </c:pt>
                <c:pt idx="536">
                  <c:v>167.42955650818112</c:v>
                </c:pt>
                <c:pt idx="537">
                  <c:v>199.64184832492174</c:v>
                </c:pt>
                <c:pt idx="538">
                  <c:v>283.85516438887862</c:v>
                </c:pt>
                <c:pt idx="539">
                  <c:v>216.69058047307772</c:v>
                </c:pt>
                <c:pt idx="540">
                  <c:v>137.97507040056735</c:v>
                </c:pt>
                <c:pt idx="541">
                  <c:v>277.45950107480166</c:v>
                </c:pt>
                <c:pt idx="542">
                  <c:v>-15.721743373062054</c:v>
                </c:pt>
                <c:pt idx="543">
                  <c:v>185.51941023084146</c:v>
                </c:pt>
                <c:pt idx="544">
                  <c:v>177.57117517587176</c:v>
                </c:pt>
                <c:pt idx="545">
                  <c:v>221.80060808984854</c:v>
                </c:pt>
                <c:pt idx="546">
                  <c:v>157.0212670400324</c:v>
                </c:pt>
                <c:pt idx="547">
                  <c:v>197.94639859598465</c:v>
                </c:pt>
                <c:pt idx="548">
                  <c:v>163.66523453003538</c:v>
                </c:pt>
                <c:pt idx="549">
                  <c:v>171.18957856584166</c:v>
                </c:pt>
                <c:pt idx="550">
                  <c:v>193.22265265594615</c:v>
                </c:pt>
                <c:pt idx="551">
                  <c:v>211.38502481787509</c:v>
                </c:pt>
                <c:pt idx="552">
                  <c:v>180.36828771810906</c:v>
                </c:pt>
                <c:pt idx="553">
                  <c:v>83.467444648533274</c:v>
                </c:pt>
                <c:pt idx="554">
                  <c:v>202.07814106187288</c:v>
                </c:pt>
                <c:pt idx="555">
                  <c:v>190.03875101692029</c:v>
                </c:pt>
                <c:pt idx="556">
                  <c:v>266.58149091268206</c:v>
                </c:pt>
                <c:pt idx="557">
                  <c:v>261.77921555888315</c:v>
                </c:pt>
                <c:pt idx="558">
                  <c:v>310.1847531525782</c:v>
                </c:pt>
                <c:pt idx="559">
                  <c:v>240.40151553980104</c:v>
                </c:pt>
                <c:pt idx="560">
                  <c:v>354.62381671148978</c:v>
                </c:pt>
                <c:pt idx="561">
                  <c:v>250.67456912396301</c:v>
                </c:pt>
                <c:pt idx="562">
                  <c:v>64.025664276879979</c:v>
                </c:pt>
                <c:pt idx="563">
                  <c:v>245.90793917009796</c:v>
                </c:pt>
                <c:pt idx="564">
                  <c:v>143.53465820839847</c:v>
                </c:pt>
                <c:pt idx="565">
                  <c:v>282.46691814874066</c:v>
                </c:pt>
                <c:pt idx="566">
                  <c:v>253.50332699619321</c:v>
                </c:pt>
                <c:pt idx="567">
                  <c:v>170.60509170100704</c:v>
                </c:pt>
                <c:pt idx="568">
                  <c:v>194.50376046953534</c:v>
                </c:pt>
                <c:pt idx="569">
                  <c:v>92.235445704958693</c:v>
                </c:pt>
                <c:pt idx="570">
                  <c:v>178.02551582059459</c:v>
                </c:pt>
                <c:pt idx="571">
                  <c:v>268.17927029613566</c:v>
                </c:pt>
                <c:pt idx="572">
                  <c:v>143.6181558333119</c:v>
                </c:pt>
                <c:pt idx="573">
                  <c:v>99.287707027593569</c:v>
                </c:pt>
                <c:pt idx="574">
                  <c:v>166.28346569681162</c:v>
                </c:pt>
                <c:pt idx="575">
                  <c:v>233.60378280708755</c:v>
                </c:pt>
                <c:pt idx="576">
                  <c:v>264.95620150555624</c:v>
                </c:pt>
                <c:pt idx="577">
                  <c:v>51.096074935790966</c:v>
                </c:pt>
                <c:pt idx="578">
                  <c:v>281.98728316651614</c:v>
                </c:pt>
                <c:pt idx="579">
                  <c:v>264.31966185359852</c:v>
                </c:pt>
                <c:pt idx="580">
                  <c:v>192.56837777246619</c:v>
                </c:pt>
                <c:pt idx="581">
                  <c:v>360.99265406529958</c:v>
                </c:pt>
                <c:pt idx="582">
                  <c:v>300.19292049037176</c:v>
                </c:pt>
                <c:pt idx="583">
                  <c:v>234.06959323894989</c:v>
                </c:pt>
                <c:pt idx="584">
                  <c:v>139.90693553512756</c:v>
                </c:pt>
                <c:pt idx="585">
                  <c:v>174.10433220175764</c:v>
                </c:pt>
                <c:pt idx="586">
                  <c:v>279.61546910300967</c:v>
                </c:pt>
                <c:pt idx="587">
                  <c:v>226.93364439691504</c:v>
                </c:pt>
                <c:pt idx="588">
                  <c:v>132.72100758706074</c:v>
                </c:pt>
                <c:pt idx="589">
                  <c:v>147.1932074657816</c:v>
                </c:pt>
                <c:pt idx="590">
                  <c:v>167.04541711962156</c:v>
                </c:pt>
                <c:pt idx="591">
                  <c:v>293.40507320452525</c:v>
                </c:pt>
                <c:pt idx="592">
                  <c:v>182.44851084661786</c:v>
                </c:pt>
                <c:pt idx="593">
                  <c:v>141.22280840311578</c:v>
                </c:pt>
                <c:pt idx="594">
                  <c:v>153.2286302682769</c:v>
                </c:pt>
                <c:pt idx="595">
                  <c:v>119.24096485782866</c:v>
                </c:pt>
                <c:pt idx="596">
                  <c:v>327.41146208347345</c:v>
                </c:pt>
                <c:pt idx="597">
                  <c:v>269.90251460010404</c:v>
                </c:pt>
                <c:pt idx="598">
                  <c:v>147.05525619033142</c:v>
                </c:pt>
                <c:pt idx="599">
                  <c:v>225.31731604473316</c:v>
                </c:pt>
                <c:pt idx="600">
                  <c:v>128.45915894528298</c:v>
                </c:pt>
                <c:pt idx="601">
                  <c:v>230.78970412312992</c:v>
                </c:pt>
                <c:pt idx="602">
                  <c:v>273.72241940068852</c:v>
                </c:pt>
                <c:pt idx="603">
                  <c:v>266.04607116976331</c:v>
                </c:pt>
                <c:pt idx="604">
                  <c:v>249.14691696995942</c:v>
                </c:pt>
                <c:pt idx="605">
                  <c:v>272.56142222783092</c:v>
                </c:pt>
                <c:pt idx="606">
                  <c:v>199.24662716927196</c:v>
                </c:pt>
                <c:pt idx="607">
                  <c:v>278.40949532925151</c:v>
                </c:pt>
                <c:pt idx="608">
                  <c:v>114.04937391043859</c:v>
                </c:pt>
                <c:pt idx="609">
                  <c:v>218.41252246633303</c:v>
                </c:pt>
                <c:pt idx="610">
                  <c:v>322.38959459609032</c:v>
                </c:pt>
                <c:pt idx="611">
                  <c:v>320.19325676385051</c:v>
                </c:pt>
                <c:pt idx="612">
                  <c:v>200.12683301132347</c:v>
                </c:pt>
                <c:pt idx="613">
                  <c:v>378.38280876952922</c:v>
                </c:pt>
                <c:pt idx="614">
                  <c:v>257.975014989177</c:v>
                </c:pt>
                <c:pt idx="615">
                  <c:v>239.96195332002389</c:v>
                </c:pt>
                <c:pt idx="616">
                  <c:v>159.15722117878977</c:v>
                </c:pt>
                <c:pt idx="617">
                  <c:v>219.59495499077457</c:v>
                </c:pt>
                <c:pt idx="618">
                  <c:v>359.05480451118638</c:v>
                </c:pt>
                <c:pt idx="619">
                  <c:v>294.42876169394003</c:v>
                </c:pt>
                <c:pt idx="620">
                  <c:v>92.390175805958279</c:v>
                </c:pt>
                <c:pt idx="621">
                  <c:v>264.68099073811754</c:v>
                </c:pt>
                <c:pt idx="622">
                  <c:v>246.51830963285829</c:v>
                </c:pt>
                <c:pt idx="623">
                  <c:v>182.98086787810462</c:v>
                </c:pt>
                <c:pt idx="624">
                  <c:v>248.85551236205356</c:v>
                </c:pt>
                <c:pt idx="625">
                  <c:v>211.37942548325373</c:v>
                </c:pt>
                <c:pt idx="626">
                  <c:v>200.7843927115573</c:v>
                </c:pt>
                <c:pt idx="627">
                  <c:v>252.94341558692395</c:v>
                </c:pt>
                <c:pt idx="628">
                  <c:v>63.515271065396519</c:v>
                </c:pt>
                <c:pt idx="629">
                  <c:v>284.22276802860506</c:v>
                </c:pt>
                <c:pt idx="630">
                  <c:v>216.37188904576396</c:v>
                </c:pt>
                <c:pt idx="631">
                  <c:v>189.99016942004528</c:v>
                </c:pt>
                <c:pt idx="632">
                  <c:v>266.27017108925065</c:v>
                </c:pt>
                <c:pt idx="633">
                  <c:v>397.00547110868501</c:v>
                </c:pt>
                <c:pt idx="634">
                  <c:v>277.63262387517534</c:v>
                </c:pt>
                <c:pt idx="635">
                  <c:v>309.93221911336877</c:v>
                </c:pt>
                <c:pt idx="636">
                  <c:v>156.63140261416265</c:v>
                </c:pt>
                <c:pt idx="637">
                  <c:v>299.58404363087175</c:v>
                </c:pt>
                <c:pt idx="638">
                  <c:v>155.18299308008864</c:v>
                </c:pt>
                <c:pt idx="639">
                  <c:v>202.28058718624015</c:v>
                </c:pt>
                <c:pt idx="640">
                  <c:v>225.05786055689532</c:v>
                </c:pt>
                <c:pt idx="641">
                  <c:v>232.18167227129015</c:v>
                </c:pt>
                <c:pt idx="642">
                  <c:v>97.010551427389146</c:v>
                </c:pt>
                <c:pt idx="643">
                  <c:v>176.792614794369</c:v>
                </c:pt>
                <c:pt idx="644">
                  <c:v>247.62750991255962</c:v>
                </c:pt>
                <c:pt idx="645">
                  <c:v>359.60494579558872</c:v>
                </c:pt>
                <c:pt idx="646">
                  <c:v>243.46747755360047</c:v>
                </c:pt>
                <c:pt idx="647">
                  <c:v>177.75871716057009</c:v>
                </c:pt>
                <c:pt idx="648">
                  <c:v>47.116368873390456</c:v>
                </c:pt>
                <c:pt idx="649">
                  <c:v>208.99462345378197</c:v>
                </c:pt>
                <c:pt idx="650">
                  <c:v>187.09632529538067</c:v>
                </c:pt>
                <c:pt idx="651">
                  <c:v>131.188863518164</c:v>
                </c:pt>
                <c:pt idx="652">
                  <c:v>199.75718875360326</c:v>
                </c:pt>
                <c:pt idx="653">
                  <c:v>125.26097930845572</c:v>
                </c:pt>
                <c:pt idx="654">
                  <c:v>240.94881514190638</c:v>
                </c:pt>
                <c:pt idx="655">
                  <c:v>118.14847018990258</c:v>
                </c:pt>
                <c:pt idx="656">
                  <c:v>224.98907826445793</c:v>
                </c:pt>
                <c:pt idx="657">
                  <c:v>170.58545003094332</c:v>
                </c:pt>
                <c:pt idx="658">
                  <c:v>127.31894101108264</c:v>
                </c:pt>
                <c:pt idx="659">
                  <c:v>231.35021280067667</c:v>
                </c:pt>
                <c:pt idx="660">
                  <c:v>186.95563313278763</c:v>
                </c:pt>
                <c:pt idx="661">
                  <c:v>241.02843595580998</c:v>
                </c:pt>
                <c:pt idx="662">
                  <c:v>205.36651379173418</c:v>
                </c:pt>
                <c:pt idx="663">
                  <c:v>170.55186350810618</c:v>
                </c:pt>
                <c:pt idx="664">
                  <c:v>335.7590588647181</c:v>
                </c:pt>
                <c:pt idx="665">
                  <c:v>276.10033580980235</c:v>
                </c:pt>
                <c:pt idx="666">
                  <c:v>158.11828571317892</c:v>
                </c:pt>
                <c:pt idx="667">
                  <c:v>202.78255178570907</c:v>
                </c:pt>
                <c:pt idx="668">
                  <c:v>292.71181242536477</c:v>
                </c:pt>
                <c:pt idx="669">
                  <c:v>252.61048089018732</c:v>
                </c:pt>
                <c:pt idx="670">
                  <c:v>149.30471617466901</c:v>
                </c:pt>
                <c:pt idx="671">
                  <c:v>296.32269281854315</c:v>
                </c:pt>
                <c:pt idx="672">
                  <c:v>230.02079505648362</c:v>
                </c:pt>
                <c:pt idx="673">
                  <c:v>284.38751225602391</c:v>
                </c:pt>
                <c:pt idx="674">
                  <c:v>188.8224249257546</c:v>
                </c:pt>
                <c:pt idx="675">
                  <c:v>40.366996466102137</c:v>
                </c:pt>
                <c:pt idx="676">
                  <c:v>265.73151167105243</c:v>
                </c:pt>
                <c:pt idx="677">
                  <c:v>281.42447248699682</c:v>
                </c:pt>
                <c:pt idx="678">
                  <c:v>166.16193145441139</c:v>
                </c:pt>
                <c:pt idx="679">
                  <c:v>301.29192177030927</c:v>
                </c:pt>
                <c:pt idx="680">
                  <c:v>413.51313282031333</c:v>
                </c:pt>
                <c:pt idx="681">
                  <c:v>259.62816242150075</c:v>
                </c:pt>
                <c:pt idx="682">
                  <c:v>137.94462509918958</c:v>
                </c:pt>
                <c:pt idx="683">
                  <c:v>335.72222026499367</c:v>
                </c:pt>
                <c:pt idx="684">
                  <c:v>159.08537332889682</c:v>
                </c:pt>
                <c:pt idx="685">
                  <c:v>211.80149452404657</c:v>
                </c:pt>
                <c:pt idx="686">
                  <c:v>275.70588389700788</c:v>
                </c:pt>
                <c:pt idx="687">
                  <c:v>273.94295516512284</c:v>
                </c:pt>
                <c:pt idx="688">
                  <c:v>223.34470257690555</c:v>
                </c:pt>
                <c:pt idx="689">
                  <c:v>238.19630556716947</c:v>
                </c:pt>
                <c:pt idx="690">
                  <c:v>220.87818189085738</c:v>
                </c:pt>
                <c:pt idx="691">
                  <c:v>205.51095009288474</c:v>
                </c:pt>
                <c:pt idx="692">
                  <c:v>323.54140540357184</c:v>
                </c:pt>
                <c:pt idx="693">
                  <c:v>170.43615205555761</c:v>
                </c:pt>
                <c:pt idx="694">
                  <c:v>305.50830704546388</c:v>
                </c:pt>
                <c:pt idx="695">
                  <c:v>141.37072961954982</c:v>
                </c:pt>
                <c:pt idx="696">
                  <c:v>384.36775815534202</c:v>
                </c:pt>
                <c:pt idx="697">
                  <c:v>229.16752058436032</c:v>
                </c:pt>
                <c:pt idx="698">
                  <c:v>212.11276736952641</c:v>
                </c:pt>
                <c:pt idx="699">
                  <c:v>248.902565946908</c:v>
                </c:pt>
                <c:pt idx="700">
                  <c:v>173.69215619536408</c:v>
                </c:pt>
                <c:pt idx="701">
                  <c:v>170.78870037586967</c:v>
                </c:pt>
                <c:pt idx="702">
                  <c:v>252.09218261111528</c:v>
                </c:pt>
                <c:pt idx="703">
                  <c:v>212.03123762171163</c:v>
                </c:pt>
                <c:pt idx="704">
                  <c:v>319.53066181704708</c:v>
                </c:pt>
                <c:pt idx="705">
                  <c:v>214.43617723894204</c:v>
                </c:pt>
                <c:pt idx="706">
                  <c:v>229.91044591390892</c:v>
                </c:pt>
                <c:pt idx="707">
                  <c:v>308.95001844704166</c:v>
                </c:pt>
                <c:pt idx="708">
                  <c:v>171.15432726434301</c:v>
                </c:pt>
                <c:pt idx="709">
                  <c:v>236.46466391486319</c:v>
                </c:pt>
                <c:pt idx="710">
                  <c:v>271.74476664640315</c:v>
                </c:pt>
                <c:pt idx="711">
                  <c:v>382.98030161823408</c:v>
                </c:pt>
                <c:pt idx="712">
                  <c:v>185.94082544713092</c:v>
                </c:pt>
                <c:pt idx="713">
                  <c:v>208.48500748298829</c:v>
                </c:pt>
                <c:pt idx="714">
                  <c:v>331.30861952014675</c:v>
                </c:pt>
                <c:pt idx="715">
                  <c:v>155.98064449475714</c:v>
                </c:pt>
                <c:pt idx="716">
                  <c:v>179.01424416441296</c:v>
                </c:pt>
                <c:pt idx="717">
                  <c:v>208.14142954194176</c:v>
                </c:pt>
                <c:pt idx="718">
                  <c:v>195.14222775597591</c:v>
                </c:pt>
                <c:pt idx="719">
                  <c:v>36.156953917339706</c:v>
                </c:pt>
                <c:pt idx="720">
                  <c:v>156.73321679438232</c:v>
                </c:pt>
                <c:pt idx="721">
                  <c:v>173.19478917135348</c:v>
                </c:pt>
                <c:pt idx="722">
                  <c:v>108.55263475942047</c:v>
                </c:pt>
                <c:pt idx="723">
                  <c:v>219.16897087175676</c:v>
                </c:pt>
                <c:pt idx="724">
                  <c:v>172.28002338978695</c:v>
                </c:pt>
                <c:pt idx="725">
                  <c:v>130.11972212248656</c:v>
                </c:pt>
                <c:pt idx="726">
                  <c:v>190.43874680855879</c:v>
                </c:pt>
                <c:pt idx="727">
                  <c:v>263.44174817970634</c:v>
                </c:pt>
                <c:pt idx="728">
                  <c:v>112.93805585019072</c:v>
                </c:pt>
                <c:pt idx="729">
                  <c:v>234.87546057865256</c:v>
                </c:pt>
                <c:pt idx="730">
                  <c:v>80.987677650271507</c:v>
                </c:pt>
                <c:pt idx="731">
                  <c:v>113.42248700208074</c:v>
                </c:pt>
                <c:pt idx="732">
                  <c:v>326.28586135173464</c:v>
                </c:pt>
                <c:pt idx="733">
                  <c:v>217.84830632987723</c:v>
                </c:pt>
                <c:pt idx="734">
                  <c:v>211.65797828257564</c:v>
                </c:pt>
                <c:pt idx="735">
                  <c:v>244.41680371478651</c:v>
                </c:pt>
                <c:pt idx="736">
                  <c:v>3.1625654851850413</c:v>
                </c:pt>
                <c:pt idx="737">
                  <c:v>323.01099470259578</c:v>
                </c:pt>
                <c:pt idx="738">
                  <c:v>264.47106097706637</c:v>
                </c:pt>
                <c:pt idx="739">
                  <c:v>121.03488466458293</c:v>
                </c:pt>
                <c:pt idx="740">
                  <c:v>181.3945749252016</c:v>
                </c:pt>
                <c:pt idx="741">
                  <c:v>142.10085014196011</c:v>
                </c:pt>
                <c:pt idx="742">
                  <c:v>203.4368094314741</c:v>
                </c:pt>
                <c:pt idx="743">
                  <c:v>25.907358104021114</c:v>
                </c:pt>
                <c:pt idx="744">
                  <c:v>87.271884282850806</c:v>
                </c:pt>
                <c:pt idx="745">
                  <c:v>159.16695504031668</c:v>
                </c:pt>
                <c:pt idx="746">
                  <c:v>227.55363339858741</c:v>
                </c:pt>
                <c:pt idx="747">
                  <c:v>288.85056993302351</c:v>
                </c:pt>
                <c:pt idx="748">
                  <c:v>358.67079280031248</c:v>
                </c:pt>
                <c:pt idx="749">
                  <c:v>303.84624617224836</c:v>
                </c:pt>
                <c:pt idx="750">
                  <c:v>161.97764471080154</c:v>
                </c:pt>
                <c:pt idx="751">
                  <c:v>168.24985683053092</c:v>
                </c:pt>
                <c:pt idx="752">
                  <c:v>316.08227609211099</c:v>
                </c:pt>
                <c:pt idx="753">
                  <c:v>357.2831801479042</c:v>
                </c:pt>
                <c:pt idx="754">
                  <c:v>91.023242473998835</c:v>
                </c:pt>
                <c:pt idx="755">
                  <c:v>351.97844765719128</c:v>
                </c:pt>
                <c:pt idx="756">
                  <c:v>210.75347196618168</c:v>
                </c:pt>
                <c:pt idx="757">
                  <c:v>327.07767624067856</c:v>
                </c:pt>
                <c:pt idx="758">
                  <c:v>287.27054164195579</c:v>
                </c:pt>
                <c:pt idx="759">
                  <c:v>262.80400551548155</c:v>
                </c:pt>
                <c:pt idx="760">
                  <c:v>299.9653861254119</c:v>
                </c:pt>
                <c:pt idx="761">
                  <c:v>266.45921041307156</c:v>
                </c:pt>
                <c:pt idx="762">
                  <c:v>185.07957063630238</c:v>
                </c:pt>
                <c:pt idx="763">
                  <c:v>190.48785763655542</c:v>
                </c:pt>
                <c:pt idx="764">
                  <c:v>196.13340047114616</c:v>
                </c:pt>
                <c:pt idx="765">
                  <c:v>223.04761784058792</c:v>
                </c:pt>
                <c:pt idx="766">
                  <c:v>292.09267652640847</c:v>
                </c:pt>
                <c:pt idx="767">
                  <c:v>288.77786984992781</c:v>
                </c:pt>
                <c:pt idx="768">
                  <c:v>287.32932762018027</c:v>
                </c:pt>
                <c:pt idx="769">
                  <c:v>151.19184214081179</c:v>
                </c:pt>
                <c:pt idx="770">
                  <c:v>181.14836358647517</c:v>
                </c:pt>
                <c:pt idx="771">
                  <c:v>254.64235238915353</c:v>
                </c:pt>
                <c:pt idx="772">
                  <c:v>254.85464717862851</c:v>
                </c:pt>
                <c:pt idx="773">
                  <c:v>7.639605392669182</c:v>
                </c:pt>
                <c:pt idx="774">
                  <c:v>121.93493130774732</c:v>
                </c:pt>
                <c:pt idx="775">
                  <c:v>180.98568783959854</c:v>
                </c:pt>
                <c:pt idx="776">
                  <c:v>224.50696936898021</c:v>
                </c:pt>
                <c:pt idx="777">
                  <c:v>259.81450525381297</c:v>
                </c:pt>
                <c:pt idx="778">
                  <c:v>89.286110245808231</c:v>
                </c:pt>
                <c:pt idx="779">
                  <c:v>314.86238223345572</c:v>
                </c:pt>
                <c:pt idx="780">
                  <c:v>242.83709773213559</c:v>
                </c:pt>
                <c:pt idx="781">
                  <c:v>270.75106488264282</c:v>
                </c:pt>
                <c:pt idx="782">
                  <c:v>322.70406757272212</c:v>
                </c:pt>
                <c:pt idx="783">
                  <c:v>248.23272939096933</c:v>
                </c:pt>
                <c:pt idx="784">
                  <c:v>-4.788532653983566</c:v>
                </c:pt>
                <c:pt idx="785">
                  <c:v>219.36255000092206</c:v>
                </c:pt>
                <c:pt idx="786">
                  <c:v>164.95111153290054</c:v>
                </c:pt>
                <c:pt idx="787">
                  <c:v>215.35778134482098</c:v>
                </c:pt>
                <c:pt idx="788">
                  <c:v>297.69779060333167</c:v>
                </c:pt>
                <c:pt idx="789">
                  <c:v>211.59023865449853</c:v>
                </c:pt>
                <c:pt idx="790">
                  <c:v>270.35839911957009</c:v>
                </c:pt>
                <c:pt idx="791">
                  <c:v>287.4756851524362</c:v>
                </c:pt>
                <c:pt idx="792">
                  <c:v>324.0814087882718</c:v>
                </c:pt>
                <c:pt idx="793">
                  <c:v>164.57470266378004</c:v>
                </c:pt>
                <c:pt idx="794">
                  <c:v>243.79085517522981</c:v>
                </c:pt>
                <c:pt idx="795">
                  <c:v>308.95041271845184</c:v>
                </c:pt>
                <c:pt idx="796">
                  <c:v>178.65235799011134</c:v>
                </c:pt>
                <c:pt idx="797">
                  <c:v>231.67102566936956</c:v>
                </c:pt>
                <c:pt idx="798">
                  <c:v>282.56302022719319</c:v>
                </c:pt>
                <c:pt idx="799">
                  <c:v>213.82329503013898</c:v>
                </c:pt>
                <c:pt idx="800">
                  <c:v>123.31946049718317</c:v>
                </c:pt>
                <c:pt idx="801">
                  <c:v>344.56267131922141</c:v>
                </c:pt>
                <c:pt idx="802">
                  <c:v>271.83894574502483</c:v>
                </c:pt>
                <c:pt idx="803">
                  <c:v>202.11656999631305</c:v>
                </c:pt>
                <c:pt idx="804">
                  <c:v>162.5450853696093</c:v>
                </c:pt>
                <c:pt idx="805">
                  <c:v>215.26786795297085</c:v>
                </c:pt>
                <c:pt idx="806">
                  <c:v>120.24808184352514</c:v>
                </c:pt>
                <c:pt idx="807">
                  <c:v>301.98930290192584</c:v>
                </c:pt>
                <c:pt idx="808">
                  <c:v>291.28787048157392</c:v>
                </c:pt>
                <c:pt idx="809">
                  <c:v>89.796074612313532</c:v>
                </c:pt>
                <c:pt idx="810">
                  <c:v>284.03382068031715</c:v>
                </c:pt>
                <c:pt idx="811">
                  <c:v>127.52454251064046</c:v>
                </c:pt>
                <c:pt idx="812">
                  <c:v>118.89052625134718</c:v>
                </c:pt>
                <c:pt idx="813">
                  <c:v>144.23666698511079</c:v>
                </c:pt>
                <c:pt idx="814">
                  <c:v>308.50584623979012</c:v>
                </c:pt>
                <c:pt idx="815">
                  <c:v>118.73975007400804</c:v>
                </c:pt>
                <c:pt idx="816">
                  <c:v>224.93760736021795</c:v>
                </c:pt>
                <c:pt idx="817">
                  <c:v>223.20640711632586</c:v>
                </c:pt>
                <c:pt idx="818">
                  <c:v>218.81079347651757</c:v>
                </c:pt>
                <c:pt idx="819">
                  <c:v>239.27455274026579</c:v>
                </c:pt>
                <c:pt idx="820">
                  <c:v>262.53360361881278</c:v>
                </c:pt>
                <c:pt idx="821">
                  <c:v>181.63410015671616</c:v>
                </c:pt>
                <c:pt idx="822">
                  <c:v>213.44483539975045</c:v>
                </c:pt>
                <c:pt idx="823">
                  <c:v>88.345453772035398</c:v>
                </c:pt>
                <c:pt idx="824">
                  <c:v>186.13131557988163</c:v>
                </c:pt>
                <c:pt idx="825">
                  <c:v>146.980200759117</c:v>
                </c:pt>
                <c:pt idx="826">
                  <c:v>180.18719783716733</c:v>
                </c:pt>
                <c:pt idx="827">
                  <c:v>220.42135818568931</c:v>
                </c:pt>
                <c:pt idx="828">
                  <c:v>118.34163263635492</c:v>
                </c:pt>
                <c:pt idx="829">
                  <c:v>279.92875383606588</c:v>
                </c:pt>
                <c:pt idx="830">
                  <c:v>147.15885755994168</c:v>
                </c:pt>
                <c:pt idx="831">
                  <c:v>163.11744294162054</c:v>
                </c:pt>
                <c:pt idx="832">
                  <c:v>111.91904118132879</c:v>
                </c:pt>
                <c:pt idx="833">
                  <c:v>329.69882629037602</c:v>
                </c:pt>
                <c:pt idx="834">
                  <c:v>241.23528073809575</c:v>
                </c:pt>
                <c:pt idx="835">
                  <c:v>152.67666153315076</c:v>
                </c:pt>
                <c:pt idx="836">
                  <c:v>170.49191568098104</c:v>
                </c:pt>
                <c:pt idx="837">
                  <c:v>148.52716807420802</c:v>
                </c:pt>
                <c:pt idx="838">
                  <c:v>158.5177466694804</c:v>
                </c:pt>
                <c:pt idx="839">
                  <c:v>47.837726002580894</c:v>
                </c:pt>
                <c:pt idx="840">
                  <c:v>277.34510909765231</c:v>
                </c:pt>
                <c:pt idx="841">
                  <c:v>225.5085213925704</c:v>
                </c:pt>
                <c:pt idx="842">
                  <c:v>366.8307845722411</c:v>
                </c:pt>
                <c:pt idx="843">
                  <c:v>208.87849345725408</c:v>
                </c:pt>
                <c:pt idx="844">
                  <c:v>278.23947175556532</c:v>
                </c:pt>
                <c:pt idx="845">
                  <c:v>150.34727246945477</c:v>
                </c:pt>
                <c:pt idx="846">
                  <c:v>241.10270490669063</c:v>
                </c:pt>
                <c:pt idx="847">
                  <c:v>261.26601448456131</c:v>
                </c:pt>
                <c:pt idx="848">
                  <c:v>363.84727739869049</c:v>
                </c:pt>
                <c:pt idx="849">
                  <c:v>234.91554746013571</c:v>
                </c:pt>
                <c:pt idx="850">
                  <c:v>144.6965993859485</c:v>
                </c:pt>
                <c:pt idx="851">
                  <c:v>174.98710339949685</c:v>
                </c:pt>
                <c:pt idx="852">
                  <c:v>279.8965631903302</c:v>
                </c:pt>
                <c:pt idx="853">
                  <c:v>299.12749594900379</c:v>
                </c:pt>
                <c:pt idx="854">
                  <c:v>254.09247924551164</c:v>
                </c:pt>
                <c:pt idx="855">
                  <c:v>235.20693030390248</c:v>
                </c:pt>
                <c:pt idx="856">
                  <c:v>180.19049377811098</c:v>
                </c:pt>
                <c:pt idx="857">
                  <c:v>155.01499495752432</c:v>
                </c:pt>
                <c:pt idx="858">
                  <c:v>158.38471422203656</c:v>
                </c:pt>
                <c:pt idx="859">
                  <c:v>271.39416547824294</c:v>
                </c:pt>
                <c:pt idx="860">
                  <c:v>232.05972899870903</c:v>
                </c:pt>
                <c:pt idx="861">
                  <c:v>245.39925019783186</c:v>
                </c:pt>
                <c:pt idx="862">
                  <c:v>238.2063351667166</c:v>
                </c:pt>
                <c:pt idx="863">
                  <c:v>187.0430389121284</c:v>
                </c:pt>
                <c:pt idx="864">
                  <c:v>246.72207592238919</c:v>
                </c:pt>
                <c:pt idx="865">
                  <c:v>256.92045979127215</c:v>
                </c:pt>
                <c:pt idx="866">
                  <c:v>144.45593190562795</c:v>
                </c:pt>
                <c:pt idx="867">
                  <c:v>211.83883697434067</c:v>
                </c:pt>
                <c:pt idx="868">
                  <c:v>159.21037729360978</c:v>
                </c:pt>
                <c:pt idx="869">
                  <c:v>224.31731580668202</c:v>
                </c:pt>
                <c:pt idx="870">
                  <c:v>137.29766423143519</c:v>
                </c:pt>
                <c:pt idx="871">
                  <c:v>225.12316280248342</c:v>
                </c:pt>
                <c:pt idx="872">
                  <c:v>237.35816531108503</c:v>
                </c:pt>
                <c:pt idx="873">
                  <c:v>307.14577311701214</c:v>
                </c:pt>
                <c:pt idx="874">
                  <c:v>325.44279555620597</c:v>
                </c:pt>
                <c:pt idx="875">
                  <c:v>276.27477720765819</c:v>
                </c:pt>
                <c:pt idx="876">
                  <c:v>253.90162877930561</c:v>
                </c:pt>
                <c:pt idx="877">
                  <c:v>142.76100895593845</c:v>
                </c:pt>
                <c:pt idx="878">
                  <c:v>220.51822841535977</c:v>
                </c:pt>
                <c:pt idx="879">
                  <c:v>273.62711721252344</c:v>
                </c:pt>
                <c:pt idx="880">
                  <c:v>364.17055194728891</c:v>
                </c:pt>
                <c:pt idx="881">
                  <c:v>201.63635122017149</c:v>
                </c:pt>
                <c:pt idx="882">
                  <c:v>207.32686803409524</c:v>
                </c:pt>
                <c:pt idx="883">
                  <c:v>285.22893191371622</c:v>
                </c:pt>
                <c:pt idx="884">
                  <c:v>144.58830646223578</c:v>
                </c:pt>
                <c:pt idx="885">
                  <c:v>186.33782591596901</c:v>
                </c:pt>
                <c:pt idx="886">
                  <c:v>174.03993064513998</c:v>
                </c:pt>
                <c:pt idx="887">
                  <c:v>254.31653814894162</c:v>
                </c:pt>
                <c:pt idx="888">
                  <c:v>199.95786172553198</c:v>
                </c:pt>
                <c:pt idx="889">
                  <c:v>185.49568281842221</c:v>
                </c:pt>
                <c:pt idx="890">
                  <c:v>207.96893248554989</c:v>
                </c:pt>
                <c:pt idx="891">
                  <c:v>191.76974120133309</c:v>
                </c:pt>
                <c:pt idx="892">
                  <c:v>338.72087783857205</c:v>
                </c:pt>
                <c:pt idx="893">
                  <c:v>168.14285051544721</c:v>
                </c:pt>
                <c:pt idx="894">
                  <c:v>350.66942279631257</c:v>
                </c:pt>
                <c:pt idx="895">
                  <c:v>182.99060410540915</c:v>
                </c:pt>
                <c:pt idx="896">
                  <c:v>143.34110229496582</c:v>
                </c:pt>
                <c:pt idx="897">
                  <c:v>153.88103476927427</c:v>
                </c:pt>
                <c:pt idx="898">
                  <c:v>245.49356084367901</c:v>
                </c:pt>
                <c:pt idx="899">
                  <c:v>335.02931822637402</c:v>
                </c:pt>
                <c:pt idx="900">
                  <c:v>183.68031170687391</c:v>
                </c:pt>
                <c:pt idx="901">
                  <c:v>124.5959160302009</c:v>
                </c:pt>
                <c:pt idx="902">
                  <c:v>192.35745623161711</c:v>
                </c:pt>
                <c:pt idx="903">
                  <c:v>302.6154546445141</c:v>
                </c:pt>
                <c:pt idx="904">
                  <c:v>285.88055335727768</c:v>
                </c:pt>
                <c:pt idx="905">
                  <c:v>175.34487621282096</c:v>
                </c:pt>
                <c:pt idx="906">
                  <c:v>-0.97125505888107</c:v>
                </c:pt>
                <c:pt idx="907">
                  <c:v>291.49081011215821</c:v>
                </c:pt>
                <c:pt idx="908">
                  <c:v>266.35444906465273</c:v>
                </c:pt>
                <c:pt idx="909">
                  <c:v>181.12423966897768</c:v>
                </c:pt>
                <c:pt idx="910">
                  <c:v>228.28448180847045</c:v>
                </c:pt>
                <c:pt idx="911">
                  <c:v>172.85191301732266</c:v>
                </c:pt>
                <c:pt idx="912">
                  <c:v>253.70459392932389</c:v>
                </c:pt>
                <c:pt idx="913">
                  <c:v>103.20157626630316</c:v>
                </c:pt>
                <c:pt idx="914">
                  <c:v>334.32529825359597</c:v>
                </c:pt>
                <c:pt idx="915">
                  <c:v>158.10030723515956</c:v>
                </c:pt>
                <c:pt idx="916">
                  <c:v>279.6644768947408</c:v>
                </c:pt>
                <c:pt idx="917">
                  <c:v>287.69729957558593</c:v>
                </c:pt>
                <c:pt idx="918">
                  <c:v>96.659624217867531</c:v>
                </c:pt>
                <c:pt idx="919">
                  <c:v>169.59851830739353</c:v>
                </c:pt>
                <c:pt idx="920">
                  <c:v>213.05060904477796</c:v>
                </c:pt>
                <c:pt idx="921">
                  <c:v>343.40077470527831</c:v>
                </c:pt>
                <c:pt idx="922">
                  <c:v>137.82258625655595</c:v>
                </c:pt>
                <c:pt idx="923">
                  <c:v>221.60649403737625</c:v>
                </c:pt>
                <c:pt idx="924">
                  <c:v>203.36773906015878</c:v>
                </c:pt>
                <c:pt idx="925">
                  <c:v>172.68745902511</c:v>
                </c:pt>
                <c:pt idx="926">
                  <c:v>153.03923017843408</c:v>
                </c:pt>
                <c:pt idx="927">
                  <c:v>165.66073466588205</c:v>
                </c:pt>
                <c:pt idx="928">
                  <c:v>195.15961153728858</c:v>
                </c:pt>
                <c:pt idx="929">
                  <c:v>204.83414940490547</c:v>
                </c:pt>
                <c:pt idx="930">
                  <c:v>313.29168926645434</c:v>
                </c:pt>
                <c:pt idx="931">
                  <c:v>274.60938612839891</c:v>
                </c:pt>
                <c:pt idx="932">
                  <c:v>210.61324598212741</c:v>
                </c:pt>
                <c:pt idx="933">
                  <c:v>236.12408533289636</c:v>
                </c:pt>
                <c:pt idx="934">
                  <c:v>204.45295894980518</c:v>
                </c:pt>
                <c:pt idx="935">
                  <c:v>260.95323014075257</c:v>
                </c:pt>
                <c:pt idx="936">
                  <c:v>174.62584421766223</c:v>
                </c:pt>
                <c:pt idx="937">
                  <c:v>171.23886959088486</c:v>
                </c:pt>
                <c:pt idx="938">
                  <c:v>156.66741097230624</c:v>
                </c:pt>
                <c:pt idx="939">
                  <c:v>245.02616027390104</c:v>
                </c:pt>
                <c:pt idx="940">
                  <c:v>220.17064812367971</c:v>
                </c:pt>
                <c:pt idx="941">
                  <c:v>140.44813639547283</c:v>
                </c:pt>
                <c:pt idx="942">
                  <c:v>151.27315792926311</c:v>
                </c:pt>
                <c:pt idx="943">
                  <c:v>265.96003082800962</c:v>
                </c:pt>
                <c:pt idx="944">
                  <c:v>105.4199429824148</c:v>
                </c:pt>
                <c:pt idx="945">
                  <c:v>158.22416577072363</c:v>
                </c:pt>
                <c:pt idx="946">
                  <c:v>190.85175604770484</c:v>
                </c:pt>
                <c:pt idx="947">
                  <c:v>224.83428973385162</c:v>
                </c:pt>
                <c:pt idx="948">
                  <c:v>133.08001749770119</c:v>
                </c:pt>
                <c:pt idx="949">
                  <c:v>134.3102355396295</c:v>
                </c:pt>
                <c:pt idx="950">
                  <c:v>166.24358799969195</c:v>
                </c:pt>
                <c:pt idx="951">
                  <c:v>257.54024520099119</c:v>
                </c:pt>
                <c:pt idx="952">
                  <c:v>163.98985809085934</c:v>
                </c:pt>
                <c:pt idx="953">
                  <c:v>231.42496442121046</c:v>
                </c:pt>
                <c:pt idx="954">
                  <c:v>197.80106824071845</c:v>
                </c:pt>
                <c:pt idx="955">
                  <c:v>211.40148566864445</c:v>
                </c:pt>
                <c:pt idx="956">
                  <c:v>-17.255792265004857</c:v>
                </c:pt>
                <c:pt idx="957">
                  <c:v>155.37882815326157</c:v>
                </c:pt>
                <c:pt idx="958">
                  <c:v>220.24034843846675</c:v>
                </c:pt>
                <c:pt idx="959">
                  <c:v>169.44249575678259</c:v>
                </c:pt>
                <c:pt idx="960">
                  <c:v>118.70229460672999</c:v>
                </c:pt>
                <c:pt idx="961">
                  <c:v>153.3015296695703</c:v>
                </c:pt>
                <c:pt idx="962">
                  <c:v>201.97928132749075</c:v>
                </c:pt>
                <c:pt idx="963">
                  <c:v>173.84857399543034</c:v>
                </c:pt>
                <c:pt idx="964">
                  <c:v>210.99406931017802</c:v>
                </c:pt>
                <c:pt idx="965">
                  <c:v>267.93784739346665</c:v>
                </c:pt>
                <c:pt idx="966">
                  <c:v>317.40355336981156</c:v>
                </c:pt>
                <c:pt idx="967">
                  <c:v>304.36717294541813</c:v>
                </c:pt>
                <c:pt idx="968">
                  <c:v>168.04871170015394</c:v>
                </c:pt>
                <c:pt idx="969">
                  <c:v>205.12882735852327</c:v>
                </c:pt>
                <c:pt idx="970">
                  <c:v>332.8489457334399</c:v>
                </c:pt>
                <c:pt idx="971">
                  <c:v>342.86500081087434</c:v>
                </c:pt>
                <c:pt idx="972">
                  <c:v>138.36974881756396</c:v>
                </c:pt>
                <c:pt idx="973">
                  <c:v>197.47422212671881</c:v>
                </c:pt>
                <c:pt idx="974">
                  <c:v>277.01892451540698</c:v>
                </c:pt>
                <c:pt idx="975">
                  <c:v>315.26163550112688</c:v>
                </c:pt>
                <c:pt idx="976">
                  <c:v>246.27906611356957</c:v>
                </c:pt>
                <c:pt idx="977">
                  <c:v>224.56128521657593</c:v>
                </c:pt>
                <c:pt idx="978">
                  <c:v>79.854931598503754</c:v>
                </c:pt>
                <c:pt idx="979">
                  <c:v>277.91554947990517</c:v>
                </c:pt>
                <c:pt idx="980">
                  <c:v>231.2561900911569</c:v>
                </c:pt>
                <c:pt idx="981">
                  <c:v>332.02405098878808</c:v>
                </c:pt>
                <c:pt idx="982">
                  <c:v>305.7202415317297</c:v>
                </c:pt>
                <c:pt idx="983">
                  <c:v>163.3752604214169</c:v>
                </c:pt>
                <c:pt idx="984">
                  <c:v>147.33688905791496</c:v>
                </c:pt>
                <c:pt idx="985">
                  <c:v>243.78313313498074</c:v>
                </c:pt>
                <c:pt idx="986">
                  <c:v>328.82375437998417</c:v>
                </c:pt>
                <c:pt idx="987">
                  <c:v>170.43093942531777</c:v>
                </c:pt>
                <c:pt idx="988">
                  <c:v>222.32468871365199</c:v>
                </c:pt>
                <c:pt idx="989">
                  <c:v>225.80122492007285</c:v>
                </c:pt>
                <c:pt idx="990">
                  <c:v>312.08399245420514</c:v>
                </c:pt>
                <c:pt idx="991">
                  <c:v>166.26244110643893</c:v>
                </c:pt>
                <c:pt idx="992">
                  <c:v>176.60758188543332</c:v>
                </c:pt>
                <c:pt idx="993">
                  <c:v>168.27087492011196</c:v>
                </c:pt>
                <c:pt idx="994">
                  <c:v>129.96108099336561</c:v>
                </c:pt>
                <c:pt idx="995">
                  <c:v>130.49128836261661</c:v>
                </c:pt>
                <c:pt idx="996">
                  <c:v>211.80738083761025</c:v>
                </c:pt>
                <c:pt idx="997">
                  <c:v>387.33618289624792</c:v>
                </c:pt>
                <c:pt idx="998">
                  <c:v>126.6691273848337</c:v>
                </c:pt>
                <c:pt idx="999">
                  <c:v>86.66319508250308</c:v>
                </c:pt>
              </c:numCache>
            </c:numRef>
          </c:yVal>
          <c:smooth val="0"/>
          <c:extLst>
            <c:ext xmlns:c16="http://schemas.microsoft.com/office/drawing/2014/chart" uri="{C3380CC4-5D6E-409C-BE32-E72D297353CC}">
              <c16:uniqueId val="{00000000-E909-4B28-A7A8-7BBB392121AD}"/>
            </c:ext>
          </c:extLst>
        </c:ser>
        <c:ser>
          <c:idx val="1"/>
          <c:order val="1"/>
          <c:tx>
            <c:v>PSA mean</c:v>
          </c:tx>
          <c:spPr>
            <a:ln w="25400" cap="rnd">
              <a:noFill/>
              <a:round/>
            </a:ln>
            <a:effectLst>
              <a:outerShdw blurRad="50800" dist="50800" dir="5400000" algn="ctr" rotWithShape="0">
                <a:srgbClr val="FF0000"/>
              </a:outerShdw>
            </a:effectLst>
          </c:spPr>
          <c:marker>
            <c:symbol val="circle"/>
            <c:size val="6"/>
            <c:spPr>
              <a:solidFill>
                <a:srgbClr val="FF0000"/>
              </a:solidFill>
              <a:ln w="38100">
                <a:noFill/>
              </a:ln>
              <a:effectLst>
                <a:outerShdw blurRad="50800" dist="50800" dir="5400000" algn="ctr" rotWithShape="0">
                  <a:srgbClr val="FF0000"/>
                </a:outerShdw>
              </a:effectLst>
            </c:spPr>
          </c:marker>
          <c:dLbls>
            <c:dLbl>
              <c:idx val="0"/>
              <c:layout>
                <c:manualLayout>
                  <c:x val="0.24348218409942959"/>
                  <c:y val="-0.26754385964912286"/>
                </c:manualLayout>
              </c:layout>
              <c:tx>
                <c:rich>
                  <a:bodyPr/>
                  <a:lstStyle/>
                  <a:p>
                    <a:r>
                      <a:rPr lang="en-US"/>
                      <a:t>PSA average</a:t>
                    </a:r>
                  </a:p>
                </c:rich>
              </c:tx>
              <c:showLegendKey val="0"/>
              <c:showVal val="1"/>
              <c:showCatName val="0"/>
              <c:showSerName val="0"/>
              <c:showPercent val="0"/>
              <c:showBubbleSize val="0"/>
              <c:extLst>
                <c:ext xmlns:c15="http://schemas.microsoft.com/office/drawing/2012/chart" uri="{CE6537A1-D6FC-4f65-9D91-7224C49458BB}">
                  <c15:layout>
                    <c:manualLayout>
                      <c:w val="0.17216207796672073"/>
                      <c:h val="6.133789197402955E-2"/>
                    </c:manualLayout>
                  </c15:layout>
                  <c15:showDataLabelsRange val="0"/>
                </c:ext>
                <c:ext xmlns:c16="http://schemas.microsoft.com/office/drawing/2014/chart" uri="{C3380CC4-5D6E-409C-BE32-E72D297353CC}">
                  <c16:uniqueId val="{00000000-C076-457D-95C0-6801FD2FF7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'out-put'!$AD$4</c:f>
              <c:numCache>
                <c:formatCode>General</c:formatCode>
                <c:ptCount val="1"/>
                <c:pt idx="0">
                  <c:v>3.5300879654351802E-2</c:v>
                </c:pt>
              </c:numCache>
            </c:numRef>
          </c:xVal>
          <c:yVal>
            <c:numRef>
              <c:f>'out-put'!$AC$4</c:f>
              <c:numCache>
                <c:formatCode>General</c:formatCode>
                <c:ptCount val="1"/>
                <c:pt idx="0">
                  <c:v>214.77989830534486</c:v>
                </c:pt>
              </c:numCache>
            </c:numRef>
          </c:yVal>
          <c:smooth val="0"/>
          <c:extLst>
            <c:ext xmlns:c16="http://schemas.microsoft.com/office/drawing/2014/chart" uri="{C3380CC4-5D6E-409C-BE32-E72D297353CC}">
              <c16:uniqueId val="{00000002-4997-46E6-9C0D-036C887E87D0}"/>
            </c:ext>
          </c:extLst>
        </c:ser>
        <c:dLbls>
          <c:showLegendKey val="0"/>
          <c:showVal val="0"/>
          <c:showCatName val="0"/>
          <c:showSerName val="0"/>
          <c:showPercent val="0"/>
          <c:showBubbleSize val="0"/>
        </c:dLbls>
        <c:axId val="495084112"/>
        <c:axId val="495081712"/>
      </c:scatterChart>
      <c:valAx>
        <c:axId val="49508411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GB"/>
                  <a:t>incremental</a:t>
                </a:r>
                <a:r>
                  <a:rPr lang="en-GB" baseline="0"/>
                  <a:t> qaly</a:t>
                </a:r>
                <a:endParaRPr lang="en-GB"/>
              </a:p>
            </c:rich>
          </c:tx>
          <c:layout>
            <c:manualLayout>
              <c:xMode val="edge"/>
              <c:yMode val="edge"/>
              <c:x val="0.55783617700234145"/>
              <c:y val="0.92780265748031499"/>
            </c:manualLayout>
          </c:layout>
          <c:overlay val="0"/>
          <c:spPr>
            <a:solidFill>
              <a:schemeClr val="bg1"/>
            </a:solidFill>
            <a:ln>
              <a:solidFill>
                <a:srgbClr val="002060">
                  <a:alpha val="83000"/>
                </a:srgbClr>
              </a:solid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GB"/>
            </a:p>
          </c:txPr>
        </c:title>
        <c:numFmt formatCode="0.00" sourceLinked="0"/>
        <c:majorTickMark val="none"/>
        <c:minorTickMark val="none"/>
        <c:tickLblPos val="nextTo"/>
        <c:spPr>
          <a:noFill/>
          <a:ln w="0">
            <a:solidFill>
              <a:srgbClr val="002060"/>
            </a:solidFill>
          </a:ln>
          <a:effectLst/>
        </c:spPr>
        <c:txPr>
          <a:bodyPr rot="5400000" spcFirstLastPara="1" vertOverflow="ellipsis" wrap="square" anchor="ctr" anchorCtr="0"/>
          <a:lstStyle/>
          <a:p>
            <a:pPr>
              <a:defRPr sz="600" b="1" i="0" u="none" strike="noStrike" kern="1200" cap="none" spc="20" normalizeH="0" baseline="0">
                <a:solidFill>
                  <a:srgbClr val="002060"/>
                </a:solidFill>
                <a:latin typeface="+mn-lt"/>
                <a:ea typeface="+mn-ea"/>
                <a:cs typeface="+mn-cs"/>
              </a:defRPr>
            </a:pPr>
            <a:endParaRPr lang="en-US"/>
          </a:p>
        </c:txPr>
        <c:crossAx val="495081712"/>
        <c:crosses val="autoZero"/>
        <c:crossBetween val="midCat"/>
      </c:valAx>
      <c:valAx>
        <c:axId val="495081712"/>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incremental cost</a:t>
                </a:r>
              </a:p>
            </c:rich>
          </c:tx>
          <c:layout>
            <c:manualLayout>
              <c:xMode val="edge"/>
              <c:yMode val="edge"/>
              <c:x val="4.7091949139983602E-2"/>
              <c:y val="0.36150680829325865"/>
            </c:manualLayout>
          </c:layout>
          <c:overlay val="0"/>
          <c:spPr>
            <a:noFill/>
            <a:ln>
              <a:solidFill>
                <a:srgbClr val="002060">
                  <a:alpha val="95000"/>
                </a:srgbClr>
              </a:solid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rgbClr val="002060"/>
                </a:solidFill>
                <a:latin typeface="+mn-lt"/>
                <a:ea typeface="+mn-ea"/>
                <a:cs typeface="+mn-cs"/>
              </a:defRPr>
            </a:pPr>
            <a:endParaRPr lang="en-US"/>
          </a:p>
        </c:txPr>
        <c:crossAx val="49508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rgbClr val="002060"/>
                </a:solidFill>
                <a:latin typeface="+mn-lt"/>
                <a:ea typeface="+mn-ea"/>
                <a:cs typeface="+mn-cs"/>
              </a:defRPr>
            </a:pPr>
            <a:r>
              <a:rPr lang="en-GB">
                <a:solidFill>
                  <a:srgbClr val="002060"/>
                </a:solidFill>
              </a:rPr>
              <a:t>cost effectiveness accceptibility</a:t>
            </a:r>
            <a:r>
              <a:rPr lang="en-GB" baseline="0">
                <a:solidFill>
                  <a:srgbClr val="002060"/>
                </a:solidFill>
              </a:rPr>
              <a:t> curve</a:t>
            </a:r>
            <a:endParaRPr lang="en-GB">
              <a:solidFill>
                <a:srgbClr val="002060"/>
              </a:solidFill>
            </a:endParaRPr>
          </a:p>
        </c:rich>
      </c:tx>
      <c:layout>
        <c:manualLayout>
          <c:xMode val="edge"/>
          <c:yMode val="edge"/>
          <c:x val="0.11306933508311461"/>
          <c:y val="0"/>
        </c:manualLayout>
      </c:layout>
      <c:overlay val="0"/>
      <c:spPr>
        <a:noFill/>
        <a:ln>
          <a:noFill/>
        </a:ln>
        <a:effectLst/>
      </c:spPr>
      <c:txPr>
        <a:bodyPr rot="0" spcFirstLastPara="1" vertOverflow="ellipsis" vert="horz" wrap="square" anchor="ctr" anchorCtr="1"/>
        <a:lstStyle/>
        <a:p>
          <a:pPr>
            <a:defRPr sz="1600" b="0" i="0" u="none" strike="noStrike" kern="1200" spc="70" baseline="0">
              <a:solidFill>
                <a:srgbClr val="002060"/>
              </a:solidFill>
              <a:latin typeface="+mn-lt"/>
              <a:ea typeface="+mn-ea"/>
              <a:cs typeface="+mn-cs"/>
            </a:defRPr>
          </a:pPr>
          <a:endParaRPr lang="en-GB"/>
        </a:p>
      </c:txPr>
    </c:title>
    <c:autoTitleDeleted val="0"/>
    <c:plotArea>
      <c:layout/>
      <c:scatterChart>
        <c:scatterStyle val="smoothMarker"/>
        <c:varyColors val="0"/>
        <c:ser>
          <c:idx val="0"/>
          <c:order val="0"/>
          <c:spPr>
            <a:ln w="28575">
              <a:solidFill>
                <a:schemeClr val="accent1">
                  <a:alpha val="20000"/>
                </a:schemeClr>
              </a:solidFill>
            </a:ln>
            <a:effectLst/>
          </c:spPr>
          <c:marker>
            <c:symbol val="circle"/>
            <c:size val="4"/>
            <c:spPr>
              <a:solidFill>
                <a:schemeClr val="accent1"/>
              </a:solidFill>
              <a:ln w="9525" cap="flat" cmpd="sng" algn="ctr">
                <a:solidFill>
                  <a:schemeClr val="accent1"/>
                </a:solidFill>
                <a:round/>
              </a:ln>
              <a:effectLst/>
            </c:spPr>
          </c:marker>
          <c:xVal>
            <c:numRef>
              <c:f>simulation!$N$8:$N$38</c:f>
              <c:numCache>
                <c:formatCode>"£"#,##0</c:formatCode>
                <c:ptCount val="31"/>
                <c:pt idx="0">
                  <c:v>0</c:v>
                </c:pt>
                <c:pt idx="1">
                  <c:v>1000</c:v>
                </c:pt>
                <c:pt idx="2">
                  <c:v>1500</c:v>
                </c:pt>
                <c:pt idx="3">
                  <c:v>2000</c:v>
                </c:pt>
                <c:pt idx="4">
                  <c:v>2500</c:v>
                </c:pt>
                <c:pt idx="5">
                  <c:v>3000</c:v>
                </c:pt>
                <c:pt idx="6">
                  <c:v>3500</c:v>
                </c:pt>
                <c:pt idx="7">
                  <c:v>4000</c:v>
                </c:pt>
                <c:pt idx="8">
                  <c:v>4500</c:v>
                </c:pt>
                <c:pt idx="9">
                  <c:v>5000</c:v>
                </c:pt>
                <c:pt idx="10">
                  <c:v>5500</c:v>
                </c:pt>
                <c:pt idx="11">
                  <c:v>6000</c:v>
                </c:pt>
                <c:pt idx="12">
                  <c:v>6500</c:v>
                </c:pt>
                <c:pt idx="13">
                  <c:v>7000</c:v>
                </c:pt>
                <c:pt idx="14">
                  <c:v>7500</c:v>
                </c:pt>
                <c:pt idx="15">
                  <c:v>8000</c:v>
                </c:pt>
                <c:pt idx="16">
                  <c:v>8500</c:v>
                </c:pt>
                <c:pt idx="17">
                  <c:v>9000</c:v>
                </c:pt>
                <c:pt idx="18">
                  <c:v>9500</c:v>
                </c:pt>
                <c:pt idx="19">
                  <c:v>10000</c:v>
                </c:pt>
                <c:pt idx="20">
                  <c:v>10500</c:v>
                </c:pt>
                <c:pt idx="21">
                  <c:v>11000</c:v>
                </c:pt>
                <c:pt idx="22">
                  <c:v>11500</c:v>
                </c:pt>
                <c:pt idx="23">
                  <c:v>12000</c:v>
                </c:pt>
                <c:pt idx="24">
                  <c:v>12500</c:v>
                </c:pt>
                <c:pt idx="25">
                  <c:v>13000</c:v>
                </c:pt>
                <c:pt idx="26">
                  <c:v>13500</c:v>
                </c:pt>
                <c:pt idx="27">
                  <c:v>14000</c:v>
                </c:pt>
                <c:pt idx="28">
                  <c:v>14500</c:v>
                </c:pt>
                <c:pt idx="29">
                  <c:v>15000</c:v>
                </c:pt>
                <c:pt idx="30">
                  <c:v>15500</c:v>
                </c:pt>
              </c:numCache>
            </c:numRef>
          </c:xVal>
          <c:yVal>
            <c:numRef>
              <c:f>simulation!$O$8:$O$38</c:f>
              <c:numCache>
                <c:formatCode>0%</c:formatCode>
                <c:ptCount val="31"/>
                <c:pt idx="0">
                  <c:v>8.9999999999999993E-3</c:v>
                </c:pt>
                <c:pt idx="1">
                  <c:v>1E-3</c:v>
                </c:pt>
                <c:pt idx="2">
                  <c:v>0</c:v>
                </c:pt>
                <c:pt idx="3">
                  <c:v>0</c:v>
                </c:pt>
                <c:pt idx="4">
                  <c:v>2E-3</c:v>
                </c:pt>
                <c:pt idx="5">
                  <c:v>1.0999999999999999E-2</c:v>
                </c:pt>
                <c:pt idx="6">
                  <c:v>0.06</c:v>
                </c:pt>
                <c:pt idx="7">
                  <c:v>0.123</c:v>
                </c:pt>
                <c:pt idx="8">
                  <c:v>0.219</c:v>
                </c:pt>
                <c:pt idx="9">
                  <c:v>0.31900000000000001</c:v>
                </c:pt>
                <c:pt idx="10">
                  <c:v>0.439</c:v>
                </c:pt>
                <c:pt idx="11">
                  <c:v>0.51200000000000001</c:v>
                </c:pt>
                <c:pt idx="12">
                  <c:v>0.57599999999999996</c:v>
                </c:pt>
                <c:pt idx="13">
                  <c:v>0.63400000000000001</c:v>
                </c:pt>
                <c:pt idx="14">
                  <c:v>0.68200000000000005</c:v>
                </c:pt>
                <c:pt idx="15">
                  <c:v>0.71299999999999997</c:v>
                </c:pt>
                <c:pt idx="16">
                  <c:v>0.74299999999999999</c:v>
                </c:pt>
                <c:pt idx="17">
                  <c:v>0.77800000000000002</c:v>
                </c:pt>
                <c:pt idx="18">
                  <c:v>0.79500000000000004</c:v>
                </c:pt>
                <c:pt idx="19">
                  <c:v>0.81399999999999995</c:v>
                </c:pt>
                <c:pt idx="20">
                  <c:v>0.82199999999999995</c:v>
                </c:pt>
                <c:pt idx="21">
                  <c:v>0.83</c:v>
                </c:pt>
                <c:pt idx="22">
                  <c:v>0.84199999999999997</c:v>
                </c:pt>
                <c:pt idx="23">
                  <c:v>0.85199999999999998</c:v>
                </c:pt>
                <c:pt idx="24">
                  <c:v>0.85599999999999998</c:v>
                </c:pt>
                <c:pt idx="25">
                  <c:v>0.86199999999999999</c:v>
                </c:pt>
                <c:pt idx="26">
                  <c:v>0.86599999999999999</c:v>
                </c:pt>
                <c:pt idx="27">
                  <c:v>0.874</c:v>
                </c:pt>
                <c:pt idx="28">
                  <c:v>0.88200000000000001</c:v>
                </c:pt>
                <c:pt idx="29">
                  <c:v>0.88400000000000001</c:v>
                </c:pt>
                <c:pt idx="30">
                  <c:v>0.88700000000000001</c:v>
                </c:pt>
              </c:numCache>
            </c:numRef>
          </c:yVal>
          <c:smooth val="1"/>
          <c:extLst>
            <c:ext xmlns:c16="http://schemas.microsoft.com/office/drawing/2014/chart" uri="{C3380CC4-5D6E-409C-BE32-E72D297353CC}">
              <c16:uniqueId val="{00000000-6E58-4E25-BC85-0251390F791B}"/>
            </c:ext>
          </c:extLst>
        </c:ser>
        <c:dLbls>
          <c:showLegendKey val="0"/>
          <c:showVal val="0"/>
          <c:showCatName val="0"/>
          <c:showSerName val="0"/>
          <c:showPercent val="0"/>
          <c:showBubbleSize val="0"/>
        </c:dLbls>
        <c:axId val="432185872"/>
        <c:axId val="1822221248"/>
      </c:scatterChart>
      <c:valAx>
        <c:axId val="432185872"/>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r>
                  <a:rPr lang="en-GB" b="0">
                    <a:solidFill>
                      <a:sysClr val="windowText" lastClr="000000"/>
                    </a:solidFill>
                  </a:rPr>
                  <a:t>cost</a:t>
                </a:r>
                <a:r>
                  <a:rPr lang="en-GB" b="0" baseline="0">
                    <a:solidFill>
                      <a:sysClr val="windowText" lastClr="000000"/>
                    </a:solidFill>
                  </a:rPr>
                  <a:t> effectiveness threshold(£)</a:t>
                </a:r>
                <a:endParaRPr lang="en-GB" b="0">
                  <a:solidFill>
                    <a:sysClr val="windowText" lastClr="000000"/>
                  </a:solidFill>
                </a:endParaRPr>
              </a:p>
            </c:rich>
          </c:tx>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GB"/>
            </a:p>
          </c:txPr>
        </c:title>
        <c:numFmt formatCode="&quot;£&quot;#,##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crossAx val="1822221248"/>
        <c:crosses val="autoZero"/>
        <c:crossBetween val="midCat"/>
      </c:valAx>
      <c:valAx>
        <c:axId val="1822221248"/>
        <c:scaling>
          <c:orientation val="minMax"/>
          <c:max val="1"/>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r>
                  <a:rPr lang="en-GB" b="0">
                    <a:solidFill>
                      <a:sysClr val="windowText" lastClr="000000"/>
                    </a:solidFill>
                  </a:rPr>
                  <a:t>cost-effectiveness</a:t>
                </a:r>
                <a:r>
                  <a:rPr lang="en-GB" b="0" baseline="0">
                    <a:solidFill>
                      <a:sysClr val="windowText" lastClr="000000"/>
                    </a:solidFill>
                  </a:rPr>
                  <a:t> probability</a:t>
                </a:r>
                <a:endParaRPr lang="en-GB" b="0">
                  <a:solidFill>
                    <a:sysClr val="windowText" lastClr="000000"/>
                  </a:solidFill>
                </a:endParaRPr>
              </a:p>
            </c:rich>
          </c:tx>
          <c:overlay val="0"/>
          <c:spPr>
            <a:noFill/>
            <a:ln>
              <a:noFill/>
            </a:ln>
            <a:effectLst/>
          </c:spPr>
          <c:txPr>
            <a:bodyPr rot="-54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accent6"/>
                </a:solidFill>
                <a:latin typeface="+mn-lt"/>
                <a:ea typeface="+mn-ea"/>
                <a:cs typeface="+mn-cs"/>
              </a:defRPr>
            </a:pPr>
            <a:endParaRPr lang="en-US"/>
          </a:p>
        </c:txPr>
        <c:crossAx val="432185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Style="combo" dx="31" fmlaLink="$F$8" fmlaRange="$C$8:$C$9" noThreeD="1" sel="1"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1244600</xdr:colOff>
          <xdr:row>4</xdr:row>
          <xdr:rowOff>152400</xdr:rowOff>
        </xdr:from>
        <xdr:to>
          <xdr:col>7</xdr:col>
          <xdr:colOff>76200</xdr:colOff>
          <xdr:row>5</xdr:row>
          <xdr:rowOff>177800</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xdr:row>
      <xdr:rowOff>6350</xdr:rowOff>
    </xdr:from>
    <xdr:to>
      <xdr:col>7</xdr:col>
      <xdr:colOff>44450</xdr:colOff>
      <xdr:row>2</xdr:row>
      <xdr:rowOff>0</xdr:rowOff>
    </xdr:to>
    <xdr:sp macro="[0]!PSA" textlink="">
      <xdr:nvSpPr>
        <xdr:cNvPr id="2" name="Rectangle 1">
          <a:extLst>
            <a:ext uri="{FF2B5EF4-FFF2-40B4-BE49-F238E27FC236}">
              <a16:creationId xmlns:a16="http://schemas.microsoft.com/office/drawing/2014/main" id="{E9AB6DC1-FA0D-35B3-220A-7EC551175EF2}"/>
            </a:ext>
          </a:extLst>
        </xdr:cNvPr>
        <xdr:cNvSpPr/>
      </xdr:nvSpPr>
      <xdr:spPr>
        <a:xfrm>
          <a:off x="1854200" y="190500"/>
          <a:ext cx="2609850" cy="298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tx1"/>
              </a:solidFill>
            </a:rPr>
            <a:t>run PSA</a:t>
          </a:r>
        </a:p>
      </xdr:txBody>
    </xdr:sp>
    <xdr:clientData/>
  </xdr:twoCellAnchor>
  <xdr:twoCellAnchor>
    <xdr:from>
      <xdr:col>10</xdr:col>
      <xdr:colOff>704850</xdr:colOff>
      <xdr:row>5</xdr:row>
      <xdr:rowOff>133350</xdr:rowOff>
    </xdr:from>
    <xdr:to>
      <xdr:col>22</xdr:col>
      <xdr:colOff>387350</xdr:colOff>
      <xdr:row>21</xdr:row>
      <xdr:rowOff>63500</xdr:rowOff>
    </xdr:to>
    <xdr:graphicFrame macro="">
      <xdr:nvGraphicFramePr>
        <xdr:cNvPr id="3" name="Chart 2">
          <a:extLst>
            <a:ext uri="{FF2B5EF4-FFF2-40B4-BE49-F238E27FC236}">
              <a16:creationId xmlns:a16="http://schemas.microsoft.com/office/drawing/2014/main" id="{D412D2EB-D0D8-4ABD-B4C9-D614EDD006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23</xdr:row>
      <xdr:rowOff>0</xdr:rowOff>
    </xdr:from>
    <xdr:to>
      <xdr:col>22</xdr:col>
      <xdr:colOff>387350</xdr:colOff>
      <xdr:row>37</xdr:row>
      <xdr:rowOff>165100</xdr:rowOff>
    </xdr:to>
    <xdr:graphicFrame macro="">
      <xdr:nvGraphicFramePr>
        <xdr:cNvPr id="4" name="Chart 3">
          <a:extLst>
            <a:ext uri="{FF2B5EF4-FFF2-40B4-BE49-F238E27FC236}">
              <a16:creationId xmlns:a16="http://schemas.microsoft.com/office/drawing/2014/main" id="{1F11D0FA-B55B-40D7-909E-1F9E2AABF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0.03012</cdr:x>
      <cdr:y>0.07021</cdr:y>
    </cdr:from>
    <cdr:to>
      <cdr:x>0.11616</cdr:x>
      <cdr:y>0.11915</cdr:y>
    </cdr:to>
    <cdr:sp macro="" textlink="">
      <cdr:nvSpPr>
        <cdr:cNvPr id="2" name="TextBox 1">
          <a:extLst xmlns:a="http://schemas.openxmlformats.org/drawingml/2006/main">
            <a:ext uri="{FF2B5EF4-FFF2-40B4-BE49-F238E27FC236}">
              <a16:creationId xmlns:a16="http://schemas.microsoft.com/office/drawing/2014/main" id="{A0C1D214-D861-11FC-BCB9-8FE82157D2CB}"/>
            </a:ext>
          </a:extLst>
        </cdr:cNvPr>
        <cdr:cNvSpPr txBox="1"/>
      </cdr:nvSpPr>
      <cdr:spPr>
        <a:xfrm xmlns:a="http://schemas.openxmlformats.org/drawingml/2006/main">
          <a:off x="155576" y="209550"/>
          <a:ext cx="444500" cy="1460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0.4075</cdr:x>
      <cdr:y>0.92979</cdr:y>
    </cdr:from>
    <cdr:to>
      <cdr:x>0.62139</cdr:x>
      <cdr:y>0.97872</cdr:y>
    </cdr:to>
    <cdr:sp macro="" textlink="">
      <cdr:nvSpPr>
        <cdr:cNvPr id="3" name="TextBox 2">
          <a:extLst xmlns:a="http://schemas.openxmlformats.org/drawingml/2006/main">
            <a:ext uri="{FF2B5EF4-FFF2-40B4-BE49-F238E27FC236}">
              <a16:creationId xmlns:a16="http://schemas.microsoft.com/office/drawing/2014/main" id="{ECEA6937-025D-3525-807D-F848C2CB5F8C}"/>
            </a:ext>
          </a:extLst>
        </cdr:cNvPr>
        <cdr:cNvSpPr txBox="1"/>
      </cdr:nvSpPr>
      <cdr:spPr>
        <a:xfrm xmlns:a="http://schemas.openxmlformats.org/drawingml/2006/main">
          <a:off x="2105026" y="2774950"/>
          <a:ext cx="1104900" cy="1460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89648</xdr:colOff>
      <xdr:row>0</xdr:row>
      <xdr:rowOff>164354</xdr:rowOff>
    </xdr:from>
    <xdr:to>
      <xdr:col>14</xdr:col>
      <xdr:colOff>702235</xdr:colOff>
      <xdr:row>8</xdr:row>
      <xdr:rowOff>104589</xdr:rowOff>
    </xdr:to>
    <xdr:sp macro="" textlink="">
      <xdr:nvSpPr>
        <xdr:cNvPr id="2" name="TextBox 1">
          <a:extLst>
            <a:ext uri="{FF2B5EF4-FFF2-40B4-BE49-F238E27FC236}">
              <a16:creationId xmlns:a16="http://schemas.microsoft.com/office/drawing/2014/main" id="{5246144A-6A1D-7791-254A-A838D620034B}"/>
            </a:ext>
          </a:extLst>
        </xdr:cNvPr>
        <xdr:cNvSpPr txBox="1"/>
      </xdr:nvSpPr>
      <xdr:spPr>
        <a:xfrm>
          <a:off x="4930589" y="164354"/>
          <a:ext cx="8292352" cy="143435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b="1"/>
            <a:t>Age-adjusted mortality for males</a:t>
          </a:r>
          <a:r>
            <a:rPr lang="en-GB"/>
            <a:t> = Mortality rate for males at age </a:t>
          </a:r>
          <a:r>
            <a:rPr lang="en-GB" i="1"/>
            <a:t>x</a:t>
          </a:r>
          <a:r>
            <a:rPr lang="en-GB"/>
            <a:t> (from life table) × Standardized Mortality Ratio (SMR) for the given health state.</a:t>
          </a:r>
        </a:p>
        <a:p>
          <a:r>
            <a:rPr lang="en-GB" b="1"/>
            <a:t>Age-adjusted mortality for females</a:t>
          </a:r>
          <a:r>
            <a:rPr lang="en-GB"/>
            <a:t> = Mortality rate for females at age </a:t>
          </a:r>
          <a:r>
            <a:rPr lang="en-GB" i="1"/>
            <a:t>x</a:t>
          </a:r>
          <a:r>
            <a:rPr lang="en-GB"/>
            <a:t> (from life table) × Standardized Mortality Ratio (SMR) for the given health state.</a:t>
          </a:r>
        </a:p>
        <a:p>
          <a:r>
            <a:rPr lang="en-GB" b="1"/>
            <a:t>Overall age &amp; sex_adjusted mortality (to use in model)</a:t>
          </a:r>
          <a:r>
            <a:rPr lang="en-GB"/>
            <a:t> =</a:t>
          </a:r>
          <a:br>
            <a:rPr lang="en-GB"/>
          </a:br>
          <a:r>
            <a:rPr lang="en-GB"/>
            <a:t>(</a:t>
          </a:r>
          <a:r>
            <a:rPr lang="en-GB" i="1"/>
            <a:t>Age-adjusted mortality for males</a:t>
          </a:r>
          <a:r>
            <a:rPr lang="en-GB"/>
            <a:t> × </a:t>
          </a:r>
          <a:r>
            <a:rPr lang="en-GB" i="1"/>
            <a:t>Male proportion</a:t>
          </a:r>
          <a:r>
            <a:rPr lang="en-GB"/>
            <a:t>) + (</a:t>
          </a:r>
          <a:r>
            <a:rPr lang="en-GB" i="1"/>
            <a:t>Age-adjusted mortality for females</a:t>
          </a:r>
          <a:r>
            <a:rPr lang="en-GB"/>
            <a:t> × </a:t>
          </a:r>
          <a:r>
            <a:rPr lang="en-GB" i="1"/>
            <a:t>(1 - Male proportion)</a:t>
          </a:r>
          <a:r>
            <a:rPr lang="en-GB"/>
            <a:t>)</a:t>
          </a:r>
        </a:p>
        <a:p>
          <a:endParaRPr lang="en-GB" sz="1100" baseline="0"/>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109415</xdr:colOff>
      <xdr:row>0</xdr:row>
      <xdr:rowOff>172963</xdr:rowOff>
    </xdr:from>
    <xdr:to>
      <xdr:col>10</xdr:col>
      <xdr:colOff>339969</xdr:colOff>
      <xdr:row>5</xdr:row>
      <xdr:rowOff>170473</xdr:rowOff>
    </xdr:to>
    <xdr:pic>
      <xdr:nvPicPr>
        <xdr:cNvPr id="2" name="Picture 1">
          <a:extLst>
            <a:ext uri="{FF2B5EF4-FFF2-40B4-BE49-F238E27FC236}">
              <a16:creationId xmlns:a16="http://schemas.microsoft.com/office/drawing/2014/main" id="{DABD14E7-0A5E-8650-8F40-A65FDE56809E}"/>
            </a:ext>
          </a:extLst>
        </xdr:cNvPr>
        <xdr:cNvPicPr>
          <a:picLocks noChangeAspect="1"/>
        </xdr:cNvPicPr>
      </xdr:nvPicPr>
      <xdr:blipFill>
        <a:blip xmlns:r="http://schemas.openxmlformats.org/officeDocument/2006/relationships" r:embed="rId1"/>
        <a:stretch>
          <a:fillRect/>
        </a:stretch>
      </xdr:blipFill>
      <xdr:spPr>
        <a:xfrm>
          <a:off x="2478453" y="172963"/>
          <a:ext cx="4900247" cy="925587"/>
        </a:xfrm>
        <a:prstGeom prst="rect">
          <a:avLst/>
        </a:prstGeom>
      </xdr:spPr>
    </xdr:pic>
    <xdr:clientData/>
  </xdr:twoCellAnchor>
  <xdr:twoCellAnchor>
    <xdr:from>
      <xdr:col>3</xdr:col>
      <xdr:colOff>85919</xdr:colOff>
      <xdr:row>54</xdr:row>
      <xdr:rowOff>62120</xdr:rowOff>
    </xdr:from>
    <xdr:to>
      <xdr:col>15</xdr:col>
      <xdr:colOff>446599</xdr:colOff>
      <xdr:row>75</xdr:row>
      <xdr:rowOff>149088</xdr:rowOff>
    </xdr:to>
    <xdr:sp macro="" textlink="">
      <xdr:nvSpPr>
        <xdr:cNvPr id="3" name="TextBox 2">
          <a:extLst>
            <a:ext uri="{FF2B5EF4-FFF2-40B4-BE49-F238E27FC236}">
              <a16:creationId xmlns:a16="http://schemas.microsoft.com/office/drawing/2014/main" id="{F7CB0120-2ECD-B5A9-F256-922974D615C7}"/>
            </a:ext>
          </a:extLst>
        </xdr:cNvPr>
        <xdr:cNvSpPr txBox="1"/>
      </xdr:nvSpPr>
      <xdr:spPr>
        <a:xfrm>
          <a:off x="2454745" y="9901859"/>
          <a:ext cx="8427941" cy="39135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b="1"/>
            <a:t>Step 1: Calculate Baseline Utility for Males and Females</a:t>
          </a:r>
        </a:p>
        <a:p>
          <a:r>
            <a:rPr lang="en-GB"/>
            <a:t>To estimate the </a:t>
          </a:r>
          <a:r>
            <a:rPr lang="en-GB" b="1"/>
            <a:t>baseline utility</a:t>
          </a:r>
          <a:r>
            <a:rPr lang="en-GB"/>
            <a:t> for males and females at a given age (</a:t>
          </a:r>
          <a:r>
            <a:rPr lang="en-GB" b="1"/>
            <a:t>AgeX</a:t>
          </a:r>
          <a:r>
            <a:rPr lang="en-GB"/>
            <a:t>), we use the </a:t>
          </a:r>
          <a:r>
            <a:rPr lang="en-GB" b="1"/>
            <a:t>Ara (2010) equation</a:t>
          </a:r>
          <a:r>
            <a:rPr lang="en-GB"/>
            <a:t>:</a:t>
          </a:r>
        </a:p>
        <a:p>
          <a:r>
            <a:rPr lang="en-GB"/>
            <a:t>Utility=0.9508566+(0.0212126×Male)−(0.0002587×Age)−(0.0000332×Age^2</a:t>
          </a:r>
        </a:p>
        <a:p>
          <a:endParaRPr lang="en-GB"/>
        </a:p>
        <a:p>
          <a:r>
            <a:rPr lang="en-GB" b="1"/>
            <a:t>Where:</a:t>
          </a:r>
        </a:p>
        <a:p>
          <a:r>
            <a:rPr lang="en-GB" b="1"/>
            <a:t>Male</a:t>
          </a:r>
          <a:r>
            <a:rPr lang="en-GB"/>
            <a:t> = 1 for males, 0 for females.</a:t>
          </a:r>
        </a:p>
        <a:p>
          <a:r>
            <a:rPr lang="en-GB"/>
            <a:t>We apply this formula separately for: </a:t>
          </a:r>
          <a:r>
            <a:rPr lang="en-GB" b="1"/>
            <a:t>Males starting at age 63</a:t>
          </a:r>
          <a:r>
            <a:rPr lang="en-GB"/>
            <a:t> + 39year</a:t>
          </a:r>
          <a:r>
            <a:rPr lang="en-GB" baseline="0"/>
            <a:t> </a:t>
          </a:r>
          <a:r>
            <a:rPr lang="en-GB"/>
            <a:t> ,   </a:t>
          </a:r>
          <a:r>
            <a:rPr lang="en-GB" b="1"/>
            <a:t>Females starting at age 70</a:t>
          </a:r>
          <a:r>
            <a:rPr lang="en-GB"/>
            <a:t> + 39 year </a:t>
          </a:r>
        </a:p>
        <a:p>
          <a:endParaRPr lang="en-GB" b="1"/>
        </a:p>
        <a:p>
          <a:r>
            <a:rPr lang="en-GB" b="1"/>
            <a:t>Step 2: Adjust for Health State Utility</a:t>
          </a:r>
        </a:p>
        <a:p>
          <a:r>
            <a:rPr lang="en-GB"/>
            <a:t>Next, we adjust the </a:t>
          </a:r>
          <a:r>
            <a:rPr lang="en-GB" b="1"/>
            <a:t>baseline utility</a:t>
          </a:r>
          <a:r>
            <a:rPr lang="en-GB"/>
            <a:t> to account for specific </a:t>
          </a:r>
          <a:r>
            <a:rPr lang="en-GB" b="1"/>
            <a:t>health states</a:t>
          </a:r>
          <a:r>
            <a:rPr lang="en-GB"/>
            <a:t> (e.g., stroke, post-MI, reinfarction) by multiplying it with the corresponding </a:t>
          </a:r>
          <a:r>
            <a:rPr lang="en-GB" b="1"/>
            <a:t>health state utility</a:t>
          </a:r>
          <a:r>
            <a:rPr lang="en-GB"/>
            <a:t>:</a:t>
          </a:r>
        </a:p>
        <a:p>
          <a:r>
            <a:rPr lang="en-GB"/>
            <a:t>Age-Adjusted Utility (Male)= Base Utility (Male)×Health State Utility</a:t>
          </a:r>
        </a:p>
        <a:p>
          <a:r>
            <a:rPr lang="en-GB"/>
            <a:t>Age_Adjusted Utility (Female)= Base Utility (Female)×Health State Utility</a:t>
          </a:r>
        </a:p>
        <a:p>
          <a:endParaRPr lang="en-GB"/>
        </a:p>
        <a:p>
          <a:r>
            <a:rPr lang="en-GB"/>
            <a:t> </a:t>
          </a:r>
          <a:r>
            <a:rPr lang="en-GB" b="1"/>
            <a:t>Step 3: Compute Weighted Age- and Sex-Adjusted Utility</a:t>
          </a:r>
        </a:p>
        <a:p>
          <a:r>
            <a:rPr lang="en-GB"/>
            <a:t>To estimate the overall utility for a population consisting of both </a:t>
          </a:r>
          <a:r>
            <a:rPr lang="en-GB" b="1"/>
            <a:t>males and females</a:t>
          </a:r>
          <a:r>
            <a:rPr lang="en-GB"/>
            <a:t>, we calculate a </a:t>
          </a:r>
          <a:r>
            <a:rPr lang="en-GB" b="1"/>
            <a:t>weighted average</a:t>
          </a:r>
          <a:r>
            <a:rPr lang="en-GB"/>
            <a:t> using the proportion of males in the cohort:</a:t>
          </a:r>
        </a:p>
        <a:p>
          <a:r>
            <a:rPr lang="en-GB"/>
            <a:t>Weighted Utility=(Age-Adjusted Utility (Male)×Male Proportion)+(Age-Adjusted Utility (Female)×(1−Male Proportion))</a:t>
          </a:r>
        </a:p>
        <a:p>
          <a:endParaRPr lang="en-GB" sz="110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4380</xdr:colOff>
      <xdr:row>11</xdr:row>
      <xdr:rowOff>4379</xdr:rowOff>
    </xdr:from>
    <xdr:to>
      <xdr:col>20</xdr:col>
      <xdr:colOff>7471</xdr:colOff>
      <xdr:row>11</xdr:row>
      <xdr:rowOff>14941</xdr:rowOff>
    </xdr:to>
    <xdr:cxnSp macro="">
      <xdr:nvCxnSpPr>
        <xdr:cNvPr id="3" name="Straight Connector 2">
          <a:extLst>
            <a:ext uri="{FF2B5EF4-FFF2-40B4-BE49-F238E27FC236}">
              <a16:creationId xmlns:a16="http://schemas.microsoft.com/office/drawing/2014/main" id="{53376326-D454-04A0-E474-7FAA60131935}"/>
            </a:ext>
          </a:extLst>
        </xdr:cNvPr>
        <xdr:cNvCxnSpPr/>
      </xdr:nvCxnSpPr>
      <xdr:spPr>
        <a:xfrm>
          <a:off x="1229556" y="1954203"/>
          <a:ext cx="9064915" cy="10562"/>
        </a:xfrm>
        <a:prstGeom prst="line">
          <a:avLst/>
        </a:prstGeom>
        <a:ln w="7620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41731</xdr:colOff>
      <xdr:row>6</xdr:row>
      <xdr:rowOff>119530</xdr:rowOff>
    </xdr:from>
    <xdr:to>
      <xdr:col>4</xdr:col>
      <xdr:colOff>313764</xdr:colOff>
      <xdr:row>10</xdr:row>
      <xdr:rowOff>14941</xdr:rowOff>
    </xdr:to>
    <xdr:sp macro="" textlink="">
      <xdr:nvSpPr>
        <xdr:cNvPr id="4" name="TextBox 3">
          <a:extLst>
            <a:ext uri="{FF2B5EF4-FFF2-40B4-BE49-F238E27FC236}">
              <a16:creationId xmlns:a16="http://schemas.microsoft.com/office/drawing/2014/main" id="{44D7E106-E66B-1B68-9E20-B2B6B61C1C0B}"/>
            </a:ext>
          </a:extLst>
        </xdr:cNvPr>
        <xdr:cNvSpPr txBox="1"/>
      </xdr:nvSpPr>
      <xdr:spPr>
        <a:xfrm>
          <a:off x="1266907" y="1426883"/>
          <a:ext cx="884622" cy="64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a:p>
          <a:r>
            <a:rPr lang="en-GB" sz="1050"/>
            <a:t>ASA + Tica</a:t>
          </a:r>
        </a:p>
        <a:p>
          <a:r>
            <a:rPr lang="en-GB" sz="1050"/>
            <a:t>ASA + Pras</a:t>
          </a:r>
        </a:p>
      </xdr:txBody>
    </xdr:sp>
    <xdr:clientData/>
  </xdr:twoCellAnchor>
  <xdr:twoCellAnchor>
    <xdr:from>
      <xdr:col>4</xdr:col>
      <xdr:colOff>333083</xdr:colOff>
      <xdr:row>6</xdr:row>
      <xdr:rowOff>119531</xdr:rowOff>
    </xdr:from>
    <xdr:to>
      <xdr:col>5</xdr:col>
      <xdr:colOff>605117</xdr:colOff>
      <xdr:row>10</xdr:row>
      <xdr:rowOff>14942</xdr:rowOff>
    </xdr:to>
    <xdr:sp macro="" textlink="">
      <xdr:nvSpPr>
        <xdr:cNvPr id="7" name="TextBox 6">
          <a:extLst>
            <a:ext uri="{FF2B5EF4-FFF2-40B4-BE49-F238E27FC236}">
              <a16:creationId xmlns:a16="http://schemas.microsoft.com/office/drawing/2014/main" id="{838C4395-C3A2-4EDB-8953-7C820549C848}"/>
            </a:ext>
          </a:extLst>
        </xdr:cNvPr>
        <xdr:cNvSpPr txBox="1"/>
      </xdr:nvSpPr>
      <xdr:spPr>
        <a:xfrm>
          <a:off x="2170848" y="1471707"/>
          <a:ext cx="884622" cy="64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050"/>
        </a:p>
        <a:p>
          <a:pPr algn="ctr"/>
          <a:r>
            <a:rPr lang="en-GB" sz="1050"/>
            <a:t>POC test </a:t>
          </a:r>
        </a:p>
      </xdr:txBody>
    </xdr:sp>
    <xdr:clientData/>
  </xdr:twoCellAnchor>
  <xdr:twoCellAnchor>
    <xdr:from>
      <xdr:col>7</xdr:col>
      <xdr:colOff>228499</xdr:colOff>
      <xdr:row>6</xdr:row>
      <xdr:rowOff>127001</xdr:rowOff>
    </xdr:from>
    <xdr:to>
      <xdr:col>8</xdr:col>
      <xdr:colOff>500533</xdr:colOff>
      <xdr:row>10</xdr:row>
      <xdr:rowOff>22412</xdr:rowOff>
    </xdr:to>
    <xdr:sp macro="" textlink="">
      <xdr:nvSpPr>
        <xdr:cNvPr id="8" name="TextBox 7">
          <a:extLst>
            <a:ext uri="{FF2B5EF4-FFF2-40B4-BE49-F238E27FC236}">
              <a16:creationId xmlns:a16="http://schemas.microsoft.com/office/drawing/2014/main" id="{25B87FC3-FAD9-41FF-846D-5D2F77628B9C}"/>
            </a:ext>
          </a:extLst>
        </xdr:cNvPr>
        <xdr:cNvSpPr txBox="1"/>
      </xdr:nvSpPr>
      <xdr:spPr>
        <a:xfrm>
          <a:off x="3440852" y="918883"/>
          <a:ext cx="884622" cy="64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a:p>
          <a:r>
            <a:rPr lang="en-GB" sz="1050"/>
            <a:t>ASA + Tica</a:t>
          </a:r>
        </a:p>
        <a:p>
          <a:r>
            <a:rPr lang="en-GB" sz="1050"/>
            <a:t>ASA + Pras</a:t>
          </a:r>
        </a:p>
      </xdr:txBody>
    </xdr:sp>
    <xdr:clientData/>
  </xdr:twoCellAnchor>
  <xdr:twoCellAnchor>
    <xdr:from>
      <xdr:col>5</xdr:col>
      <xdr:colOff>132924</xdr:colOff>
      <xdr:row>10</xdr:row>
      <xdr:rowOff>14943</xdr:rowOff>
    </xdr:from>
    <xdr:to>
      <xdr:col>5</xdr:col>
      <xdr:colOff>134471</xdr:colOff>
      <xdr:row>13</xdr:row>
      <xdr:rowOff>0</xdr:rowOff>
    </xdr:to>
    <xdr:cxnSp macro="">
      <xdr:nvCxnSpPr>
        <xdr:cNvPr id="10" name="Straight Connector 9">
          <a:extLst>
            <a:ext uri="{FF2B5EF4-FFF2-40B4-BE49-F238E27FC236}">
              <a16:creationId xmlns:a16="http://schemas.microsoft.com/office/drawing/2014/main" id="{100FD38C-26F5-8FAD-57A3-15C1B4161E29}"/>
            </a:ext>
          </a:extLst>
        </xdr:cNvPr>
        <xdr:cNvCxnSpPr/>
      </xdr:nvCxnSpPr>
      <xdr:spPr>
        <a:xfrm>
          <a:off x="2583277" y="1591237"/>
          <a:ext cx="1547" cy="545351"/>
        </a:xfrm>
        <a:prstGeom prst="line">
          <a:avLst/>
        </a:prstGeom>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134470</xdr:colOff>
      <xdr:row>13</xdr:row>
      <xdr:rowOff>1</xdr:rowOff>
    </xdr:from>
    <xdr:to>
      <xdr:col>11</xdr:col>
      <xdr:colOff>156883</xdr:colOff>
      <xdr:row>13</xdr:row>
      <xdr:rowOff>1</xdr:rowOff>
    </xdr:to>
    <xdr:cxnSp macro="">
      <xdr:nvCxnSpPr>
        <xdr:cNvPr id="12" name="Straight Connector 11">
          <a:extLst>
            <a:ext uri="{FF2B5EF4-FFF2-40B4-BE49-F238E27FC236}">
              <a16:creationId xmlns:a16="http://schemas.microsoft.com/office/drawing/2014/main" id="{4A352218-FBBB-B6E0-7F7F-792793101714}"/>
            </a:ext>
          </a:extLst>
        </xdr:cNvPr>
        <xdr:cNvCxnSpPr/>
      </xdr:nvCxnSpPr>
      <xdr:spPr>
        <a:xfrm>
          <a:off x="2584823" y="2136589"/>
          <a:ext cx="2808942" cy="0"/>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141941</xdr:colOff>
      <xdr:row>10</xdr:row>
      <xdr:rowOff>14941</xdr:rowOff>
    </xdr:from>
    <xdr:to>
      <xdr:col>11</xdr:col>
      <xdr:colOff>143382</xdr:colOff>
      <xdr:row>12</xdr:row>
      <xdr:rowOff>182281</xdr:rowOff>
    </xdr:to>
    <xdr:cxnSp macro="">
      <xdr:nvCxnSpPr>
        <xdr:cNvPr id="13" name="Straight Connector 12">
          <a:extLst>
            <a:ext uri="{FF2B5EF4-FFF2-40B4-BE49-F238E27FC236}">
              <a16:creationId xmlns:a16="http://schemas.microsoft.com/office/drawing/2014/main" id="{D5918B1C-4662-4EE7-8FAE-62141259959D}"/>
            </a:ext>
          </a:extLst>
        </xdr:cNvPr>
        <xdr:cNvCxnSpPr/>
      </xdr:nvCxnSpPr>
      <xdr:spPr>
        <a:xfrm flipH="1" flipV="1">
          <a:off x="5378823" y="1553882"/>
          <a:ext cx="1441" cy="540870"/>
        </a:xfrm>
        <a:prstGeom prst="line">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291256</xdr:colOff>
      <xdr:row>4</xdr:row>
      <xdr:rowOff>2990</xdr:rowOff>
    </xdr:from>
    <xdr:to>
      <xdr:col>11</xdr:col>
      <xdr:colOff>563290</xdr:colOff>
      <xdr:row>5</xdr:row>
      <xdr:rowOff>119528</xdr:rowOff>
    </xdr:to>
    <xdr:sp macro="" textlink="">
      <xdr:nvSpPr>
        <xdr:cNvPr id="15" name="TextBox 14">
          <a:extLst>
            <a:ext uri="{FF2B5EF4-FFF2-40B4-BE49-F238E27FC236}">
              <a16:creationId xmlns:a16="http://schemas.microsoft.com/office/drawing/2014/main" id="{974FEFEF-9BA8-4BBB-A22F-C574F1F4B2D4}"/>
            </a:ext>
          </a:extLst>
        </xdr:cNvPr>
        <xdr:cNvSpPr txBox="1"/>
      </xdr:nvSpPr>
      <xdr:spPr>
        <a:xfrm>
          <a:off x="4915550" y="832225"/>
          <a:ext cx="884622" cy="3033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050"/>
            <a:t>No-LOF </a:t>
          </a:r>
        </a:p>
      </xdr:txBody>
    </xdr:sp>
    <xdr:clientData/>
  </xdr:twoCellAnchor>
  <xdr:twoCellAnchor>
    <xdr:from>
      <xdr:col>10</xdr:col>
      <xdr:colOff>339068</xdr:colOff>
      <xdr:row>8</xdr:row>
      <xdr:rowOff>13448</xdr:rowOff>
    </xdr:from>
    <xdr:to>
      <xdr:col>11</xdr:col>
      <xdr:colOff>611102</xdr:colOff>
      <xdr:row>9</xdr:row>
      <xdr:rowOff>129988</xdr:rowOff>
    </xdr:to>
    <xdr:sp macro="" textlink="">
      <xdr:nvSpPr>
        <xdr:cNvPr id="18" name="TextBox 17">
          <a:extLst>
            <a:ext uri="{FF2B5EF4-FFF2-40B4-BE49-F238E27FC236}">
              <a16:creationId xmlns:a16="http://schemas.microsoft.com/office/drawing/2014/main" id="{3D7B7D92-D411-4E61-9881-5B717ACFB2F3}"/>
            </a:ext>
          </a:extLst>
        </xdr:cNvPr>
        <xdr:cNvSpPr txBox="1"/>
      </xdr:nvSpPr>
      <xdr:spPr>
        <a:xfrm>
          <a:off x="4963362" y="1589742"/>
          <a:ext cx="884622" cy="303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050"/>
            <a:t>LOF </a:t>
          </a:r>
        </a:p>
      </xdr:txBody>
    </xdr:sp>
    <xdr:clientData/>
  </xdr:twoCellAnchor>
  <xdr:twoCellAnchor>
    <xdr:from>
      <xdr:col>14</xdr:col>
      <xdr:colOff>286775</xdr:colOff>
      <xdr:row>3</xdr:row>
      <xdr:rowOff>147918</xdr:rowOff>
    </xdr:from>
    <xdr:to>
      <xdr:col>15</xdr:col>
      <xdr:colOff>558810</xdr:colOff>
      <xdr:row>5</xdr:row>
      <xdr:rowOff>77694</xdr:rowOff>
    </xdr:to>
    <xdr:sp macro="" textlink="">
      <xdr:nvSpPr>
        <xdr:cNvPr id="22" name="TextBox 21">
          <a:extLst>
            <a:ext uri="{FF2B5EF4-FFF2-40B4-BE49-F238E27FC236}">
              <a16:creationId xmlns:a16="http://schemas.microsoft.com/office/drawing/2014/main" id="{A2167A56-61A7-4BF5-8295-146AA14188CC}"/>
            </a:ext>
          </a:extLst>
        </xdr:cNvPr>
        <xdr:cNvSpPr txBox="1"/>
      </xdr:nvSpPr>
      <xdr:spPr>
        <a:xfrm>
          <a:off x="6898246" y="790389"/>
          <a:ext cx="884623" cy="303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xdr:txBody>
    </xdr:sp>
    <xdr:clientData/>
  </xdr:twoCellAnchor>
  <xdr:twoCellAnchor>
    <xdr:from>
      <xdr:col>14</xdr:col>
      <xdr:colOff>312177</xdr:colOff>
      <xdr:row>6</xdr:row>
      <xdr:rowOff>173318</xdr:rowOff>
    </xdr:from>
    <xdr:to>
      <xdr:col>15</xdr:col>
      <xdr:colOff>584212</xdr:colOff>
      <xdr:row>8</xdr:row>
      <xdr:rowOff>103092</xdr:rowOff>
    </xdr:to>
    <xdr:sp macro="" textlink="">
      <xdr:nvSpPr>
        <xdr:cNvPr id="23" name="TextBox 22">
          <a:extLst>
            <a:ext uri="{FF2B5EF4-FFF2-40B4-BE49-F238E27FC236}">
              <a16:creationId xmlns:a16="http://schemas.microsoft.com/office/drawing/2014/main" id="{3C428DBC-0648-4A9C-A373-6F1D5E534CE0}"/>
            </a:ext>
          </a:extLst>
        </xdr:cNvPr>
        <xdr:cNvSpPr txBox="1"/>
      </xdr:nvSpPr>
      <xdr:spPr>
        <a:xfrm>
          <a:off x="6923648" y="1376083"/>
          <a:ext cx="884623" cy="3033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Tica</a:t>
          </a:r>
        </a:p>
      </xdr:txBody>
    </xdr:sp>
    <xdr:clientData/>
  </xdr:twoCellAnchor>
  <xdr:twoCellAnchor>
    <xdr:from>
      <xdr:col>14</xdr:col>
      <xdr:colOff>322633</xdr:colOff>
      <xdr:row>9</xdr:row>
      <xdr:rowOff>4483</xdr:rowOff>
    </xdr:from>
    <xdr:to>
      <xdr:col>15</xdr:col>
      <xdr:colOff>594668</xdr:colOff>
      <xdr:row>10</xdr:row>
      <xdr:rowOff>121023</xdr:rowOff>
    </xdr:to>
    <xdr:sp macro="" textlink="">
      <xdr:nvSpPr>
        <xdr:cNvPr id="24" name="TextBox 23">
          <a:extLst>
            <a:ext uri="{FF2B5EF4-FFF2-40B4-BE49-F238E27FC236}">
              <a16:creationId xmlns:a16="http://schemas.microsoft.com/office/drawing/2014/main" id="{536FE807-CB84-4F13-BC03-17B57E5C1D9C}"/>
            </a:ext>
          </a:extLst>
        </xdr:cNvPr>
        <xdr:cNvSpPr txBox="1"/>
      </xdr:nvSpPr>
      <xdr:spPr>
        <a:xfrm>
          <a:off x="6934104" y="1767542"/>
          <a:ext cx="884623" cy="303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Pras</a:t>
          </a:r>
        </a:p>
      </xdr:txBody>
    </xdr:sp>
    <xdr:clientData/>
  </xdr:twoCellAnchor>
  <xdr:twoCellAnchor>
    <xdr:from>
      <xdr:col>7</xdr:col>
      <xdr:colOff>194235</xdr:colOff>
      <xdr:row>12</xdr:row>
      <xdr:rowOff>37352</xdr:rowOff>
    </xdr:from>
    <xdr:to>
      <xdr:col>10</xdr:col>
      <xdr:colOff>194235</xdr:colOff>
      <xdr:row>13</xdr:row>
      <xdr:rowOff>112058</xdr:rowOff>
    </xdr:to>
    <xdr:sp macro="" textlink="">
      <xdr:nvSpPr>
        <xdr:cNvPr id="39" name="TextBox 38">
          <a:extLst>
            <a:ext uri="{FF2B5EF4-FFF2-40B4-BE49-F238E27FC236}">
              <a16:creationId xmlns:a16="http://schemas.microsoft.com/office/drawing/2014/main" id="{A4C4DF99-9273-FE83-3B4C-A2A8F60306A1}"/>
            </a:ext>
          </a:extLst>
        </xdr:cNvPr>
        <xdr:cNvSpPr txBox="1"/>
      </xdr:nvSpPr>
      <xdr:spPr>
        <a:xfrm>
          <a:off x="3406588" y="1949823"/>
          <a:ext cx="1411941" cy="261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test result is ready </a:t>
          </a:r>
        </a:p>
      </xdr:txBody>
    </xdr:sp>
    <xdr:clientData/>
  </xdr:twoCellAnchor>
  <xdr:twoCellAnchor>
    <xdr:from>
      <xdr:col>1</xdr:col>
      <xdr:colOff>582707</xdr:colOff>
      <xdr:row>2</xdr:row>
      <xdr:rowOff>0</xdr:rowOff>
    </xdr:from>
    <xdr:to>
      <xdr:col>3</xdr:col>
      <xdr:colOff>14942</xdr:colOff>
      <xdr:row>15</xdr:row>
      <xdr:rowOff>2</xdr:rowOff>
    </xdr:to>
    <xdr:sp macro="" textlink="">
      <xdr:nvSpPr>
        <xdr:cNvPr id="6" name="TextBox 5">
          <a:extLst>
            <a:ext uri="{FF2B5EF4-FFF2-40B4-BE49-F238E27FC236}">
              <a16:creationId xmlns:a16="http://schemas.microsoft.com/office/drawing/2014/main" id="{A5F2A93D-18E1-1DBC-560E-60C3F2386F63}"/>
            </a:ext>
          </a:extLst>
        </xdr:cNvPr>
        <xdr:cNvSpPr txBox="1"/>
      </xdr:nvSpPr>
      <xdr:spPr>
        <a:xfrm rot="16200000">
          <a:off x="-343647" y="926354"/>
          <a:ext cx="2510120" cy="6574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3200" baseline="0"/>
            <a:t>ACS</a:t>
          </a:r>
          <a:endParaRPr lang="en-GB" sz="3200"/>
        </a:p>
      </xdr:txBody>
    </xdr:sp>
    <xdr:clientData/>
  </xdr:twoCellAnchor>
  <xdr:twoCellAnchor>
    <xdr:from>
      <xdr:col>1</xdr:col>
      <xdr:colOff>518459</xdr:colOff>
      <xdr:row>21</xdr:row>
      <xdr:rowOff>182282</xdr:rowOff>
    </xdr:from>
    <xdr:to>
      <xdr:col>2</xdr:col>
      <xdr:colOff>563282</xdr:colOff>
      <xdr:row>36</xdr:row>
      <xdr:rowOff>7469</xdr:rowOff>
    </xdr:to>
    <xdr:sp macro="" textlink="">
      <xdr:nvSpPr>
        <xdr:cNvPr id="9" name="TextBox 8">
          <a:extLst>
            <a:ext uri="{FF2B5EF4-FFF2-40B4-BE49-F238E27FC236}">
              <a16:creationId xmlns:a16="http://schemas.microsoft.com/office/drawing/2014/main" id="{555E577C-6284-4F08-8943-CD5E33024BD6}"/>
            </a:ext>
          </a:extLst>
        </xdr:cNvPr>
        <xdr:cNvSpPr txBox="1"/>
      </xdr:nvSpPr>
      <xdr:spPr>
        <a:xfrm rot="16200000">
          <a:off x="-488576" y="5006788"/>
          <a:ext cx="2671481" cy="6574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a:t>UA/NSTEMI</a:t>
          </a:r>
          <a:r>
            <a:rPr lang="en-GB" sz="2400" baseline="0"/>
            <a:t> - ACS</a:t>
          </a:r>
          <a:endParaRPr lang="en-GB" sz="2400"/>
        </a:p>
      </xdr:txBody>
    </xdr:sp>
    <xdr:clientData/>
  </xdr:twoCellAnchor>
  <xdr:twoCellAnchor>
    <xdr:from>
      <xdr:col>2</xdr:col>
      <xdr:colOff>564673</xdr:colOff>
      <xdr:row>28</xdr:row>
      <xdr:rowOff>168732</xdr:rowOff>
    </xdr:from>
    <xdr:to>
      <xdr:col>20</xdr:col>
      <xdr:colOff>14941</xdr:colOff>
      <xdr:row>29</xdr:row>
      <xdr:rowOff>0</xdr:rowOff>
    </xdr:to>
    <xdr:cxnSp macro="">
      <xdr:nvCxnSpPr>
        <xdr:cNvPr id="11" name="Straight Connector 10">
          <a:extLst>
            <a:ext uri="{FF2B5EF4-FFF2-40B4-BE49-F238E27FC236}">
              <a16:creationId xmlns:a16="http://schemas.microsoft.com/office/drawing/2014/main" id="{A2840D09-971C-407A-B5E1-06A8F9D07FF3}"/>
            </a:ext>
          </a:extLst>
        </xdr:cNvPr>
        <xdr:cNvCxnSpPr/>
      </xdr:nvCxnSpPr>
      <xdr:spPr>
        <a:xfrm>
          <a:off x="1177261" y="5338379"/>
          <a:ext cx="9124680" cy="18033"/>
        </a:xfrm>
        <a:prstGeom prst="line">
          <a:avLst/>
        </a:prstGeom>
        <a:ln w="7620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xdr:col>
      <xdr:colOff>609496</xdr:colOff>
      <xdr:row>24</xdr:row>
      <xdr:rowOff>141942</xdr:rowOff>
    </xdr:from>
    <xdr:to>
      <xdr:col>4</xdr:col>
      <xdr:colOff>268941</xdr:colOff>
      <xdr:row>28</xdr:row>
      <xdr:rowOff>37353</xdr:rowOff>
    </xdr:to>
    <xdr:sp macro="" textlink="">
      <xdr:nvSpPr>
        <xdr:cNvPr id="14" name="TextBox 13">
          <a:extLst>
            <a:ext uri="{FF2B5EF4-FFF2-40B4-BE49-F238E27FC236}">
              <a16:creationId xmlns:a16="http://schemas.microsoft.com/office/drawing/2014/main" id="{E3170FE8-B78D-4BE6-BBC4-523F803479AC}"/>
            </a:ext>
          </a:extLst>
        </xdr:cNvPr>
        <xdr:cNvSpPr txBox="1"/>
      </xdr:nvSpPr>
      <xdr:spPr>
        <a:xfrm>
          <a:off x="1222084" y="4332942"/>
          <a:ext cx="884622" cy="64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a:p>
          <a:r>
            <a:rPr lang="en-GB" sz="1050"/>
            <a:t>ASA + Tica</a:t>
          </a:r>
        </a:p>
        <a:p>
          <a:r>
            <a:rPr lang="en-GB" sz="1050"/>
            <a:t>ASA + Pras</a:t>
          </a:r>
        </a:p>
      </xdr:txBody>
    </xdr:sp>
    <xdr:clientData/>
  </xdr:twoCellAnchor>
  <xdr:twoCellAnchor>
    <xdr:from>
      <xdr:col>4</xdr:col>
      <xdr:colOff>288260</xdr:colOff>
      <xdr:row>24</xdr:row>
      <xdr:rowOff>141943</xdr:rowOff>
    </xdr:from>
    <xdr:to>
      <xdr:col>5</xdr:col>
      <xdr:colOff>560294</xdr:colOff>
      <xdr:row>28</xdr:row>
      <xdr:rowOff>37354</xdr:rowOff>
    </xdr:to>
    <xdr:sp macro="" textlink="">
      <xdr:nvSpPr>
        <xdr:cNvPr id="16" name="TextBox 15">
          <a:extLst>
            <a:ext uri="{FF2B5EF4-FFF2-40B4-BE49-F238E27FC236}">
              <a16:creationId xmlns:a16="http://schemas.microsoft.com/office/drawing/2014/main" id="{7A6C4BC5-D5E6-46DA-BC59-F8A1518A795F}"/>
            </a:ext>
          </a:extLst>
        </xdr:cNvPr>
        <xdr:cNvSpPr txBox="1"/>
      </xdr:nvSpPr>
      <xdr:spPr>
        <a:xfrm>
          <a:off x="2126025" y="4332943"/>
          <a:ext cx="884622" cy="642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050"/>
        </a:p>
        <a:p>
          <a:pPr algn="ctr"/>
          <a:r>
            <a:rPr lang="en-GB" sz="1050"/>
            <a:t>POC test</a:t>
          </a:r>
        </a:p>
      </xdr:txBody>
    </xdr:sp>
    <xdr:clientData/>
  </xdr:twoCellAnchor>
  <xdr:twoCellAnchor>
    <xdr:from>
      <xdr:col>5</xdr:col>
      <xdr:colOff>73156</xdr:colOff>
      <xdr:row>28</xdr:row>
      <xdr:rowOff>52307</xdr:rowOff>
    </xdr:from>
    <xdr:to>
      <xdr:col>5</xdr:col>
      <xdr:colOff>74703</xdr:colOff>
      <xdr:row>31</xdr:row>
      <xdr:rowOff>37364</xdr:rowOff>
    </xdr:to>
    <xdr:cxnSp macro="">
      <xdr:nvCxnSpPr>
        <xdr:cNvPr id="17" name="Straight Connector 16">
          <a:extLst>
            <a:ext uri="{FF2B5EF4-FFF2-40B4-BE49-F238E27FC236}">
              <a16:creationId xmlns:a16="http://schemas.microsoft.com/office/drawing/2014/main" id="{26886D28-313C-450D-8D30-EE472DED0127}"/>
            </a:ext>
          </a:extLst>
        </xdr:cNvPr>
        <xdr:cNvCxnSpPr/>
      </xdr:nvCxnSpPr>
      <xdr:spPr>
        <a:xfrm>
          <a:off x="2523509" y="5035189"/>
          <a:ext cx="1547" cy="545351"/>
        </a:xfrm>
        <a:prstGeom prst="line">
          <a:avLst/>
        </a:prstGeom>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74702</xdr:colOff>
      <xdr:row>31</xdr:row>
      <xdr:rowOff>29883</xdr:rowOff>
    </xdr:from>
    <xdr:to>
      <xdr:col>8</xdr:col>
      <xdr:colOff>14941</xdr:colOff>
      <xdr:row>31</xdr:row>
      <xdr:rowOff>37365</xdr:rowOff>
    </xdr:to>
    <xdr:cxnSp macro="">
      <xdr:nvCxnSpPr>
        <xdr:cNvPr id="19" name="Straight Connector 18">
          <a:extLst>
            <a:ext uri="{FF2B5EF4-FFF2-40B4-BE49-F238E27FC236}">
              <a16:creationId xmlns:a16="http://schemas.microsoft.com/office/drawing/2014/main" id="{031074F5-AD04-4ED3-9C06-DB2ABD34EB7E}"/>
            </a:ext>
          </a:extLst>
        </xdr:cNvPr>
        <xdr:cNvCxnSpPr/>
      </xdr:nvCxnSpPr>
      <xdr:spPr>
        <a:xfrm flipV="1">
          <a:off x="2525055" y="5573059"/>
          <a:ext cx="1314827" cy="7482"/>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8908</xdr:colOff>
      <xdr:row>27</xdr:row>
      <xdr:rowOff>156882</xdr:rowOff>
    </xdr:from>
    <xdr:to>
      <xdr:col>8</xdr:col>
      <xdr:colOff>14941</xdr:colOff>
      <xdr:row>31</xdr:row>
      <xdr:rowOff>40352</xdr:rowOff>
    </xdr:to>
    <xdr:cxnSp macro="">
      <xdr:nvCxnSpPr>
        <xdr:cNvPr id="20" name="Straight Connector 19">
          <a:extLst>
            <a:ext uri="{FF2B5EF4-FFF2-40B4-BE49-F238E27FC236}">
              <a16:creationId xmlns:a16="http://schemas.microsoft.com/office/drawing/2014/main" id="{A53D8168-F30B-4336-A735-3C94CB4C0498}"/>
            </a:ext>
          </a:extLst>
        </xdr:cNvPr>
        <xdr:cNvCxnSpPr/>
      </xdr:nvCxnSpPr>
      <xdr:spPr>
        <a:xfrm flipV="1">
          <a:off x="3833849" y="4953000"/>
          <a:ext cx="6033" cy="630528"/>
        </a:xfrm>
        <a:prstGeom prst="line">
          <a:avLst/>
        </a:prstGeom>
        <a:ln w="19050" cap="flat" cmpd="sng" algn="ctr">
          <a:solidFill>
            <a:schemeClr val="accent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164353</xdr:colOff>
      <xdr:row>30</xdr:row>
      <xdr:rowOff>104587</xdr:rowOff>
    </xdr:from>
    <xdr:to>
      <xdr:col>7</xdr:col>
      <xdr:colOff>530412</xdr:colOff>
      <xdr:row>31</xdr:row>
      <xdr:rowOff>149410</xdr:rowOff>
    </xdr:to>
    <xdr:sp macro="" textlink="">
      <xdr:nvSpPr>
        <xdr:cNvPr id="32" name="TextBox 31">
          <a:extLst>
            <a:ext uri="{FF2B5EF4-FFF2-40B4-BE49-F238E27FC236}">
              <a16:creationId xmlns:a16="http://schemas.microsoft.com/office/drawing/2014/main" id="{AB8E051C-9532-478F-A8BC-BDCA192D66E2}"/>
            </a:ext>
          </a:extLst>
        </xdr:cNvPr>
        <xdr:cNvSpPr txBox="1"/>
      </xdr:nvSpPr>
      <xdr:spPr>
        <a:xfrm>
          <a:off x="2614706" y="5460999"/>
          <a:ext cx="1128059" cy="231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test result is ready </a:t>
          </a:r>
        </a:p>
      </xdr:txBody>
    </xdr:sp>
    <xdr:clientData/>
  </xdr:twoCellAnchor>
  <xdr:twoCellAnchor>
    <xdr:from>
      <xdr:col>7</xdr:col>
      <xdr:colOff>171727</xdr:colOff>
      <xdr:row>25</xdr:row>
      <xdr:rowOff>14940</xdr:rowOff>
    </xdr:from>
    <xdr:to>
      <xdr:col>8</xdr:col>
      <xdr:colOff>89647</xdr:colOff>
      <xdr:row>26</xdr:row>
      <xdr:rowOff>14940</xdr:rowOff>
    </xdr:to>
    <xdr:sp macro="" textlink="">
      <xdr:nvSpPr>
        <xdr:cNvPr id="34" name="TextBox 33">
          <a:extLst>
            <a:ext uri="{FF2B5EF4-FFF2-40B4-BE49-F238E27FC236}">
              <a16:creationId xmlns:a16="http://schemas.microsoft.com/office/drawing/2014/main" id="{B401A910-CADD-4BC9-BCF9-9F1A3F235FAC}"/>
            </a:ext>
          </a:extLst>
        </xdr:cNvPr>
        <xdr:cNvSpPr txBox="1"/>
      </xdr:nvSpPr>
      <xdr:spPr>
        <a:xfrm>
          <a:off x="3384080" y="4437528"/>
          <a:ext cx="530508" cy="186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900"/>
            <a:t>No-LOF </a:t>
          </a:r>
        </a:p>
      </xdr:txBody>
    </xdr:sp>
    <xdr:clientData/>
  </xdr:twoCellAnchor>
  <xdr:twoCellAnchor>
    <xdr:from>
      <xdr:col>7</xdr:col>
      <xdr:colOff>174714</xdr:colOff>
      <xdr:row>26</xdr:row>
      <xdr:rowOff>89647</xdr:rowOff>
    </xdr:from>
    <xdr:to>
      <xdr:col>8</xdr:col>
      <xdr:colOff>104588</xdr:colOff>
      <xdr:row>27</xdr:row>
      <xdr:rowOff>97117</xdr:rowOff>
    </xdr:to>
    <xdr:sp macro="" textlink="">
      <xdr:nvSpPr>
        <xdr:cNvPr id="35" name="TextBox 34">
          <a:extLst>
            <a:ext uri="{FF2B5EF4-FFF2-40B4-BE49-F238E27FC236}">
              <a16:creationId xmlns:a16="http://schemas.microsoft.com/office/drawing/2014/main" id="{5CB6F53A-48B7-434B-BC78-0FC778CA2B3A}"/>
            </a:ext>
          </a:extLst>
        </xdr:cNvPr>
        <xdr:cNvSpPr txBox="1"/>
      </xdr:nvSpPr>
      <xdr:spPr>
        <a:xfrm>
          <a:off x="3387067" y="4699000"/>
          <a:ext cx="542462" cy="194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900"/>
            <a:t>LOF </a:t>
          </a:r>
        </a:p>
      </xdr:txBody>
    </xdr:sp>
    <xdr:clientData/>
  </xdr:twoCellAnchor>
  <xdr:twoCellAnchor>
    <xdr:from>
      <xdr:col>8</xdr:col>
      <xdr:colOff>264354</xdr:colOff>
      <xdr:row>22</xdr:row>
      <xdr:rowOff>170332</xdr:rowOff>
    </xdr:from>
    <xdr:to>
      <xdr:col>10</xdr:col>
      <xdr:colOff>349624</xdr:colOff>
      <xdr:row>24</xdr:row>
      <xdr:rowOff>55283</xdr:rowOff>
    </xdr:to>
    <xdr:sp macro="" textlink="">
      <xdr:nvSpPr>
        <xdr:cNvPr id="36" name="TextBox 35">
          <a:extLst>
            <a:ext uri="{FF2B5EF4-FFF2-40B4-BE49-F238E27FC236}">
              <a16:creationId xmlns:a16="http://schemas.microsoft.com/office/drawing/2014/main" id="{DE629005-0EC6-4D81-94D7-FC12A4CF6F3E}"/>
            </a:ext>
          </a:extLst>
        </xdr:cNvPr>
        <xdr:cNvSpPr txBox="1"/>
      </xdr:nvSpPr>
      <xdr:spPr>
        <a:xfrm>
          <a:off x="4089295" y="3987803"/>
          <a:ext cx="884623"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xdr:txBody>
    </xdr:sp>
    <xdr:clientData/>
  </xdr:twoCellAnchor>
  <xdr:twoCellAnchor>
    <xdr:from>
      <xdr:col>8</xdr:col>
      <xdr:colOff>267343</xdr:colOff>
      <xdr:row>24</xdr:row>
      <xdr:rowOff>143436</xdr:rowOff>
    </xdr:from>
    <xdr:to>
      <xdr:col>10</xdr:col>
      <xdr:colOff>352613</xdr:colOff>
      <xdr:row>26</xdr:row>
      <xdr:rowOff>73211</xdr:rowOff>
    </xdr:to>
    <xdr:sp macro="" textlink="">
      <xdr:nvSpPr>
        <xdr:cNvPr id="37" name="TextBox 36">
          <a:extLst>
            <a:ext uri="{FF2B5EF4-FFF2-40B4-BE49-F238E27FC236}">
              <a16:creationId xmlns:a16="http://schemas.microsoft.com/office/drawing/2014/main" id="{77C399A3-B159-455D-8D67-B96F42ECF8A3}"/>
            </a:ext>
          </a:extLst>
        </xdr:cNvPr>
        <xdr:cNvSpPr txBox="1"/>
      </xdr:nvSpPr>
      <xdr:spPr>
        <a:xfrm>
          <a:off x="4092284" y="4379260"/>
          <a:ext cx="884623"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Tica</a:t>
          </a:r>
        </a:p>
      </xdr:txBody>
    </xdr:sp>
    <xdr:clientData/>
  </xdr:twoCellAnchor>
  <xdr:twoCellAnchor>
    <xdr:from>
      <xdr:col>8</xdr:col>
      <xdr:colOff>277800</xdr:colOff>
      <xdr:row>26</xdr:row>
      <xdr:rowOff>153897</xdr:rowOff>
    </xdr:from>
    <xdr:to>
      <xdr:col>10</xdr:col>
      <xdr:colOff>363070</xdr:colOff>
      <xdr:row>28</xdr:row>
      <xdr:rowOff>83672</xdr:rowOff>
    </xdr:to>
    <xdr:sp macro="" textlink="">
      <xdr:nvSpPr>
        <xdr:cNvPr id="38" name="TextBox 37">
          <a:extLst>
            <a:ext uri="{FF2B5EF4-FFF2-40B4-BE49-F238E27FC236}">
              <a16:creationId xmlns:a16="http://schemas.microsoft.com/office/drawing/2014/main" id="{6CED86F4-248D-4B6B-AE94-59DF00D1FB81}"/>
            </a:ext>
          </a:extLst>
        </xdr:cNvPr>
        <xdr:cNvSpPr txBox="1"/>
      </xdr:nvSpPr>
      <xdr:spPr>
        <a:xfrm>
          <a:off x="4102741" y="4763250"/>
          <a:ext cx="884623"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Pras</a:t>
          </a:r>
        </a:p>
      </xdr:txBody>
    </xdr:sp>
    <xdr:clientData/>
  </xdr:twoCellAnchor>
  <xdr:twoCellAnchor>
    <xdr:from>
      <xdr:col>2</xdr:col>
      <xdr:colOff>612587</xdr:colOff>
      <xdr:row>1</xdr:row>
      <xdr:rowOff>0</xdr:rowOff>
    </xdr:from>
    <xdr:to>
      <xdr:col>13</xdr:col>
      <xdr:colOff>7469</xdr:colOff>
      <xdr:row>2</xdr:row>
      <xdr:rowOff>7470</xdr:rowOff>
    </xdr:to>
    <xdr:sp macro="" textlink="">
      <xdr:nvSpPr>
        <xdr:cNvPr id="41" name="TextBox 40">
          <a:extLst>
            <a:ext uri="{FF2B5EF4-FFF2-40B4-BE49-F238E27FC236}">
              <a16:creationId xmlns:a16="http://schemas.microsoft.com/office/drawing/2014/main" id="{57227398-EF28-490F-A317-6B55666E6EB4}"/>
            </a:ext>
          </a:extLst>
        </xdr:cNvPr>
        <xdr:cNvSpPr txBox="1"/>
      </xdr:nvSpPr>
      <xdr:spPr>
        <a:xfrm>
          <a:off x="1225175" y="0"/>
          <a:ext cx="5244353" cy="19423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3</a:t>
          </a:r>
          <a:r>
            <a:rPr lang="en-GB" sz="1050" baseline="0"/>
            <a:t> - 5 days </a:t>
          </a:r>
          <a:endParaRPr lang="en-GB" sz="1050"/>
        </a:p>
      </xdr:txBody>
    </xdr:sp>
    <xdr:clientData/>
  </xdr:twoCellAnchor>
  <xdr:twoCellAnchor>
    <xdr:from>
      <xdr:col>14</xdr:col>
      <xdr:colOff>0</xdr:colOff>
      <xdr:row>1</xdr:row>
      <xdr:rowOff>10459</xdr:rowOff>
    </xdr:from>
    <xdr:to>
      <xdr:col>19</xdr:col>
      <xdr:colOff>605118</xdr:colOff>
      <xdr:row>1</xdr:row>
      <xdr:rowOff>186764</xdr:rowOff>
    </xdr:to>
    <xdr:sp macro="" textlink="">
      <xdr:nvSpPr>
        <xdr:cNvPr id="42" name="TextBox 41">
          <a:extLst>
            <a:ext uri="{FF2B5EF4-FFF2-40B4-BE49-F238E27FC236}">
              <a16:creationId xmlns:a16="http://schemas.microsoft.com/office/drawing/2014/main" id="{FC01CCB4-4A5C-414D-BD98-43CB3CF6331C}"/>
            </a:ext>
          </a:extLst>
        </xdr:cNvPr>
        <xdr:cNvSpPr txBox="1"/>
      </xdr:nvSpPr>
      <xdr:spPr>
        <a:xfrm>
          <a:off x="6611471" y="10459"/>
          <a:ext cx="3668059" cy="176305"/>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050">
              <a:solidFill>
                <a:schemeClr val="dk1"/>
              </a:solidFill>
              <a:latin typeface="+mn-lt"/>
              <a:ea typeface="+mn-ea"/>
              <a:cs typeface="+mn-cs"/>
            </a:rPr>
            <a:t>12 month </a:t>
          </a:r>
        </a:p>
      </xdr:txBody>
    </xdr:sp>
    <xdr:clientData/>
  </xdr:twoCellAnchor>
  <xdr:twoCellAnchor>
    <xdr:from>
      <xdr:col>21</xdr:col>
      <xdr:colOff>222154</xdr:colOff>
      <xdr:row>10</xdr:row>
      <xdr:rowOff>28389</xdr:rowOff>
    </xdr:from>
    <xdr:to>
      <xdr:col>22</xdr:col>
      <xdr:colOff>373530</xdr:colOff>
      <xdr:row>11</xdr:row>
      <xdr:rowOff>144929</xdr:rowOff>
    </xdr:to>
    <xdr:sp macro="" textlink="">
      <xdr:nvSpPr>
        <xdr:cNvPr id="44" name="TextBox 43">
          <a:extLst>
            <a:ext uri="{FF2B5EF4-FFF2-40B4-BE49-F238E27FC236}">
              <a16:creationId xmlns:a16="http://schemas.microsoft.com/office/drawing/2014/main" id="{20EFA804-461B-4AD4-954A-782919F4D25D}"/>
            </a:ext>
          </a:extLst>
        </xdr:cNvPr>
        <xdr:cNvSpPr txBox="1"/>
      </xdr:nvSpPr>
      <xdr:spPr>
        <a:xfrm>
          <a:off x="10658566" y="1978213"/>
          <a:ext cx="763964"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a:t>ASA </a:t>
          </a:r>
        </a:p>
      </xdr:txBody>
    </xdr:sp>
    <xdr:clientData/>
  </xdr:twoCellAnchor>
  <xdr:twoCellAnchor>
    <xdr:from>
      <xdr:col>1</xdr:col>
      <xdr:colOff>518457</xdr:colOff>
      <xdr:row>21</xdr:row>
      <xdr:rowOff>0</xdr:rowOff>
    </xdr:from>
    <xdr:to>
      <xdr:col>12</xdr:col>
      <xdr:colOff>605117</xdr:colOff>
      <xdr:row>21</xdr:row>
      <xdr:rowOff>167341</xdr:rowOff>
    </xdr:to>
    <xdr:sp macro="" textlink="">
      <xdr:nvSpPr>
        <xdr:cNvPr id="45" name="TextBox 44">
          <a:extLst>
            <a:ext uri="{FF2B5EF4-FFF2-40B4-BE49-F238E27FC236}">
              <a16:creationId xmlns:a16="http://schemas.microsoft.com/office/drawing/2014/main" id="{862FDC51-B1F7-4890-B5A7-E6CCCF56D821}"/>
            </a:ext>
          </a:extLst>
        </xdr:cNvPr>
        <xdr:cNvSpPr txBox="1"/>
      </xdr:nvSpPr>
      <xdr:spPr>
        <a:xfrm>
          <a:off x="518457" y="3817471"/>
          <a:ext cx="5936131" cy="167341"/>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aseline="0"/>
            <a:t>1 - 4 weeks</a:t>
          </a:r>
          <a:endParaRPr lang="en-GB" sz="1050"/>
        </a:p>
      </xdr:txBody>
    </xdr:sp>
    <xdr:clientData/>
  </xdr:twoCellAnchor>
  <xdr:twoCellAnchor>
    <xdr:from>
      <xdr:col>14</xdr:col>
      <xdr:colOff>25400</xdr:colOff>
      <xdr:row>20</xdr:row>
      <xdr:rowOff>170330</xdr:rowOff>
    </xdr:from>
    <xdr:to>
      <xdr:col>20</xdr:col>
      <xdr:colOff>17930</xdr:colOff>
      <xdr:row>21</xdr:row>
      <xdr:rowOff>159870</xdr:rowOff>
    </xdr:to>
    <xdr:sp macro="" textlink="">
      <xdr:nvSpPr>
        <xdr:cNvPr id="46" name="TextBox 45">
          <a:extLst>
            <a:ext uri="{FF2B5EF4-FFF2-40B4-BE49-F238E27FC236}">
              <a16:creationId xmlns:a16="http://schemas.microsoft.com/office/drawing/2014/main" id="{280FC15E-2CF8-4C27-B2A2-A75C6FBF41D1}"/>
            </a:ext>
          </a:extLst>
        </xdr:cNvPr>
        <xdr:cNvSpPr txBox="1"/>
      </xdr:nvSpPr>
      <xdr:spPr>
        <a:xfrm>
          <a:off x="6636871" y="3801036"/>
          <a:ext cx="3668059" cy="17630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12 month </a:t>
          </a:r>
        </a:p>
      </xdr:txBody>
    </xdr:sp>
    <xdr:clientData/>
  </xdr:twoCellAnchor>
  <xdr:twoCellAnchor>
    <xdr:from>
      <xdr:col>14</xdr:col>
      <xdr:colOff>481010</xdr:colOff>
      <xdr:row>22</xdr:row>
      <xdr:rowOff>170330</xdr:rowOff>
    </xdr:from>
    <xdr:to>
      <xdr:col>16</xdr:col>
      <xdr:colOff>140457</xdr:colOff>
      <xdr:row>24</xdr:row>
      <xdr:rowOff>55281</xdr:rowOff>
    </xdr:to>
    <xdr:sp macro="" textlink="">
      <xdr:nvSpPr>
        <xdr:cNvPr id="48" name="TextBox 47">
          <a:extLst>
            <a:ext uri="{FF2B5EF4-FFF2-40B4-BE49-F238E27FC236}">
              <a16:creationId xmlns:a16="http://schemas.microsoft.com/office/drawing/2014/main" id="{9553B309-8987-40FE-B871-B8E0438A78EE}"/>
            </a:ext>
          </a:extLst>
        </xdr:cNvPr>
        <xdr:cNvSpPr txBox="1"/>
      </xdr:nvSpPr>
      <xdr:spPr>
        <a:xfrm>
          <a:off x="7092481" y="4174565"/>
          <a:ext cx="884623"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Clop</a:t>
          </a:r>
        </a:p>
      </xdr:txBody>
    </xdr:sp>
    <xdr:clientData/>
  </xdr:twoCellAnchor>
  <xdr:twoCellAnchor>
    <xdr:from>
      <xdr:col>14</xdr:col>
      <xdr:colOff>484000</xdr:colOff>
      <xdr:row>26</xdr:row>
      <xdr:rowOff>143434</xdr:rowOff>
    </xdr:from>
    <xdr:to>
      <xdr:col>16</xdr:col>
      <xdr:colOff>143447</xdr:colOff>
      <xdr:row>28</xdr:row>
      <xdr:rowOff>73208</xdr:rowOff>
    </xdr:to>
    <xdr:sp macro="" textlink="">
      <xdr:nvSpPr>
        <xdr:cNvPr id="50" name="TextBox 49">
          <a:extLst>
            <a:ext uri="{FF2B5EF4-FFF2-40B4-BE49-F238E27FC236}">
              <a16:creationId xmlns:a16="http://schemas.microsoft.com/office/drawing/2014/main" id="{5EB7DDCC-FB82-4C1D-8F6B-DEE91983DEA7}"/>
            </a:ext>
          </a:extLst>
        </xdr:cNvPr>
        <xdr:cNvSpPr txBox="1"/>
      </xdr:nvSpPr>
      <xdr:spPr>
        <a:xfrm>
          <a:off x="7095471" y="4939552"/>
          <a:ext cx="884623" cy="3033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Tica</a:t>
          </a:r>
        </a:p>
      </xdr:txBody>
    </xdr:sp>
    <xdr:clientData/>
  </xdr:twoCellAnchor>
  <xdr:twoCellAnchor>
    <xdr:from>
      <xdr:col>14</xdr:col>
      <xdr:colOff>479515</xdr:colOff>
      <xdr:row>24</xdr:row>
      <xdr:rowOff>124012</xdr:rowOff>
    </xdr:from>
    <xdr:to>
      <xdr:col>16</xdr:col>
      <xdr:colOff>138962</xdr:colOff>
      <xdr:row>26</xdr:row>
      <xdr:rowOff>53787</xdr:rowOff>
    </xdr:to>
    <xdr:sp macro="" textlink="">
      <xdr:nvSpPr>
        <xdr:cNvPr id="51" name="TextBox 50">
          <a:extLst>
            <a:ext uri="{FF2B5EF4-FFF2-40B4-BE49-F238E27FC236}">
              <a16:creationId xmlns:a16="http://schemas.microsoft.com/office/drawing/2014/main" id="{E3560037-D4B3-4FB4-89E9-6F38A59CB836}"/>
            </a:ext>
          </a:extLst>
        </xdr:cNvPr>
        <xdr:cNvSpPr txBox="1"/>
      </xdr:nvSpPr>
      <xdr:spPr>
        <a:xfrm>
          <a:off x="7090986" y="4546600"/>
          <a:ext cx="884623" cy="303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ASA + Pras</a:t>
          </a:r>
        </a:p>
      </xdr:txBody>
    </xdr:sp>
    <xdr:clientData/>
  </xdr:twoCellAnchor>
  <xdr:twoCellAnchor>
    <xdr:from>
      <xdr:col>20</xdr:col>
      <xdr:colOff>229999</xdr:colOff>
      <xdr:row>28</xdr:row>
      <xdr:rowOff>1495</xdr:rowOff>
    </xdr:from>
    <xdr:to>
      <xdr:col>22</xdr:col>
      <xdr:colOff>174813</xdr:colOff>
      <xdr:row>29</xdr:row>
      <xdr:rowOff>118034</xdr:rowOff>
    </xdr:to>
    <xdr:sp macro="" textlink="">
      <xdr:nvSpPr>
        <xdr:cNvPr id="52" name="TextBox 51">
          <a:extLst>
            <a:ext uri="{FF2B5EF4-FFF2-40B4-BE49-F238E27FC236}">
              <a16:creationId xmlns:a16="http://schemas.microsoft.com/office/drawing/2014/main" id="{634A38C6-B5C8-4393-8DBF-FD495F8BA73D}"/>
            </a:ext>
          </a:extLst>
        </xdr:cNvPr>
        <xdr:cNvSpPr txBox="1"/>
      </xdr:nvSpPr>
      <xdr:spPr>
        <a:xfrm>
          <a:off x="10516999" y="5171142"/>
          <a:ext cx="1169990" cy="3033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a:t>ASA </a:t>
          </a:r>
        </a:p>
      </xdr:txBody>
    </xdr:sp>
    <xdr:clientData/>
  </xdr:twoCellAnchor>
  <xdr:twoCellAnchor editAs="oneCell">
    <xdr:from>
      <xdr:col>11</xdr:col>
      <xdr:colOff>478119</xdr:colOff>
      <xdr:row>3</xdr:row>
      <xdr:rowOff>112058</xdr:rowOff>
    </xdr:from>
    <xdr:to>
      <xdr:col>14</xdr:col>
      <xdr:colOff>358590</xdr:colOff>
      <xdr:row>5</xdr:row>
      <xdr:rowOff>97118</xdr:rowOff>
    </xdr:to>
    <xdr:pic>
      <xdr:nvPicPr>
        <xdr:cNvPr id="25" name="Graphic 24" descr="Back with solid fill">
          <a:extLst>
            <a:ext uri="{FF2B5EF4-FFF2-40B4-BE49-F238E27FC236}">
              <a16:creationId xmlns:a16="http://schemas.microsoft.com/office/drawing/2014/main" id="{E4CF6942-42AA-276A-040D-297B3EC1E5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715001" y="754529"/>
          <a:ext cx="1255059" cy="358589"/>
        </a:xfrm>
        <a:prstGeom prst="rect">
          <a:avLst/>
        </a:prstGeom>
      </xdr:spPr>
    </xdr:pic>
    <xdr:clientData/>
  </xdr:twoCellAnchor>
  <xdr:twoCellAnchor editAs="oneCell">
    <xdr:from>
      <xdr:col>12</xdr:col>
      <xdr:colOff>141941</xdr:colOff>
      <xdr:row>7</xdr:row>
      <xdr:rowOff>104589</xdr:rowOff>
    </xdr:from>
    <xdr:to>
      <xdr:col>14</xdr:col>
      <xdr:colOff>294341</xdr:colOff>
      <xdr:row>10</xdr:row>
      <xdr:rowOff>22411</xdr:rowOff>
    </xdr:to>
    <xdr:pic>
      <xdr:nvPicPr>
        <xdr:cNvPr id="27" name="Graphic 26" descr="Chevron arrows with solid fill">
          <a:extLst>
            <a:ext uri="{FF2B5EF4-FFF2-40B4-BE49-F238E27FC236}">
              <a16:creationId xmlns:a16="http://schemas.microsoft.com/office/drawing/2014/main" id="{803EF176-13BF-8291-28F0-76634102CC4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991412" y="1494118"/>
          <a:ext cx="914400" cy="47811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ireza Mahboub-Ahari" id="{106EFA12-6B9C-47C0-8310-BC16D40EDE2F}" userId="S::alireza.mahboub-ahari@manchester.ac.uk::88d9355c-4b7e-49eb-957c-d4205038e1f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4" dT="2025-03-14T12:46:11.28" personId="{106EFA12-6B9C-47C0-8310-BC16D40EDE2F}" id="{603C2F11-5E66-4814-B67F-DFFF8E080187}">
    <text xml:space="preserve">We extracted probability of events with ticagrelor (AT) and prasugrel(AP) through adjusting the probability of events with clopidogrel. We first converted probability to odds. Then, we applied the odds ratios reported in the NICE NG 185 meta-analysis to the baseline odds to derive the odds of AC and AT. Finally, we converted the odds of AT and AP back into probability. </text>
  </threadedComment>
  <threadedComment ref="AB5" dT="2025-03-14T13:22:28.78" personId="{106EFA12-6B9C-47C0-8310-BC16D40EDE2F}" id="{B532BF4A-7683-4B8F-BAB7-FAEDACCA9E7C}">
    <text xml:space="preserve">A large-scale cohort study in the UK, encompassing a population of 2,297,738 individuals, has reported the frequency of CYP2C19 loss-of-function (LOF) alleles. To ensure robustness, we first cross-validated these reported rates against local studies that examined prevalence across different ethnic groups. Following this validation, we applied the prevalence estimates from this cohort to derive the expected frequency of LOF alleles across UK ethnic populations </text>
  </threadedComment>
  <threadedComment ref="AY5" dT="2025-04-04T11:07:14.60" personId="{106EFA12-6B9C-47C0-8310-BC16D40EDE2F}" id="{B2D14A82-65CA-441E-9357-BF1B4A84C412}">
    <text xml:space="preserve">In the base-case analysis, a utility decrement of −0.049 was applied over a 1-month period to reflect the impact of mild-to-moderate dyspnea associated with ticagrelor therapy. This decrement is derived from Kazi et al. (2014), who assumed a −0.049 disutility based on EQ-5D utility losses observed in patients with stable angina, specifically referencing Longworth et al. (2005) as the source for quality-of-life decrements due to breathlessness. Kazi’s sensitivity analyses demonstrated that this value—approximately 6% of baseline QoL at age 65—served as a threshold at which ticagrelor would no longer be cost-effective for carriers of CYP2C19 loss-of-function alleles. Although Kazi et al. presented this value as an annualized decrement, evidence from the PLATO trial and subsequent analyses suggests that ticagrelor-induced dyspnea is typically early-onset and transient, resolving in 2–4 weeks for most patients (Storey et al., 2011; Andell et al., 2015). Supporting this, Howard (2015) incorporated a 3-month duration in modeling but acknowledged that the majority of symptoms resolved sooner. Therefore, in alignment with clinical trajectory and to ensure conservative yet realistic estimates, the disutility is applied over 1 month, resulting in a QALY decrement of 0.00408 per affected patient (0.049 × 1/12). </text>
  </threadedComment>
</ThreadedComments>
</file>

<file path=xl/threadedComments/threadedComment2.xml><?xml version="1.0" encoding="utf-8"?>
<ThreadedComments xmlns="http://schemas.microsoft.com/office/spreadsheetml/2018/threadedcomments" xmlns:x="http://schemas.openxmlformats.org/spreadsheetml/2006/main">
  <threadedComment ref="M3" dT="2025-03-07T22:57:45.67" personId="{106EFA12-6B9C-47C0-8310-BC16D40EDE2F}" id="{0B6DD241-C2BC-4CA7-B00F-DE0F258AE474}">
    <text xml:space="preserve">NG185 initially used the 2017 tariffs for eight ERG codes to estimate the weighted average cost of non-elective PCI for both short‑stay and long‑stay admissions. We updated these estimates using the latest NHS tariffs for the same ERG codes—which have changed since 2017—by adopting the long‑stay values from the NHS 23/25 tariffs. As short‑stay values were not directly available in the updated tariffs, we derived them by applying the observed long‑stay/short‑stay cost ratio reported in NG185 for each ERG code. Finally, we used the FCE data provided in NG185 to calculate an overall weighted average cost for PCI. </text>
  </threadedComment>
  <threadedComment ref="A4" dT="2025-03-08T09:38:07.40" personId="{106EFA12-6B9C-47C0-8310-BC16D40EDE2F}" id="{15A76C50-EE4A-4237-B7E9-57C087DC5DF5}">
    <text xml:space="preserve">The same as NG 185 method, assumptions. </text>
  </threadedComment>
  <threadedComment ref="G4" dT="2025-03-05T14:05:52.56" personId="{106EFA12-6B9C-47C0-8310-BC16D40EDE2F}" id="{2927ABDB-8929-4FF9-B1DC-4F9B233510B8}">
    <text xml:space="preserve">For those who were alive at 1 year intervention costs were calculated taking into account an estimate of average treatment duration of 328 days (90% of the year). The same treatment duration was used for all DAPT options. This basis for the treatment duration is discussed further below. </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5-03-19T11:44:26.56" personId="{106EFA12-6B9C-47C0-8310-BC16D40EDE2F}" id="{C1A7B186-5DD2-4B8F-8F96-1A6B58B951BD}">
    <text xml:space="preserve">To accurately reflect the decline in quality of life with aging, health state utilities in the model were adjusted annually for age and sex. This adjustment prevents the overestimation of Quality-Adjusted Life Years (QALYs) and aligns with best practices in economic modeling. It was also emphasised as a necessary component in the NICE Technology Appraisal (TA) evidence review for rivaroxaban. And NICE NG-185. 
Age-specific general population EQ-5D-3L utilities were calculated each year using the formula from Ara (2010):
Utility=0.9508566+0.0212126×Male−0.0002587×Age−0.0000332×⁅Age ⁆⁅2⁆⁅ ⁆Utility=0.9508566+0.0212126×Male−0.0002587×Age−0.0000332×Age2 
where:
Male = 1 for males and 0 for females.
Age is expressed in years.
The average age and gender distribution of the population were incorporated into calculations, as detailed in Table 23 (Section 2.3.4). The resulting age-adjusted general population utilities were then combined with health-state-specific utilities using the multiplicative adjustment method, ensuring a more accurate estimation of QALYs over time.
</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hyperlink" Target="https://doi.org/10.1056/nejmoa0904327" TargetMode="External"/><Relationship Id="rId18" Type="http://schemas.openxmlformats.org/officeDocument/2006/relationships/hyperlink" Target="https://hqlo.biomedcentral.com/articles/10.1186/s12955-018-1019-3" TargetMode="External"/><Relationship Id="rId26" Type="http://schemas.openxmlformats.org/officeDocument/2006/relationships/hyperlink" Target="https://www.ncbi.nlm.nih.gov/books/NBK565353/" TargetMode="External"/><Relationship Id="rId39" Type="http://schemas.openxmlformats.org/officeDocument/2006/relationships/hyperlink" Target="https://www.nice.org.uk/process/pmg36/chapter/economic-evaluation-2" TargetMode="External"/><Relationship Id="rId21" Type="http://schemas.openxmlformats.org/officeDocument/2006/relationships/hyperlink" Target="https://doi.org/10.1161/circoutcomes.111.964700" TargetMode="External"/><Relationship Id="rId34" Type="http://schemas.openxmlformats.org/officeDocument/2006/relationships/hyperlink" Target="https://www.ncbi.nlm.nih.gov/books/NBK565353/" TargetMode="External"/><Relationship Id="rId42" Type="http://schemas.openxmlformats.org/officeDocument/2006/relationships/hyperlink" Target="https://www.ncbi.nlm.nih.gov/books/NBK565353/" TargetMode="External"/><Relationship Id="rId47" Type="http://schemas.openxmlformats.org/officeDocument/2006/relationships/printerSettings" Target="../printerSettings/printerSettings2.bin"/><Relationship Id="rId7" Type="http://schemas.openxmlformats.org/officeDocument/2006/relationships/hyperlink" Target="https://www.ncbi.nlm.nih.gov/books/NBK565353/" TargetMode="External"/><Relationship Id="rId2" Type="http://schemas.openxmlformats.org/officeDocument/2006/relationships/hyperlink" Target="https://doi.org/10.1161/jaha.124.034414" TargetMode="External"/><Relationship Id="rId16" Type="http://schemas.openxmlformats.org/officeDocument/2006/relationships/hyperlink" Target="https://hqlo.biomedcentral.com/articles/10.1186/s12955-018-1019-3" TargetMode="External"/><Relationship Id="rId29" Type="http://schemas.openxmlformats.org/officeDocument/2006/relationships/hyperlink" Target="https://www.nice.org.uk/process/pmg36/chapter/economic-evaluation-2" TargetMode="External"/><Relationship Id="rId1" Type="http://schemas.openxmlformats.org/officeDocument/2006/relationships/hyperlink" Target="https://doi.org/10.1161/jaha.124.034414" TargetMode="External"/><Relationship Id="rId6" Type="http://schemas.openxmlformats.org/officeDocument/2006/relationships/hyperlink" Target="https://doi.org/10.1093/eurheartj/ehx515" TargetMode="External"/><Relationship Id="rId11" Type="http://schemas.openxmlformats.org/officeDocument/2006/relationships/hyperlink" Target="https://doi.org/10.1111/cts.12830" TargetMode="External"/><Relationship Id="rId24" Type="http://schemas.openxmlformats.org/officeDocument/2006/relationships/hyperlink" Target="https://doi.org/10.1191/135248506ms1280oa" TargetMode="External"/><Relationship Id="rId32" Type="http://schemas.openxmlformats.org/officeDocument/2006/relationships/hyperlink" Target="https://www.ncbi.nlm.nih.gov/books/NBK565353/" TargetMode="External"/><Relationship Id="rId37" Type="http://schemas.openxmlformats.org/officeDocument/2006/relationships/hyperlink" Target="https://www.ncbi.nlm.nih.gov/books/NBK565353/" TargetMode="External"/><Relationship Id="rId40" Type="http://schemas.openxmlformats.org/officeDocument/2006/relationships/hyperlink" Target="https://hqlo.biomedcentral.com/articles/10.1186/s12955-018-1019-3" TargetMode="External"/><Relationship Id="rId45" Type="http://schemas.openxmlformats.org/officeDocument/2006/relationships/hyperlink" Target="https://doi.org/10.1161/jaha.124.034414" TargetMode="External"/><Relationship Id="rId5" Type="http://schemas.openxmlformats.org/officeDocument/2006/relationships/hyperlink" Target="https://doi.org/10.1136/openhrt-2018-000951" TargetMode="External"/><Relationship Id="rId15" Type="http://schemas.openxmlformats.org/officeDocument/2006/relationships/hyperlink" Target="https://doi.org/10.1056/nejmoa0904327" TargetMode="External"/><Relationship Id="rId23" Type="http://schemas.openxmlformats.org/officeDocument/2006/relationships/hyperlink" Target="https://doi.org/10.1191/135248506ms1280oa" TargetMode="External"/><Relationship Id="rId28" Type="http://schemas.openxmlformats.org/officeDocument/2006/relationships/hyperlink" Target="https://www.ncbi.nlm.nih.gov/books/NBK565353/" TargetMode="External"/><Relationship Id="rId36" Type="http://schemas.openxmlformats.org/officeDocument/2006/relationships/hyperlink" Target="https://doi.org/10.1161/jaha.124.034414" TargetMode="External"/><Relationship Id="rId10" Type="http://schemas.openxmlformats.org/officeDocument/2006/relationships/hyperlink" Target="https://www.ncbi.nlm.nih.gov/books/NBK565353/" TargetMode="External"/><Relationship Id="rId19" Type="http://schemas.openxmlformats.org/officeDocument/2006/relationships/hyperlink" Target="https://hqlo.biomedcentral.com/articles/10.1186/s12955-018-1019-3" TargetMode="External"/><Relationship Id="rId31" Type="http://schemas.openxmlformats.org/officeDocument/2006/relationships/hyperlink" Target="https://www.nice.org.uk/process/pmg36/chapter/economic-evaluation-2" TargetMode="External"/><Relationship Id="rId44" Type="http://schemas.openxmlformats.org/officeDocument/2006/relationships/hyperlink" Target="https://doi.org/10.1161/jaha.124.034414" TargetMode="External"/><Relationship Id="rId4" Type="http://schemas.openxmlformats.org/officeDocument/2006/relationships/hyperlink" Target="https://www.ncbi.nlm.nih.gov/books/NBK565353/" TargetMode="External"/><Relationship Id="rId9" Type="http://schemas.openxmlformats.org/officeDocument/2006/relationships/hyperlink" Target="https://www.ncbi.nlm.nih.gov/books/NBK565353/" TargetMode="External"/><Relationship Id="rId14" Type="http://schemas.openxmlformats.org/officeDocument/2006/relationships/hyperlink" Target="https://doi.org/10.1056/nejmoa0904327" TargetMode="External"/><Relationship Id="rId22" Type="http://schemas.openxmlformats.org/officeDocument/2006/relationships/hyperlink" Target="https://doi.org/10.1161/circoutcomes.111.964700" TargetMode="External"/><Relationship Id="rId27" Type="http://schemas.openxmlformats.org/officeDocument/2006/relationships/hyperlink" Target="https://www.ncbi.nlm.nih.gov/books/NBK565353/" TargetMode="External"/><Relationship Id="rId30" Type="http://schemas.openxmlformats.org/officeDocument/2006/relationships/hyperlink" Target="https://www.nice.org.uk/process/pmg36/chapter/economic-evaluation-2" TargetMode="External"/><Relationship Id="rId35" Type="http://schemas.openxmlformats.org/officeDocument/2006/relationships/hyperlink" Target="https://www.ncbi.nlm.nih.gov/books/NBK565353/" TargetMode="External"/><Relationship Id="rId43" Type="http://schemas.openxmlformats.org/officeDocument/2006/relationships/hyperlink" Target="https://www.sciencedirect.com/science/article/pii/S0140673622018414" TargetMode="External"/><Relationship Id="rId8" Type="http://schemas.openxmlformats.org/officeDocument/2006/relationships/hyperlink" Target="https://www.ncbi.nlm.nih.gov/books/NBK565353/" TargetMode="External"/><Relationship Id="rId3" Type="http://schemas.openxmlformats.org/officeDocument/2006/relationships/hyperlink" Target="https://www.ncbi.nlm.nih.gov/books/NBK565353/" TargetMode="External"/><Relationship Id="rId12" Type="http://schemas.openxmlformats.org/officeDocument/2006/relationships/hyperlink" Target="https://doi.org/10.1111/cts.12830" TargetMode="External"/><Relationship Id="rId17" Type="http://schemas.openxmlformats.org/officeDocument/2006/relationships/hyperlink" Target="https://hqlo.biomedcentral.com/articles/10.1186/s12955-018-1019-3" TargetMode="External"/><Relationship Id="rId25" Type="http://schemas.openxmlformats.org/officeDocument/2006/relationships/hyperlink" Target="https://www.ncbi.nlm.nih.gov/books/NBK565353/" TargetMode="External"/><Relationship Id="rId33" Type="http://schemas.openxmlformats.org/officeDocument/2006/relationships/hyperlink" Target="https://www.ncbi.nlm.nih.gov/books/NBK565353/" TargetMode="External"/><Relationship Id="rId38" Type="http://schemas.openxmlformats.org/officeDocument/2006/relationships/hyperlink" Target="https://www.nice.org.uk/process/pmg36/chapter/economic-evaluation-2" TargetMode="External"/><Relationship Id="rId46" Type="http://schemas.openxmlformats.org/officeDocument/2006/relationships/hyperlink" Target="https://www.nice.org.uk/guidance/TA236" TargetMode="External"/><Relationship Id="rId20" Type="http://schemas.openxmlformats.org/officeDocument/2006/relationships/hyperlink" Target="https://doi.org/10.1161/circoutcomes.111.964700" TargetMode="External"/><Relationship Id="rId41" Type="http://schemas.openxmlformats.org/officeDocument/2006/relationships/hyperlink" Target="https://www.ncbi.nlm.nih.gov/books/NBK565353/"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oi.org/10.1016/j.jns.2016.08.025" TargetMode="External"/><Relationship Id="rId7" Type="http://schemas.microsoft.com/office/2017/10/relationships/threadedComment" Target="../threadedComments/threadedComment1.xml"/><Relationship Id="rId2" Type="http://schemas.openxmlformats.org/officeDocument/2006/relationships/hyperlink" Target="https://doi.org/10.1111/cts.12830" TargetMode="External"/><Relationship Id="rId1" Type="http://schemas.openxmlformats.org/officeDocument/2006/relationships/hyperlink" Target="https://doi.org/10.1161/jaha.124.034414"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hyperlink" Target="https://www.england.nhs.uk/wp-content/uploads/2023/03/23-25NHSPS-amended_Annex-D-Prices-and-cost-adjustments_2024-25.pdf" TargetMode="External"/><Relationship Id="rId1" Type="http://schemas.openxmlformats.org/officeDocument/2006/relationships/hyperlink" Target="https://kar.kent.ac.uk/105685/1/The%20unit%20costs%20of%20health%20and%20social%20care_Final3.pdf"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4.xml"/><Relationship Id="rId4" Type="http://schemas.microsoft.com/office/2017/10/relationships/threadedComment" Target="../threadedComments/threadedComment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A6BB9-553F-48D4-A4DC-3E31EC24A301}">
  <sheetPr codeName="Sheet9"/>
  <dimension ref="A1:E61"/>
  <sheetViews>
    <sheetView workbookViewId="0">
      <pane ySplit="1" topLeftCell="A2" activePane="bottomLeft" state="frozen"/>
      <selection pane="bottomLeft" activeCell="B12" sqref="B12"/>
    </sheetView>
  </sheetViews>
  <sheetFormatPr baseColWidth="10" defaultColWidth="8.83203125" defaultRowHeight="15" x14ac:dyDescent="0.2"/>
  <cols>
    <col min="2" max="2" width="97.5" style="21" customWidth="1"/>
    <col min="3" max="3" width="28.83203125" style="1" customWidth="1"/>
    <col min="4" max="4" width="22.6640625" style="148" customWidth="1"/>
    <col min="2000" max="2000" width="2.5" customWidth="1"/>
  </cols>
  <sheetData>
    <row r="1" spans="1:5" ht="16" x14ac:dyDescent="0.2">
      <c r="B1" s="253" t="s">
        <v>0</v>
      </c>
      <c r="D1" s="148" t="s">
        <v>1</v>
      </c>
      <c r="E1" t="s">
        <v>2</v>
      </c>
    </row>
    <row r="2" spans="1:5" ht="16" x14ac:dyDescent="0.2">
      <c r="B2" s="254" t="s">
        <v>3</v>
      </c>
    </row>
    <row r="3" spans="1:5" ht="16" x14ac:dyDescent="0.2">
      <c r="B3" s="254" t="s">
        <v>4</v>
      </c>
    </row>
    <row r="4" spans="1:5" ht="16" x14ac:dyDescent="0.2">
      <c r="B4" s="254" t="s">
        <v>5</v>
      </c>
      <c r="D4" s="148" t="s">
        <v>6</v>
      </c>
    </row>
    <row r="5" spans="1:5" ht="20" customHeight="1" x14ac:dyDescent="0.2">
      <c r="A5" t="s">
        <v>7</v>
      </c>
      <c r="B5" s="255" t="s">
        <v>8</v>
      </c>
    </row>
    <row r="6" spans="1:5" ht="20" customHeight="1" x14ac:dyDescent="0.2">
      <c r="A6" t="s">
        <v>7</v>
      </c>
      <c r="B6" s="256" t="s">
        <v>9</v>
      </c>
      <c r="C6" s="53"/>
      <c r="D6" s="148" t="s">
        <v>6</v>
      </c>
    </row>
    <row r="7" spans="1:5" ht="17.5" customHeight="1" x14ac:dyDescent="0.2">
      <c r="A7" t="s">
        <v>7</v>
      </c>
      <c r="B7" s="257" t="s">
        <v>10</v>
      </c>
      <c r="C7" s="53"/>
    </row>
    <row r="8" spans="1:5" ht="18.5" customHeight="1" x14ac:dyDescent="0.2">
      <c r="A8" t="s">
        <v>7</v>
      </c>
      <c r="B8" s="21" t="s">
        <v>11</v>
      </c>
      <c r="C8" s="89"/>
    </row>
    <row r="9" spans="1:5" ht="20" customHeight="1" x14ac:dyDescent="0.2">
      <c r="A9" t="s">
        <v>7</v>
      </c>
      <c r="B9" s="258" t="s">
        <v>12</v>
      </c>
      <c r="C9" s="89"/>
    </row>
    <row r="10" spans="1:5" ht="40.5" customHeight="1" x14ac:dyDescent="0.2">
      <c r="A10" t="s">
        <v>7</v>
      </c>
      <c r="B10" s="257" t="s">
        <v>13</v>
      </c>
      <c r="C10" s="89"/>
    </row>
    <row r="11" spans="1:5" ht="39.5" customHeight="1" x14ac:dyDescent="0.2">
      <c r="A11" t="s">
        <v>7</v>
      </c>
      <c r="B11" s="257" t="s">
        <v>14</v>
      </c>
      <c r="C11" s="89"/>
      <c r="D11" s="148" t="s">
        <v>15</v>
      </c>
    </row>
    <row r="12" spans="1:5" ht="30" customHeight="1" x14ac:dyDescent="0.2">
      <c r="A12" t="s">
        <v>7</v>
      </c>
      <c r="B12" s="257" t="s">
        <v>16</v>
      </c>
      <c r="C12" s="122">
        <v>0.5</v>
      </c>
    </row>
    <row r="13" spans="1:5" ht="30" customHeight="1" x14ac:dyDescent="0.2">
      <c r="A13" t="s">
        <v>7</v>
      </c>
      <c r="B13" s="257" t="s">
        <v>17</v>
      </c>
      <c r="C13" s="122">
        <v>0.47</v>
      </c>
    </row>
    <row r="14" spans="1:5" ht="30" customHeight="1" x14ac:dyDescent="0.2">
      <c r="A14" t="s">
        <v>7</v>
      </c>
      <c r="B14" s="257" t="s">
        <v>18</v>
      </c>
      <c r="C14" s="122">
        <v>0.03</v>
      </c>
    </row>
    <row r="15" spans="1:5" ht="30" customHeight="1" x14ac:dyDescent="0.2">
      <c r="A15" t="s">
        <v>7</v>
      </c>
      <c r="B15" s="257" t="s">
        <v>19</v>
      </c>
    </row>
    <row r="16" spans="1:5" ht="30" customHeight="1" x14ac:dyDescent="0.2">
      <c r="A16" t="s">
        <v>7</v>
      </c>
      <c r="B16" s="257" t="s">
        <v>20</v>
      </c>
      <c r="C16" s="1" t="s">
        <v>21</v>
      </c>
    </row>
    <row r="17" spans="1:4" ht="30" customHeight="1" x14ac:dyDescent="0.2">
      <c r="A17" t="s">
        <v>7</v>
      </c>
      <c r="B17" s="257" t="s">
        <v>22</v>
      </c>
    </row>
    <row r="18" spans="1:4" ht="78.5" customHeight="1" x14ac:dyDescent="0.2">
      <c r="A18" t="s">
        <v>7</v>
      </c>
      <c r="B18" s="257" t="s">
        <v>23</v>
      </c>
      <c r="C18" s="1">
        <v>365</v>
      </c>
    </row>
    <row r="19" spans="1:4" ht="30" customHeight="1" x14ac:dyDescent="0.2">
      <c r="A19" t="s">
        <v>7</v>
      </c>
      <c r="B19" s="257" t="s">
        <v>24</v>
      </c>
      <c r="C19" s="89">
        <v>0.15</v>
      </c>
    </row>
    <row r="20" spans="1:4" ht="52.25" customHeight="1" x14ac:dyDescent="0.2">
      <c r="A20" t="s">
        <v>7</v>
      </c>
      <c r="B20" s="257" t="s">
        <v>25</v>
      </c>
      <c r="C20" s="89"/>
    </row>
    <row r="21" spans="1:4" ht="33" customHeight="1" x14ac:dyDescent="0.2">
      <c r="A21" t="s">
        <v>7</v>
      </c>
      <c r="B21" s="257" t="s">
        <v>26</v>
      </c>
      <c r="C21" s="61"/>
    </row>
    <row r="22" spans="1:4" ht="30" customHeight="1" x14ac:dyDescent="0.2">
      <c r="A22" t="s">
        <v>7</v>
      </c>
      <c r="B22" s="257" t="s">
        <v>27</v>
      </c>
    </row>
    <row r="23" spans="1:4" ht="30" customHeight="1" x14ac:dyDescent="0.2">
      <c r="A23" t="s">
        <v>7</v>
      </c>
      <c r="B23" s="257" t="s">
        <v>28</v>
      </c>
      <c r="C23" s="128">
        <v>2003.9049186967752</v>
      </c>
    </row>
    <row r="24" spans="1:4" ht="30" customHeight="1" x14ac:dyDescent="0.2">
      <c r="A24" t="s">
        <v>7</v>
      </c>
      <c r="B24" s="257" t="s">
        <v>29</v>
      </c>
      <c r="C24" s="128">
        <v>1427.1713079498984</v>
      </c>
    </row>
    <row r="25" spans="1:4" ht="49.25" customHeight="1" x14ac:dyDescent="0.2">
      <c r="A25" t="s">
        <v>7</v>
      </c>
      <c r="B25" s="257" t="s">
        <v>30</v>
      </c>
      <c r="C25" s="6"/>
      <c r="D25" s="50" t="s">
        <v>31</v>
      </c>
    </row>
    <row r="26" spans="1:4" ht="30" customHeight="1" x14ac:dyDescent="0.2">
      <c r="A26" t="s">
        <v>7</v>
      </c>
      <c r="B26" s="257" t="s">
        <v>32</v>
      </c>
      <c r="C26" s="6"/>
      <c r="D26" s="50"/>
    </row>
    <row r="27" spans="1:4" ht="30" customHeight="1" x14ac:dyDescent="0.2">
      <c r="A27" t="s">
        <v>7</v>
      </c>
      <c r="B27" s="257" t="s">
        <v>33</v>
      </c>
      <c r="C27" s="6"/>
      <c r="D27" s="50"/>
    </row>
    <row r="28" spans="1:4" ht="30" customHeight="1" x14ac:dyDescent="0.2">
      <c r="A28" t="s">
        <v>7</v>
      </c>
      <c r="B28" s="257" t="s">
        <v>34</v>
      </c>
      <c r="C28" s="89">
        <v>0.93</v>
      </c>
    </row>
    <row r="29" spans="1:4" ht="30" customHeight="1" x14ac:dyDescent="0.2">
      <c r="A29" t="s">
        <v>7</v>
      </c>
      <c r="B29" s="257" t="s">
        <v>35</v>
      </c>
      <c r="C29" s="89">
        <v>0.93</v>
      </c>
    </row>
    <row r="30" spans="1:4" ht="30" customHeight="1" x14ac:dyDescent="0.2">
      <c r="A30" t="s">
        <v>7</v>
      </c>
      <c r="B30" s="257" t="s">
        <v>36</v>
      </c>
      <c r="C30" s="89">
        <v>1</v>
      </c>
    </row>
    <row r="31" spans="1:4" ht="30" customHeight="1" x14ac:dyDescent="0.2">
      <c r="A31" t="s">
        <v>7</v>
      </c>
      <c r="B31" s="257" t="s">
        <v>37</v>
      </c>
      <c r="C31" s="89">
        <v>0.29699999999999999</v>
      </c>
    </row>
    <row r="32" spans="1:4" ht="30" customHeight="1" x14ac:dyDescent="0.2">
      <c r="A32" t="s">
        <v>7</v>
      </c>
      <c r="B32" s="257" t="s">
        <v>38</v>
      </c>
      <c r="C32" s="89"/>
    </row>
    <row r="33" spans="1:4" ht="21.5" customHeight="1" x14ac:dyDescent="0.2">
      <c r="A33" t="s">
        <v>7</v>
      </c>
      <c r="B33" s="187" t="s">
        <v>39</v>
      </c>
    </row>
    <row r="34" spans="1:4" ht="34" customHeight="1" x14ac:dyDescent="0.2">
      <c r="A34" t="s">
        <v>7</v>
      </c>
      <c r="B34" s="257" t="s">
        <v>40</v>
      </c>
    </row>
    <row r="35" spans="1:4" ht="26.5" customHeight="1" x14ac:dyDescent="0.2">
      <c r="A35" t="s">
        <v>7</v>
      </c>
      <c r="B35" s="254" t="s">
        <v>41</v>
      </c>
    </row>
    <row r="36" spans="1:4" ht="24" customHeight="1" x14ac:dyDescent="0.2">
      <c r="A36" t="s">
        <v>7</v>
      </c>
      <c r="B36" s="55" t="s">
        <v>42</v>
      </c>
    </row>
    <row r="37" spans="1:4" ht="22.5" customHeight="1" x14ac:dyDescent="0.2">
      <c r="A37" t="s">
        <v>7</v>
      </c>
      <c r="B37" s="257" t="s">
        <v>43</v>
      </c>
    </row>
    <row r="38" spans="1:4" ht="22.5" customHeight="1" x14ac:dyDescent="0.2">
      <c r="A38" t="s">
        <v>7</v>
      </c>
      <c r="B38" s="257" t="s">
        <v>44</v>
      </c>
    </row>
    <row r="39" spans="1:4" ht="22.5" customHeight="1" x14ac:dyDescent="0.2">
      <c r="A39" t="s">
        <v>7</v>
      </c>
      <c r="B39" s="257" t="s">
        <v>45</v>
      </c>
    </row>
    <row r="40" spans="1:4" ht="32" x14ac:dyDescent="0.2">
      <c r="A40" t="s">
        <v>7</v>
      </c>
      <c r="B40" s="259" t="s">
        <v>46</v>
      </c>
    </row>
    <row r="41" spans="1:4" x14ac:dyDescent="0.2">
      <c r="A41" t="s">
        <v>7</v>
      </c>
    </row>
    <row r="42" spans="1:4" x14ac:dyDescent="0.2">
      <c r="B42" s="21" t="s">
        <v>47</v>
      </c>
    </row>
    <row r="43" spans="1:4" x14ac:dyDescent="0.2">
      <c r="A43" t="s">
        <v>48</v>
      </c>
      <c r="B43" s="21" t="s">
        <v>49</v>
      </c>
      <c r="C43" s="89">
        <v>1</v>
      </c>
      <c r="D43" t="s">
        <v>50</v>
      </c>
    </row>
    <row r="44" spans="1:4" ht="19.5" customHeight="1" x14ac:dyDescent="0.2">
      <c r="A44" t="s">
        <v>51</v>
      </c>
      <c r="B44" s="21" t="s">
        <v>52</v>
      </c>
      <c r="C44" s="62">
        <v>1</v>
      </c>
      <c r="D44" t="s">
        <v>50</v>
      </c>
    </row>
    <row r="45" spans="1:4" x14ac:dyDescent="0.2">
      <c r="A45" t="s">
        <v>53</v>
      </c>
      <c r="B45" s="21" t="s">
        <v>54</v>
      </c>
      <c r="C45" s="62">
        <v>0.56799999999999995</v>
      </c>
      <c r="D45" t="s">
        <v>55</v>
      </c>
    </row>
    <row r="46" spans="1:4" ht="15" customHeight="1" x14ac:dyDescent="0.2">
      <c r="A46" t="s">
        <v>56</v>
      </c>
      <c r="B46" s="21" t="s">
        <v>57</v>
      </c>
      <c r="C46" s="1" t="s">
        <v>58</v>
      </c>
      <c r="D46" s="148" t="s">
        <v>59</v>
      </c>
    </row>
    <row r="47" spans="1:4" ht="16" x14ac:dyDescent="0.2">
      <c r="A47" t="s">
        <v>60</v>
      </c>
      <c r="B47" s="21" t="s">
        <v>61</v>
      </c>
      <c r="C47" s="62">
        <v>2.5999999999999999E-3</v>
      </c>
      <c r="D47" s="148" t="s">
        <v>62</v>
      </c>
    </row>
    <row r="48" spans="1:4" ht="16" x14ac:dyDescent="0.2">
      <c r="A48" t="s">
        <v>63</v>
      </c>
      <c r="B48" s="21" t="s">
        <v>61</v>
      </c>
      <c r="C48" s="1" t="s">
        <v>64</v>
      </c>
      <c r="D48" s="148" t="s">
        <v>65</v>
      </c>
    </row>
    <row r="49" spans="1:4" ht="16" x14ac:dyDescent="0.2">
      <c r="A49" t="s">
        <v>66</v>
      </c>
      <c r="B49" s="21" t="s">
        <v>67</v>
      </c>
      <c r="D49" s="148" t="s">
        <v>68</v>
      </c>
    </row>
    <row r="50" spans="1:4" x14ac:dyDescent="0.2">
      <c r="A50" t="s">
        <v>69</v>
      </c>
      <c r="B50" s="21" t="s">
        <v>70</v>
      </c>
    </row>
    <row r="51" spans="1:4" ht="16" x14ac:dyDescent="0.2">
      <c r="B51" s="21" t="s">
        <v>71</v>
      </c>
      <c r="C51" s="62">
        <v>7.85E-2</v>
      </c>
      <c r="D51" s="148" t="s">
        <v>72</v>
      </c>
    </row>
    <row r="52" spans="1:4" x14ac:dyDescent="0.2">
      <c r="B52" s="21" t="s">
        <v>73</v>
      </c>
      <c r="C52" s="1" t="s">
        <v>74</v>
      </c>
    </row>
    <row r="54" spans="1:4" ht="16" x14ac:dyDescent="0.2">
      <c r="A54" t="s">
        <v>75</v>
      </c>
      <c r="B54" s="21" t="s">
        <v>76</v>
      </c>
      <c r="C54" s="252">
        <v>893.20396071179425</v>
      </c>
      <c r="D54" s="148" t="s">
        <v>72</v>
      </c>
    </row>
    <row r="55" spans="1:4" ht="16" x14ac:dyDescent="0.2">
      <c r="B55" s="21" t="s">
        <v>77</v>
      </c>
      <c r="C55" s="252"/>
      <c r="D55" s="148" t="s">
        <v>72</v>
      </c>
    </row>
    <row r="56" spans="1:4" ht="16" x14ac:dyDescent="0.2">
      <c r="A56" t="s">
        <v>78</v>
      </c>
      <c r="B56" s="21" t="s">
        <v>79</v>
      </c>
      <c r="C56" s="252">
        <v>3528.2167394737421</v>
      </c>
      <c r="D56" s="148" t="s">
        <v>72</v>
      </c>
    </row>
    <row r="57" spans="1:4" ht="16" x14ac:dyDescent="0.2">
      <c r="A57" t="s">
        <v>80</v>
      </c>
      <c r="B57" s="21" t="s">
        <v>81</v>
      </c>
      <c r="C57" s="252">
        <v>3848.9637157895368</v>
      </c>
      <c r="D57" s="148" t="s">
        <v>72</v>
      </c>
    </row>
    <row r="58" spans="1:4" ht="16" x14ac:dyDescent="0.2">
      <c r="A58" t="s">
        <v>82</v>
      </c>
      <c r="B58" s="21" t="s">
        <v>83</v>
      </c>
      <c r="C58" s="252">
        <v>4169.7106921053319</v>
      </c>
      <c r="D58" s="148" t="s">
        <v>72</v>
      </c>
    </row>
    <row r="59" spans="1:4" ht="16" x14ac:dyDescent="0.2">
      <c r="A59" t="s">
        <v>84</v>
      </c>
      <c r="B59" s="21" t="s">
        <v>85</v>
      </c>
      <c r="C59" s="252">
        <v>4490.4576684211261</v>
      </c>
      <c r="D59" s="148" t="s">
        <v>72</v>
      </c>
    </row>
    <row r="60" spans="1:4" ht="16" x14ac:dyDescent="0.2">
      <c r="A60" t="s">
        <v>86</v>
      </c>
      <c r="B60" s="21" t="s">
        <v>87</v>
      </c>
      <c r="D60" s="148" t="s">
        <v>72</v>
      </c>
    </row>
    <row r="61" spans="1:4" ht="16" x14ac:dyDescent="0.2">
      <c r="A61" t="s">
        <v>88</v>
      </c>
      <c r="B61" s="21" t="s">
        <v>89</v>
      </c>
      <c r="C61" s="62">
        <v>1.4999999999999999E-2</v>
      </c>
      <c r="D61" s="148" t="s">
        <v>72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B354F-E70A-4FE1-BE81-BCEC4964482B}">
  <sheetPr codeName="Sheet13"/>
  <dimension ref="C2:AD73"/>
  <sheetViews>
    <sheetView tabSelected="1" workbookViewId="0">
      <pane ySplit="4" topLeftCell="A45" activePane="bottomLeft" state="frozen"/>
      <selection activeCell="B1" sqref="B1"/>
      <selection pane="bottomLeft" activeCell="Q46" sqref="Q46"/>
    </sheetView>
  </sheetViews>
  <sheetFormatPr baseColWidth="10" defaultColWidth="8.83203125" defaultRowHeight="15" x14ac:dyDescent="0.2"/>
  <cols>
    <col min="2" max="2" width="17.83203125" customWidth="1"/>
    <col min="3" max="3" width="6.1640625" style="272" customWidth="1"/>
    <col min="4" max="4" width="7.5" style="281" customWidth="1"/>
    <col min="5" max="5" width="9.83203125" style="272" customWidth="1"/>
    <col min="6" max="6" width="6.5" style="272" customWidth="1"/>
    <col min="7" max="7" width="5.83203125" style="272" customWidth="1"/>
    <col min="8" max="8" width="1.33203125" customWidth="1"/>
    <col min="9" max="9" width="10.5" customWidth="1"/>
    <col min="10" max="10" width="1.33203125" customWidth="1"/>
    <col min="11" max="11" width="10.1640625" customWidth="1"/>
    <col min="12" max="12" width="1.1640625" customWidth="1"/>
    <col min="13" max="13" width="12.1640625" customWidth="1"/>
    <col min="14" max="14" width="1.1640625" customWidth="1"/>
    <col min="15" max="15" width="10.5" customWidth="1"/>
    <col min="16" max="16" width="1.33203125" customWidth="1"/>
    <col min="17" max="17" width="12" bestFit="1" customWidth="1"/>
    <col min="18" max="18" width="1" customWidth="1"/>
    <col min="19" max="19" width="9.5" bestFit="1" customWidth="1"/>
    <col min="20" max="20" width="1.1640625" customWidth="1"/>
    <col min="21" max="21" width="10" customWidth="1"/>
    <col min="22" max="22" width="1.1640625" customWidth="1"/>
    <col min="23" max="23" width="10.5" customWidth="1"/>
    <col min="24" max="24" width="1.1640625" customWidth="1"/>
    <col min="25" max="25" width="9.33203125" customWidth="1"/>
    <col min="26" max="26" width="1.5" customWidth="1"/>
    <col min="27" max="27" width="10.83203125" customWidth="1"/>
    <col min="28" max="28" width="1.5" customWidth="1"/>
    <col min="30" max="30" width="8.6640625" customWidth="1"/>
    <col min="2000" max="2000" width="2.5" customWidth="1"/>
    <col min="2004" max="2005" width="2.5" customWidth="1"/>
  </cols>
  <sheetData>
    <row r="2" spans="3:30" s="368" customFormat="1" ht="39" x14ac:dyDescent="0.2">
      <c r="C2" s="366"/>
      <c r="D2" s="367"/>
      <c r="E2" s="366"/>
      <c r="F2" s="366"/>
      <c r="G2" s="366"/>
      <c r="I2" s="382" t="s">
        <v>90</v>
      </c>
      <c r="J2" s="383"/>
      <c r="K2" s="384" t="s">
        <v>91</v>
      </c>
      <c r="L2" s="383"/>
      <c r="M2" s="384" t="s">
        <v>92</v>
      </c>
      <c r="N2" s="383"/>
      <c r="O2" s="384" t="s">
        <v>93</v>
      </c>
      <c r="P2" s="383"/>
      <c r="Q2" s="384" t="s">
        <v>94</v>
      </c>
      <c r="R2" s="383"/>
      <c r="S2" s="384" t="s">
        <v>95</v>
      </c>
      <c r="T2" s="383"/>
      <c r="U2" s="384" t="s">
        <v>96</v>
      </c>
      <c r="V2" s="383"/>
      <c r="W2" s="384" t="s">
        <v>97</v>
      </c>
      <c r="X2" s="383"/>
      <c r="Y2" s="385" t="s">
        <v>98</v>
      </c>
      <c r="Z2" s="367"/>
      <c r="AA2" s="369" t="s">
        <v>99</v>
      </c>
      <c r="AC2" s="369" t="s">
        <v>100</v>
      </c>
      <c r="AD2" s="369" t="s">
        <v>101</v>
      </c>
    </row>
    <row r="3" spans="3:30" ht="6.5" customHeight="1" x14ac:dyDescent="0.2">
      <c r="I3" s="331"/>
      <c r="J3" s="281"/>
      <c r="K3" s="281"/>
      <c r="L3" s="281"/>
      <c r="M3" s="281"/>
      <c r="N3" s="281"/>
      <c r="O3" s="281"/>
      <c r="P3" s="281"/>
      <c r="Q3" s="281"/>
      <c r="R3" s="281"/>
      <c r="S3" s="281"/>
      <c r="T3" s="281"/>
      <c r="U3" s="281"/>
      <c r="V3" s="281"/>
      <c r="W3" s="281"/>
      <c r="X3" s="281"/>
      <c r="Y3" s="333"/>
      <c r="Z3" s="281"/>
      <c r="AA3" s="281"/>
    </row>
    <row r="4" spans="3:30" x14ac:dyDescent="0.2">
      <c r="I4" s="386">
        <f>LYGs_st</f>
        <v>12.430157389442273</v>
      </c>
      <c r="J4" s="326"/>
      <c r="K4" s="330">
        <f>LYGs_poc</f>
        <v>12.516683976216354</v>
      </c>
      <c r="L4" s="326"/>
      <c r="M4" s="337">
        <f>c_st_total</f>
        <v>21443.269382910814</v>
      </c>
      <c r="N4" s="330"/>
      <c r="O4" s="337">
        <f>c_poc_total</f>
        <v>21525.530126450656</v>
      </c>
      <c r="P4" s="330"/>
      <c r="Q4" s="337">
        <f>O4-M4</f>
        <v>82.260743539842224</v>
      </c>
      <c r="R4" s="330"/>
      <c r="S4" s="330">
        <f>qaly_st_total</f>
        <v>6.2615332201676051</v>
      </c>
      <c r="T4" s="330"/>
      <c r="U4" s="387">
        <f>qaly_poc_total</f>
        <v>6.2972894092490934</v>
      </c>
      <c r="V4" s="330"/>
      <c r="W4" s="387">
        <f>U4-S4</f>
        <v>3.5756189081488365E-2</v>
      </c>
      <c r="X4" s="330"/>
      <c r="Y4" s="338">
        <f>Q4/W4</f>
        <v>2300.6015364884097</v>
      </c>
      <c r="Z4" s="281"/>
      <c r="AA4" s="294">
        <f>(U4*ce_tresh)-O4</f>
        <v>104420.25805853121</v>
      </c>
      <c r="AC4">
        <f>psa_cost_diff</f>
        <v>214.77989830534486</v>
      </c>
      <c r="AD4">
        <f>psa_qaly_diff</f>
        <v>3.5300879654351802E-2</v>
      </c>
    </row>
    <row r="5" spans="3:30" x14ac:dyDescent="0.2">
      <c r="I5" s="277"/>
      <c r="J5" s="281"/>
      <c r="K5" s="277"/>
      <c r="L5" s="281"/>
      <c r="M5" s="294"/>
      <c r="N5" s="277"/>
      <c r="O5" s="294"/>
      <c r="P5" s="277"/>
      <c r="Q5" s="294"/>
      <c r="R5" s="277"/>
      <c r="S5" s="277"/>
      <c r="T5" s="277"/>
      <c r="U5" s="302"/>
      <c r="V5" s="277"/>
      <c r="W5" s="302"/>
      <c r="X5" s="277"/>
      <c r="Y5" s="294"/>
      <c r="Z5" s="281"/>
      <c r="AA5" s="294"/>
    </row>
    <row r="6" spans="3:30" ht="16" thickBot="1" x14ac:dyDescent="0.25">
      <c r="I6" s="277"/>
      <c r="J6" s="281"/>
      <c r="K6" s="277"/>
      <c r="L6" s="281"/>
      <c r="M6" s="294"/>
      <c r="N6" s="277"/>
      <c r="O6" s="294"/>
      <c r="P6" s="277"/>
      <c r="Q6" s="294"/>
      <c r="R6" s="277"/>
      <c r="S6" s="277"/>
      <c r="T6" s="277"/>
      <c r="U6" s="302"/>
      <c r="V6" s="277"/>
      <c r="W6" s="302"/>
      <c r="X6" s="277"/>
      <c r="Y6" s="294"/>
      <c r="Z6" s="281"/>
      <c r="AA6" s="294"/>
    </row>
    <row r="7" spans="3:30" x14ac:dyDescent="0.2">
      <c r="C7" s="409" t="s">
        <v>102</v>
      </c>
      <c r="D7" s="410"/>
      <c r="E7" s="410"/>
      <c r="F7" s="410"/>
      <c r="G7" s="411"/>
      <c r="I7" s="277"/>
      <c r="J7" s="281"/>
      <c r="K7" s="277"/>
      <c r="L7" s="281"/>
      <c r="M7" s="294"/>
      <c r="N7" s="277"/>
      <c r="O7" s="294"/>
      <c r="P7" s="277"/>
      <c r="Q7" s="294"/>
      <c r="R7" s="277"/>
      <c r="S7" s="277"/>
      <c r="T7" s="277"/>
      <c r="U7" s="302"/>
      <c r="V7" s="277"/>
      <c r="W7" s="302"/>
      <c r="X7" s="277"/>
      <c r="Y7" s="294"/>
      <c r="Z7" s="281"/>
      <c r="AA7" s="294"/>
    </row>
    <row r="8" spans="3:30" x14ac:dyDescent="0.2">
      <c r="C8" s="272" t="s">
        <v>103</v>
      </c>
      <c r="E8" s="272">
        <v>1</v>
      </c>
      <c r="F8" s="272">
        <v>1</v>
      </c>
      <c r="I8" s="277"/>
      <c r="J8" s="281"/>
      <c r="K8" s="277"/>
      <c r="L8" s="281"/>
      <c r="M8" s="294"/>
      <c r="N8" s="277"/>
      <c r="O8" s="294"/>
      <c r="P8" s="277"/>
      <c r="Q8" s="294"/>
      <c r="R8" s="277"/>
      <c r="S8" s="277"/>
      <c r="T8" s="277"/>
      <c r="U8" s="302"/>
      <c r="V8" s="277"/>
      <c r="W8" s="302"/>
      <c r="X8" s="277"/>
      <c r="Y8" s="294"/>
      <c r="Z8" s="281"/>
      <c r="AA8" s="294"/>
    </row>
    <row r="9" spans="3:30" x14ac:dyDescent="0.2">
      <c r="C9" s="272" t="s">
        <v>104</v>
      </c>
      <c r="E9" s="272">
        <v>2</v>
      </c>
      <c r="I9" s="277"/>
      <c r="J9" s="281"/>
      <c r="K9" s="277"/>
      <c r="L9" s="281"/>
      <c r="M9" s="294"/>
      <c r="N9" s="277"/>
      <c r="O9" s="294"/>
      <c r="P9" s="277"/>
      <c r="Q9" s="294"/>
      <c r="R9" s="277"/>
      <c r="S9" s="277"/>
      <c r="T9" s="277"/>
      <c r="U9" s="302"/>
      <c r="V9" s="277"/>
      <c r="W9" s="302"/>
      <c r="X9" s="277"/>
      <c r="Y9" s="294"/>
      <c r="Z9" s="281"/>
      <c r="AA9" s="294"/>
    </row>
    <row r="10" spans="3:30" x14ac:dyDescent="0.2">
      <c r="I10" s="277"/>
      <c r="J10" s="281"/>
      <c r="K10" s="277"/>
      <c r="L10" s="281"/>
      <c r="M10" s="294"/>
      <c r="N10" s="277"/>
      <c r="O10" s="294"/>
      <c r="P10" s="277"/>
      <c r="Q10" s="294"/>
      <c r="R10" s="277"/>
      <c r="S10" s="277"/>
      <c r="T10" s="277"/>
      <c r="U10" s="302"/>
      <c r="V10" s="277"/>
      <c r="W10" s="302"/>
      <c r="X10" s="277"/>
      <c r="Y10" s="294"/>
      <c r="Z10" s="281"/>
      <c r="AA10" s="294"/>
    </row>
    <row r="11" spans="3:30" ht="16" thickBot="1" x14ac:dyDescent="0.25">
      <c r="C11" s="412"/>
      <c r="D11" s="412"/>
      <c r="E11" s="412"/>
      <c r="F11" s="412"/>
      <c r="G11" s="412"/>
      <c r="H11" s="1"/>
      <c r="I11" s="1"/>
      <c r="J11" s="1"/>
      <c r="K11" s="1"/>
      <c r="L11" s="1"/>
      <c r="M11" s="128"/>
      <c r="Q11" s="128"/>
      <c r="S11" s="82"/>
      <c r="T11" s="82"/>
      <c r="U11" s="82"/>
      <c r="V11" s="82"/>
      <c r="W11" s="126"/>
      <c r="Y11" s="128"/>
    </row>
    <row r="12" spans="3:30" x14ac:dyDescent="0.2">
      <c r="C12" s="413" t="s">
        <v>105</v>
      </c>
      <c r="D12" s="414"/>
      <c r="E12" s="414"/>
      <c r="F12" s="414"/>
      <c r="G12" s="415"/>
      <c r="H12" s="21"/>
      <c r="I12" s="21"/>
      <c r="J12" s="21"/>
      <c r="K12" s="21"/>
      <c r="L12" s="21"/>
      <c r="M12" s="1"/>
      <c r="N12" s="1"/>
      <c r="O12" s="1"/>
      <c r="P12" s="1"/>
      <c r="Q12" s="1"/>
      <c r="R12" s="1"/>
      <c r="S12" s="82"/>
      <c r="T12" s="82"/>
      <c r="U12" s="82"/>
      <c r="V12" s="82"/>
      <c r="W12" s="82"/>
      <c r="X12" s="1"/>
      <c r="Y12" s="1"/>
    </row>
    <row r="13" spans="3:30" x14ac:dyDescent="0.2">
      <c r="C13" s="308" t="s">
        <v>106</v>
      </c>
      <c r="D13" s="309">
        <v>0.93</v>
      </c>
      <c r="E13" s="309"/>
      <c r="G13" s="310">
        <v>0.93</v>
      </c>
      <c r="H13" s="89"/>
      <c r="I13" s="82"/>
      <c r="J13" s="89"/>
      <c r="K13" s="82"/>
      <c r="L13" s="89"/>
      <c r="M13" s="128"/>
      <c r="N13" s="1"/>
      <c r="O13" s="128"/>
      <c r="P13" s="1"/>
      <c r="Q13" s="128"/>
      <c r="R13" s="1"/>
      <c r="S13" s="82"/>
      <c r="T13" s="82"/>
      <c r="U13" s="82"/>
      <c r="V13" s="82"/>
      <c r="W13" s="126"/>
      <c r="X13" s="1"/>
      <c r="Y13" s="128"/>
      <c r="AA13" s="128"/>
    </row>
    <row r="14" spans="3:30" ht="16" thickBot="1" x14ac:dyDescent="0.25">
      <c r="C14" s="311" t="s">
        <v>107</v>
      </c>
      <c r="D14" s="312">
        <v>1</v>
      </c>
      <c r="E14" s="312"/>
      <c r="F14" s="313"/>
      <c r="G14" s="314"/>
      <c r="H14" s="89"/>
      <c r="I14" s="89"/>
      <c r="J14" s="89"/>
      <c r="K14" s="89"/>
      <c r="L14" s="89"/>
      <c r="M14" s="1"/>
      <c r="N14" s="1"/>
      <c r="O14" s="128"/>
      <c r="P14" s="1"/>
      <c r="Q14" s="1"/>
      <c r="R14" s="1"/>
      <c r="S14" s="1"/>
      <c r="T14" s="1"/>
      <c r="U14" s="1"/>
      <c r="V14" s="1"/>
      <c r="W14" s="128"/>
      <c r="X14" s="1"/>
      <c r="Y14" s="304"/>
      <c r="Z14" s="305"/>
    </row>
    <row r="15" spans="3:30" x14ac:dyDescent="0.2">
      <c r="D15" s="309"/>
      <c r="E15" s="309"/>
      <c r="G15" s="309"/>
      <c r="H15" s="89"/>
      <c r="I15" s="89"/>
      <c r="J15" s="89"/>
      <c r="K15" s="89"/>
      <c r="L15" s="89"/>
      <c r="M15" s="1"/>
      <c r="N15" s="1"/>
      <c r="O15" s="128"/>
      <c r="P15" s="1"/>
      <c r="Q15" s="128"/>
      <c r="R15" s="1"/>
      <c r="S15" s="1"/>
      <c r="T15" s="1"/>
      <c r="U15" s="82"/>
      <c r="V15" s="1"/>
      <c r="W15" s="252"/>
      <c r="X15" s="1"/>
      <c r="Y15" s="1"/>
    </row>
    <row r="16" spans="3:30" x14ac:dyDescent="0.2">
      <c r="W16" s="1"/>
      <c r="X16" s="1"/>
      <c r="Y16" s="1"/>
    </row>
    <row r="17" spans="3:27" x14ac:dyDescent="0.2">
      <c r="C17" s="406" t="s">
        <v>108</v>
      </c>
      <c r="D17" s="407"/>
      <c r="E17" s="407"/>
      <c r="F17" s="407"/>
      <c r="G17" s="408"/>
      <c r="H17" s="21"/>
      <c r="I17" s="82"/>
      <c r="J17" s="82"/>
      <c r="K17" s="82"/>
      <c r="L17" s="21"/>
      <c r="M17" s="128"/>
      <c r="N17" s="128"/>
      <c r="O17" s="128"/>
      <c r="P17" s="128"/>
      <c r="Q17" s="128"/>
      <c r="R17" s="1"/>
      <c r="S17" s="82"/>
      <c r="T17" s="82"/>
      <c r="U17" s="82"/>
      <c r="V17" s="82"/>
      <c r="W17" s="126"/>
      <c r="X17" s="1"/>
      <c r="Y17" s="128"/>
      <c r="AA17" s="128"/>
    </row>
    <row r="18" spans="3:27" x14ac:dyDescent="0.2">
      <c r="C18" s="315" t="s">
        <v>109</v>
      </c>
      <c r="D18" s="309">
        <v>0.93</v>
      </c>
      <c r="G18" s="310">
        <v>0.93</v>
      </c>
      <c r="H18" s="89"/>
      <c r="I18" s="89"/>
      <c r="J18" s="89"/>
      <c r="K18" s="89"/>
      <c r="L18" s="89"/>
      <c r="M18" s="1"/>
      <c r="N18" s="1"/>
      <c r="O18" s="128"/>
      <c r="P18" s="1"/>
      <c r="Q18" s="128"/>
      <c r="R18" s="1"/>
      <c r="S18" s="1"/>
      <c r="T18" s="1"/>
      <c r="U18" s="1"/>
      <c r="V18" s="1"/>
      <c r="W18" s="1"/>
      <c r="X18" s="1"/>
      <c r="Y18" s="1"/>
    </row>
    <row r="19" spans="3:27" x14ac:dyDescent="0.2">
      <c r="C19" s="316" t="s">
        <v>107</v>
      </c>
      <c r="D19" s="317">
        <v>1</v>
      </c>
      <c r="E19" s="318"/>
      <c r="F19" s="318"/>
      <c r="G19" s="319"/>
      <c r="M19" s="1"/>
      <c r="N19" s="1"/>
      <c r="O19" s="128"/>
      <c r="P19" s="1"/>
      <c r="Q19" s="1"/>
      <c r="R19" s="1"/>
      <c r="S19" s="1"/>
      <c r="T19" s="1"/>
      <c r="U19" s="1"/>
      <c r="V19" s="1"/>
      <c r="W19" s="128"/>
      <c r="X19" s="1"/>
      <c r="Y19" s="1"/>
    </row>
    <row r="20" spans="3:27" x14ac:dyDescent="0.2">
      <c r="D20" s="278"/>
      <c r="M20" s="1"/>
      <c r="N20" s="1"/>
      <c r="O20" s="128"/>
      <c r="P20" s="1"/>
      <c r="Q20" s="128"/>
      <c r="R20" s="1"/>
      <c r="S20" s="1"/>
      <c r="T20" s="1"/>
      <c r="U20" s="82"/>
      <c r="V20" s="1"/>
      <c r="W20" s="128"/>
      <c r="X20" s="1"/>
      <c r="Y20" s="82"/>
      <c r="Z20" s="305"/>
    </row>
    <row r="21" spans="3:27" x14ac:dyDescent="0.2">
      <c r="D21" s="278"/>
      <c r="Q21" s="118"/>
    </row>
    <row r="22" spans="3:27" x14ac:dyDescent="0.2">
      <c r="C22" s="406" t="s">
        <v>110</v>
      </c>
      <c r="D22" s="407"/>
      <c r="E22" s="407"/>
      <c r="F22" s="407"/>
      <c r="G22" s="408"/>
      <c r="H22" s="21"/>
      <c r="I22" s="21"/>
      <c r="J22" s="21"/>
      <c r="K22" s="21"/>
      <c r="L22" s="21"/>
    </row>
    <row r="23" spans="3:27" x14ac:dyDescent="0.2">
      <c r="C23" s="320"/>
      <c r="D23" s="321"/>
      <c r="E23" s="321" t="s">
        <v>111</v>
      </c>
      <c r="F23" s="321" t="s">
        <v>112</v>
      </c>
      <c r="G23" s="322" t="s">
        <v>113</v>
      </c>
      <c r="H23" s="1"/>
      <c r="I23" s="1"/>
      <c r="J23" s="1"/>
      <c r="K23" s="1"/>
      <c r="L23" s="1"/>
      <c r="M23" s="128"/>
      <c r="O23" s="128"/>
      <c r="Q23" s="89"/>
      <c r="S23" s="82"/>
      <c r="U23" s="82"/>
      <c r="W23" s="82"/>
      <c r="Y23" s="128"/>
    </row>
    <row r="24" spans="3:27" x14ac:dyDescent="0.2">
      <c r="C24" s="323"/>
      <c r="D24" s="278"/>
      <c r="E24" s="324">
        <v>0.5</v>
      </c>
      <c r="F24" s="324">
        <v>0.47</v>
      </c>
      <c r="G24" s="310">
        <v>0.03</v>
      </c>
      <c r="H24" s="89"/>
      <c r="I24" s="89"/>
      <c r="J24" s="89"/>
      <c r="K24" s="89"/>
      <c r="L24" s="89"/>
    </row>
    <row r="25" spans="3:27" x14ac:dyDescent="0.2">
      <c r="C25" s="315" t="s">
        <v>109</v>
      </c>
      <c r="E25" s="309">
        <v>0.5</v>
      </c>
      <c r="F25" s="309">
        <v>0.47</v>
      </c>
      <c r="G25" s="325">
        <v>0.03</v>
      </c>
      <c r="H25" s="89"/>
      <c r="I25" s="89"/>
      <c r="J25" s="89"/>
      <c r="K25" s="89"/>
      <c r="L25" s="89"/>
    </row>
    <row r="26" spans="3:27" x14ac:dyDescent="0.2">
      <c r="C26" s="315" t="s">
        <v>114</v>
      </c>
      <c r="E26" s="309">
        <v>0.1</v>
      </c>
      <c r="F26" s="309">
        <v>0.6</v>
      </c>
      <c r="G26" s="325">
        <v>0.3</v>
      </c>
      <c r="H26" s="89"/>
      <c r="I26" s="89"/>
      <c r="J26" s="89"/>
      <c r="K26" s="89"/>
      <c r="L26" s="89"/>
    </row>
    <row r="27" spans="3:27" x14ac:dyDescent="0.2">
      <c r="C27" s="315" t="s">
        <v>115</v>
      </c>
      <c r="E27" s="309">
        <v>0.98</v>
      </c>
      <c r="F27" s="309">
        <v>0.01</v>
      </c>
      <c r="G27" s="309">
        <v>0.01</v>
      </c>
      <c r="H27" s="62"/>
      <c r="I27" s="62"/>
      <c r="J27" s="62"/>
      <c r="K27" s="62"/>
      <c r="L27" s="62"/>
    </row>
    <row r="28" spans="3:27" x14ac:dyDescent="0.2">
      <c r="C28" s="316" t="s">
        <v>116</v>
      </c>
      <c r="D28" s="326"/>
      <c r="E28" s="309">
        <v>0.01</v>
      </c>
      <c r="F28" s="309">
        <v>0.98</v>
      </c>
      <c r="G28" s="309">
        <v>0.98</v>
      </c>
      <c r="H28" s="62"/>
      <c r="I28" s="62"/>
      <c r="J28" s="62"/>
      <c r="K28" s="62"/>
      <c r="L28" s="62"/>
    </row>
    <row r="29" spans="3:27" x14ac:dyDescent="0.2">
      <c r="E29" s="309"/>
      <c r="F29" s="278"/>
      <c r="G29" s="278"/>
      <c r="H29" s="62"/>
      <c r="I29" s="62"/>
      <c r="J29" s="62"/>
      <c r="K29" s="62"/>
      <c r="L29" s="62"/>
    </row>
    <row r="31" spans="3:27" x14ac:dyDescent="0.2">
      <c r="C31" s="406" t="s">
        <v>117</v>
      </c>
      <c r="D31" s="407"/>
      <c r="E31" s="407"/>
      <c r="F31" s="407"/>
      <c r="G31" s="408"/>
      <c r="H31" s="21"/>
      <c r="I31" s="21"/>
      <c r="J31" s="21"/>
      <c r="K31" s="21"/>
      <c r="L31" s="21"/>
    </row>
    <row r="32" spans="3:27" x14ac:dyDescent="0.2">
      <c r="C32" s="315"/>
      <c r="G32" s="327">
        <v>0.29699999999999999</v>
      </c>
      <c r="H32" s="1"/>
      <c r="I32" s="1"/>
      <c r="J32" s="1"/>
      <c r="K32" s="1"/>
      <c r="L32" s="1"/>
    </row>
    <row r="33" spans="3:13" x14ac:dyDescent="0.2">
      <c r="C33" s="315" t="s">
        <v>109</v>
      </c>
      <c r="D33" s="281">
        <v>0.29699999999999999</v>
      </c>
      <c r="G33" s="328"/>
    </row>
    <row r="34" spans="3:13" x14ac:dyDescent="0.2">
      <c r="C34" s="316" t="s">
        <v>118</v>
      </c>
      <c r="D34" s="326">
        <v>0.56799999999999995</v>
      </c>
      <c r="E34" s="318"/>
      <c r="F34" s="318"/>
      <c r="G34" s="319"/>
    </row>
    <row r="36" spans="3:13" x14ac:dyDescent="0.2">
      <c r="C36" s="406" t="s">
        <v>119</v>
      </c>
      <c r="D36" s="407"/>
      <c r="E36" s="407"/>
      <c r="F36" s="407"/>
      <c r="G36" s="408"/>
      <c r="H36" s="21"/>
      <c r="I36" s="21"/>
      <c r="J36" s="21"/>
      <c r="K36" s="21"/>
      <c r="L36" s="21"/>
    </row>
    <row r="37" spans="3:13" x14ac:dyDescent="0.2">
      <c r="C37" s="315" t="s">
        <v>109</v>
      </c>
      <c r="D37" s="277">
        <v>6.3E-3</v>
      </c>
      <c r="G37" s="329">
        <v>6.3E-3</v>
      </c>
      <c r="H37" s="82"/>
      <c r="I37" s="82"/>
      <c r="J37" s="82"/>
      <c r="K37" s="82"/>
      <c r="L37" s="82"/>
    </row>
    <row r="38" spans="3:13" x14ac:dyDescent="0.2">
      <c r="C38" s="316" t="s">
        <v>107</v>
      </c>
      <c r="D38" s="330">
        <v>2.5999999999999999E-3</v>
      </c>
      <c r="E38" s="318"/>
      <c r="F38" s="318"/>
      <c r="G38" s="319"/>
    </row>
    <row r="39" spans="3:13" x14ac:dyDescent="0.2">
      <c r="D39" s="302"/>
    </row>
    <row r="40" spans="3:13" x14ac:dyDescent="0.2">
      <c r="C40" s="406" t="s">
        <v>120</v>
      </c>
      <c r="D40" s="407"/>
      <c r="E40" s="407"/>
      <c r="F40" s="407"/>
      <c r="G40" s="408"/>
      <c r="H40" s="21"/>
      <c r="I40" s="21"/>
      <c r="J40" s="21"/>
      <c r="K40" s="21"/>
      <c r="L40" s="21"/>
    </row>
    <row r="41" spans="3:13" x14ac:dyDescent="0.2">
      <c r="C41" s="315" t="s">
        <v>106</v>
      </c>
      <c r="D41" s="272">
        <v>4.2200000000000001E-2</v>
      </c>
      <c r="G41" s="329">
        <v>4.2200000000000001E-2</v>
      </c>
      <c r="H41" s="82"/>
      <c r="I41" s="82"/>
      <c r="J41" s="82"/>
      <c r="K41" s="82"/>
      <c r="L41" s="82"/>
    </row>
    <row r="42" spans="3:13" x14ac:dyDescent="0.2">
      <c r="C42" s="316" t="s">
        <v>107</v>
      </c>
      <c r="D42" s="318">
        <v>3.3759999999999998E-2</v>
      </c>
      <c r="E42" s="318"/>
      <c r="F42" s="318"/>
      <c r="G42" s="319"/>
    </row>
    <row r="43" spans="3:13" x14ac:dyDescent="0.2">
      <c r="D43" s="272"/>
    </row>
    <row r="44" spans="3:13" x14ac:dyDescent="0.2">
      <c r="C44" s="406" t="s">
        <v>121</v>
      </c>
      <c r="D44" s="407"/>
      <c r="E44" s="407"/>
      <c r="F44" s="407"/>
      <c r="G44" s="408"/>
      <c r="H44" s="21"/>
      <c r="I44" s="21"/>
      <c r="J44" s="21"/>
      <c r="K44" s="21"/>
      <c r="L44" s="21"/>
    </row>
    <row r="45" spans="3:13" ht="24" customHeight="1" x14ac:dyDescent="0.2">
      <c r="C45" s="331"/>
      <c r="D45" s="370" t="s">
        <v>122</v>
      </c>
      <c r="E45" s="370" t="s">
        <v>123</v>
      </c>
      <c r="F45" s="370" t="s">
        <v>124</v>
      </c>
      <c r="G45" s="112"/>
      <c r="H45" s="53"/>
      <c r="I45" s="53"/>
      <c r="J45" s="53"/>
      <c r="K45" s="53"/>
      <c r="L45" s="53"/>
      <c r="M45" s="148"/>
    </row>
    <row r="46" spans="3:13" x14ac:dyDescent="0.2">
      <c r="C46" s="331"/>
      <c r="D46" s="332">
        <v>2</v>
      </c>
      <c r="E46" s="332">
        <v>4.5</v>
      </c>
      <c r="F46" s="332">
        <v>3</v>
      </c>
      <c r="G46" s="333"/>
      <c r="H46" s="1"/>
      <c r="I46" s="1"/>
      <c r="J46" s="1"/>
      <c r="K46" s="1"/>
      <c r="L46" s="1"/>
    </row>
    <row r="47" spans="3:13" x14ac:dyDescent="0.2">
      <c r="C47" s="331" t="s">
        <v>106</v>
      </c>
      <c r="D47" s="281">
        <v>2</v>
      </c>
      <c r="E47" s="281">
        <v>4.5</v>
      </c>
      <c r="F47" s="281">
        <v>3</v>
      </c>
      <c r="G47" s="333"/>
      <c r="H47" s="1"/>
      <c r="I47" s="1"/>
      <c r="J47" s="1"/>
      <c r="K47" s="1"/>
      <c r="L47" s="1"/>
    </row>
    <row r="48" spans="3:13" x14ac:dyDescent="0.2">
      <c r="C48" s="334" t="s">
        <v>107</v>
      </c>
      <c r="D48" s="326">
        <v>1.6</v>
      </c>
      <c r="E48" s="326">
        <v>3.6</v>
      </c>
      <c r="F48" s="326">
        <v>2.4000000000000004</v>
      </c>
      <c r="G48" s="335"/>
      <c r="H48" s="1"/>
      <c r="I48" s="1"/>
      <c r="J48" s="1"/>
      <c r="K48" s="1"/>
      <c r="L48" s="1"/>
    </row>
    <row r="49" spans="3:12" x14ac:dyDescent="0.2">
      <c r="C49" s="281"/>
      <c r="E49" s="281"/>
      <c r="F49" s="281"/>
      <c r="G49" s="281"/>
      <c r="H49" s="1"/>
      <c r="I49" s="1"/>
      <c r="J49" s="1"/>
      <c r="K49" s="1"/>
      <c r="L49" s="1"/>
    </row>
    <row r="50" spans="3:12" x14ac:dyDescent="0.2">
      <c r="C50" s="416" t="s">
        <v>125</v>
      </c>
      <c r="D50" s="417"/>
      <c r="E50" s="417"/>
      <c r="F50" s="417"/>
      <c r="G50" s="418"/>
      <c r="H50" s="1"/>
      <c r="I50" s="1"/>
      <c r="J50" s="1"/>
      <c r="K50" s="1"/>
      <c r="L50" s="1"/>
    </row>
    <row r="51" spans="3:12" x14ac:dyDescent="0.2">
      <c r="C51" s="315"/>
      <c r="G51" s="336">
        <v>215</v>
      </c>
      <c r="H51" s="128"/>
      <c r="I51" s="128"/>
      <c r="J51" s="128"/>
      <c r="K51" s="128"/>
      <c r="L51" s="128"/>
    </row>
    <row r="52" spans="3:12" x14ac:dyDescent="0.2">
      <c r="C52" s="315" t="s">
        <v>109</v>
      </c>
      <c r="D52" s="294">
        <v>215</v>
      </c>
      <c r="G52" s="328"/>
    </row>
    <row r="53" spans="3:12" x14ac:dyDescent="0.2">
      <c r="C53" s="316" t="s">
        <v>107</v>
      </c>
      <c r="D53" s="337">
        <v>893.20396071179425</v>
      </c>
      <c r="E53" s="318"/>
      <c r="F53" s="318"/>
      <c r="G53" s="338"/>
      <c r="H53" s="128"/>
      <c r="I53" s="128"/>
      <c r="J53" s="128"/>
      <c r="K53" s="128"/>
      <c r="L53" s="128"/>
    </row>
    <row r="54" spans="3:12" x14ac:dyDescent="0.2">
      <c r="D54" s="294"/>
      <c r="G54" s="294"/>
      <c r="H54" s="128"/>
      <c r="I54" s="128"/>
      <c r="J54" s="128"/>
      <c r="K54" s="128"/>
      <c r="L54" s="128"/>
    </row>
    <row r="55" spans="3:12" x14ac:dyDescent="0.2">
      <c r="C55" s="416" t="s">
        <v>126</v>
      </c>
      <c r="D55" s="417"/>
      <c r="E55" s="417"/>
      <c r="F55" s="417"/>
      <c r="G55" s="418"/>
    </row>
    <row r="56" spans="3:12" ht="16" thickBot="1" x14ac:dyDescent="0.25">
      <c r="C56" s="315"/>
      <c r="D56" s="281" t="s">
        <v>127</v>
      </c>
      <c r="E56" s="272" t="s">
        <v>128</v>
      </c>
      <c r="G56" s="328"/>
    </row>
    <row r="57" spans="3:12" x14ac:dyDescent="0.2">
      <c r="C57" s="315"/>
      <c r="D57" s="339">
        <v>3.5000000000000003E-2</v>
      </c>
      <c r="E57" s="339">
        <v>3.5000000000000003E-2</v>
      </c>
      <c r="G57" s="328"/>
    </row>
    <row r="58" spans="3:12" x14ac:dyDescent="0.2">
      <c r="C58" s="315" t="s">
        <v>129</v>
      </c>
      <c r="D58" s="309">
        <v>0</v>
      </c>
      <c r="E58" s="309">
        <v>0</v>
      </c>
      <c r="G58" s="328"/>
    </row>
    <row r="59" spans="3:12" x14ac:dyDescent="0.2">
      <c r="C59" s="315" t="s">
        <v>109</v>
      </c>
      <c r="D59" s="278">
        <v>3.5000000000000003E-2</v>
      </c>
      <c r="E59" s="278">
        <v>3.5000000000000003E-2</v>
      </c>
      <c r="G59" s="328"/>
    </row>
    <row r="60" spans="3:12" x14ac:dyDescent="0.2">
      <c r="C60" s="316" t="s">
        <v>130</v>
      </c>
      <c r="D60" s="317">
        <v>1.4999999999999999E-2</v>
      </c>
      <c r="E60" s="317">
        <v>1.4999999999999999E-2</v>
      </c>
      <c r="F60" s="318"/>
      <c r="G60" s="319"/>
    </row>
    <row r="61" spans="3:12" x14ac:dyDescent="0.2">
      <c r="D61" s="277"/>
    </row>
    <row r="62" spans="3:12" x14ac:dyDescent="0.2">
      <c r="C62" s="416" t="s">
        <v>131</v>
      </c>
      <c r="D62" s="417"/>
      <c r="E62" s="417"/>
      <c r="F62" s="417"/>
      <c r="G62" s="418"/>
    </row>
    <row r="63" spans="3:12" x14ac:dyDescent="0.2">
      <c r="C63" s="315"/>
      <c r="F63" s="371">
        <v>2388.8012902757291</v>
      </c>
    </row>
    <row r="64" spans="3:12" x14ac:dyDescent="0.2">
      <c r="C64" s="427" t="s">
        <v>109</v>
      </c>
      <c r="D64" s="428"/>
      <c r="E64" s="128">
        <v>2388.8012902757291</v>
      </c>
      <c r="G64" s="328"/>
    </row>
    <row r="65" spans="3:7" x14ac:dyDescent="0.2">
      <c r="C65" s="425" t="s">
        <v>132</v>
      </c>
      <c r="D65" s="426"/>
      <c r="E65" s="128">
        <v>3528.2167394737421</v>
      </c>
      <c r="G65" s="328"/>
    </row>
    <row r="66" spans="3:7" x14ac:dyDescent="0.2">
      <c r="C66" s="425" t="s">
        <v>133</v>
      </c>
      <c r="D66" s="426"/>
      <c r="E66" s="128">
        <v>3848.9637157895368</v>
      </c>
      <c r="G66" s="328"/>
    </row>
    <row r="67" spans="3:7" x14ac:dyDescent="0.2">
      <c r="C67" s="425" t="s">
        <v>134</v>
      </c>
      <c r="D67" s="426"/>
      <c r="E67" s="128">
        <v>4169.7106921053319</v>
      </c>
      <c r="G67" s="328"/>
    </row>
    <row r="68" spans="3:7" x14ac:dyDescent="0.2">
      <c r="C68" s="423" t="s">
        <v>135</v>
      </c>
      <c r="D68" s="424"/>
      <c r="E68" s="372">
        <v>4490.4576684211261</v>
      </c>
      <c r="F68" s="318"/>
      <c r="G68" s="319"/>
    </row>
    <row r="69" spans="3:7" x14ac:dyDescent="0.2">
      <c r="C69" s="21"/>
      <c r="D69" s="1"/>
    </row>
    <row r="70" spans="3:7" x14ac:dyDescent="0.2">
      <c r="C70" s="416" t="s">
        <v>136</v>
      </c>
      <c r="D70" s="417"/>
      <c r="E70" s="417"/>
      <c r="F70" s="417"/>
      <c r="G70" s="418"/>
    </row>
    <row r="71" spans="3:7" x14ac:dyDescent="0.2">
      <c r="C71" s="133"/>
      <c r="D71" s="1"/>
      <c r="F71" s="371">
        <v>125</v>
      </c>
      <c r="G71" s="328"/>
    </row>
    <row r="72" spans="3:7" x14ac:dyDescent="0.2">
      <c r="C72" s="419" t="s">
        <v>137</v>
      </c>
      <c r="D72" s="420"/>
      <c r="E72" s="373">
        <v>125</v>
      </c>
      <c r="G72" s="328"/>
    </row>
    <row r="73" spans="3:7" x14ac:dyDescent="0.2">
      <c r="C73" s="421"/>
      <c r="D73" s="422"/>
      <c r="E73" s="374">
        <v>250</v>
      </c>
      <c r="F73" s="318"/>
      <c r="G73" s="319"/>
    </row>
  </sheetData>
  <mergeCells count="20">
    <mergeCell ref="C70:G70"/>
    <mergeCell ref="C72:D72"/>
    <mergeCell ref="C73:D73"/>
    <mergeCell ref="C55:G55"/>
    <mergeCell ref="C40:G40"/>
    <mergeCell ref="C44:G44"/>
    <mergeCell ref="C50:G50"/>
    <mergeCell ref="C68:D68"/>
    <mergeCell ref="C62:G62"/>
    <mergeCell ref="C65:D65"/>
    <mergeCell ref="C66:D66"/>
    <mergeCell ref="C67:D67"/>
    <mergeCell ref="C64:D64"/>
    <mergeCell ref="C31:G31"/>
    <mergeCell ref="C36:G36"/>
    <mergeCell ref="C7:G7"/>
    <mergeCell ref="C11:G11"/>
    <mergeCell ref="C12:G12"/>
    <mergeCell ref="C17:G17"/>
    <mergeCell ref="C22:G22"/>
  </mergeCells>
  <dataValidations count="17">
    <dataValidation type="list" allowBlank="1" showInputMessage="1" showErrorMessage="1" sqref="G13:L13" xr:uid="{B23AE67F-36F8-4C62-85ED-568E0C64A512}">
      <formula1>$D$13:$D$14</formula1>
    </dataValidation>
    <dataValidation type="list" allowBlank="1" showInputMessage="1" showErrorMessage="1" sqref="G18:J18 L18" xr:uid="{8C86C904-EED2-4C62-B6F9-2C101F244577}">
      <formula1>$D$18:$D$19</formula1>
    </dataValidation>
    <dataValidation type="list" allowBlank="1" showInputMessage="1" showErrorMessage="1" sqref="E24" xr:uid="{FA02C47B-DD45-4313-A95D-09DCAD631C4A}">
      <formula1>$E$25:$E$28</formula1>
    </dataValidation>
    <dataValidation type="list" allowBlank="1" showInputMessage="1" showErrorMessage="1" sqref="F24" xr:uid="{C95A8686-5133-4023-956C-EF66EC7F299C}">
      <formula1>$F$25:$F$28</formula1>
    </dataValidation>
    <dataValidation type="list" allowBlank="1" showInputMessage="1" showErrorMessage="1" sqref="G24:L24" xr:uid="{5653D721-341E-4002-B21F-4AB2D0C347F3}">
      <formula1>$G$25:$G$28</formula1>
    </dataValidation>
    <dataValidation allowBlank="1" showInputMessage="1" showErrorMessage="1" promptTitle="test order" sqref="D13:E15" xr:uid="{0FBA60FE-FEC5-4BCB-99A4-B05B1A862966}"/>
    <dataValidation type="list" allowBlank="1" showInputMessage="1" showErrorMessage="1" sqref="G32:L32" xr:uid="{13AEEE51-79EE-480F-8F94-72901B08EBED}">
      <formula1>$D$33:$D$34</formula1>
    </dataValidation>
    <dataValidation type="list" allowBlank="1" showInputMessage="1" showErrorMessage="1" sqref="G37:L37" xr:uid="{32B8F199-96F4-4F99-B519-A01D376B163A}">
      <formula1>$D$37:$D$38</formula1>
    </dataValidation>
    <dataValidation type="list" allowBlank="1" showInputMessage="1" showErrorMessage="1" sqref="G41:L41" xr:uid="{FCD1A5DC-75C3-4CEE-AA25-133E2BE91700}">
      <formula1>$D$41:$D$42</formula1>
    </dataValidation>
    <dataValidation type="list" allowBlank="1" showInputMessage="1" showErrorMessage="1" sqref="D46" xr:uid="{995146C3-5A4B-42FE-9B37-7E16D97764FC}">
      <formula1>$D$47:$D$48</formula1>
    </dataValidation>
    <dataValidation type="list" allowBlank="1" showInputMessage="1" showErrorMessage="1" sqref="E46" xr:uid="{9CC15C6C-1052-4DAF-BFCD-95A5250B5659}">
      <formula1>$E$47:$E$48</formula1>
    </dataValidation>
    <dataValidation type="list" allowBlank="1" showInputMessage="1" showErrorMessage="1" sqref="F46" xr:uid="{D1F2D813-7FDD-4A60-AF39-D28C657C4FD9}">
      <formula1>$F$47:$F$48</formula1>
    </dataValidation>
    <dataValidation type="list" allowBlank="1" showInputMessage="1" showErrorMessage="1" sqref="G51:L51" xr:uid="{98B77BF7-88CC-4977-BD5F-DD24D2C6400E}">
      <formula1>$D$52:$D$53</formula1>
    </dataValidation>
    <dataValidation type="list" allowBlank="1" showInputMessage="1" showErrorMessage="1" sqref="D57" xr:uid="{ABC7A0FC-B5CD-4969-90DD-A5CBA05D8E57}">
      <formula1>$D$58:$D$60</formula1>
    </dataValidation>
    <dataValidation type="list" allowBlank="1" showInputMessage="1" showErrorMessage="1" sqref="E57" xr:uid="{57EA219A-FDC1-4EB8-9601-86407FBCC0C5}">
      <formula1>$E$58:$E$60</formula1>
    </dataValidation>
    <dataValidation type="list" allowBlank="1" showInputMessage="1" showErrorMessage="1" sqref="F63" xr:uid="{3CEA9729-0343-44D8-9DB2-06C778E5A8B5}">
      <formula1>$E$64:$E$68</formula1>
    </dataValidation>
    <dataValidation type="list" allowBlank="1" showInputMessage="1" showErrorMessage="1" sqref="F71" xr:uid="{18E3A93C-A7E0-4A44-BCA7-B5F38E8D49B0}">
      <formula1>$E$72:$E$73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1</xdr:col>
                    <xdr:colOff>1244600</xdr:colOff>
                    <xdr:row>4</xdr:row>
                    <xdr:rowOff>152400</xdr:rowOff>
                  </from>
                  <to>
                    <xdr:col>7</xdr:col>
                    <xdr:colOff>76200</xdr:colOff>
                    <xdr:row>5</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8EFD3-1790-4E43-B1EC-0F8ECB8EA03B}">
  <sheetPr codeName="Sheet6"/>
  <dimension ref="A1:Q159"/>
  <sheetViews>
    <sheetView showGridLines="0" zoomScale="70" zoomScaleNormal="70" workbookViewId="0">
      <pane ySplit="1" topLeftCell="A87" activePane="bottomLeft" state="frozen"/>
      <selection pane="bottomLeft" activeCell="D97" sqref="D97"/>
    </sheetView>
  </sheetViews>
  <sheetFormatPr baseColWidth="10" defaultColWidth="8.83203125" defaultRowHeight="15" x14ac:dyDescent="0.2"/>
  <cols>
    <col min="1" max="1" width="28" style="21" customWidth="1"/>
    <col min="2" max="2" width="32.83203125" customWidth="1"/>
    <col min="3" max="3" width="11.1640625" style="1" customWidth="1"/>
    <col min="4" max="4" width="19.5" style="6" customWidth="1"/>
    <col min="5" max="5" width="12.6640625" style="11" customWidth="1"/>
    <col min="6" max="6" width="10.5" style="6" customWidth="1"/>
    <col min="7" max="8" width="9.1640625" style="6" customWidth="1"/>
    <col min="9" max="9" width="29.1640625" style="21" customWidth="1"/>
    <col min="10" max="10" width="23.6640625" style="1" customWidth="1"/>
    <col min="11" max="11" width="52.5" style="21" customWidth="1"/>
    <col min="13" max="13" width="11.5" customWidth="1"/>
    <col min="15" max="15" width="8.1640625" customWidth="1"/>
    <col min="16" max="16" width="15.5" customWidth="1"/>
    <col min="17" max="17" width="8.83203125" customWidth="1"/>
    <col min="1999" max="2001" width="2.5" customWidth="1"/>
  </cols>
  <sheetData>
    <row r="1" spans="1:17" s="401" customFormat="1" ht="32" customHeight="1" x14ac:dyDescent="0.2">
      <c r="A1" s="398" t="s">
        <v>138</v>
      </c>
      <c r="B1" s="398" t="s">
        <v>139</v>
      </c>
      <c r="C1" s="398" t="s">
        <v>140</v>
      </c>
      <c r="D1" s="398" t="s">
        <v>141</v>
      </c>
      <c r="E1" s="399" t="s">
        <v>142</v>
      </c>
      <c r="F1" s="398" t="s">
        <v>143</v>
      </c>
      <c r="G1" s="398" t="s">
        <v>144</v>
      </c>
      <c r="H1" s="398" t="s">
        <v>145</v>
      </c>
      <c r="I1" s="398" t="s">
        <v>146</v>
      </c>
      <c r="J1" s="398" t="s">
        <v>147</v>
      </c>
      <c r="K1" s="400" t="s">
        <v>148</v>
      </c>
    </row>
    <row r="2" spans="1:17" ht="7.5" customHeight="1" x14ac:dyDescent="0.2">
      <c r="A2" s="192"/>
      <c r="B2" s="192"/>
      <c r="C2" s="192"/>
      <c r="D2" s="192"/>
      <c r="E2" s="193"/>
      <c r="F2" s="192"/>
      <c r="G2" s="194"/>
      <c r="H2" s="194"/>
      <c r="I2" s="242"/>
      <c r="J2" s="192"/>
    </row>
    <row r="3" spans="1:17" s="17" customFormat="1" ht="18" customHeight="1" x14ac:dyDescent="0.2">
      <c r="A3" s="195" t="s">
        <v>915</v>
      </c>
      <c r="B3" s="196" t="s">
        <v>149</v>
      </c>
      <c r="C3" s="196" t="s">
        <v>150</v>
      </c>
      <c r="D3" s="197">
        <v>64</v>
      </c>
      <c r="E3" s="197" t="s">
        <v>151</v>
      </c>
      <c r="F3" s="196"/>
      <c r="G3" s="196"/>
      <c r="H3" s="196"/>
      <c r="I3" s="202"/>
      <c r="J3" s="19" t="s">
        <v>152</v>
      </c>
      <c r="K3" s="198" t="s">
        <v>153</v>
      </c>
    </row>
    <row r="4" spans="1:17" s="17" customFormat="1" ht="21" customHeight="1" x14ac:dyDescent="0.2">
      <c r="A4" s="199" t="s">
        <v>916</v>
      </c>
      <c r="B4" s="196" t="s">
        <v>149</v>
      </c>
      <c r="C4" s="196" t="s">
        <v>150</v>
      </c>
      <c r="D4" s="197">
        <v>69</v>
      </c>
      <c r="E4" s="197" t="s">
        <v>151</v>
      </c>
      <c r="F4" s="196"/>
      <c r="G4" s="196"/>
      <c r="H4" s="196"/>
      <c r="I4" s="202"/>
      <c r="J4" s="19" t="s">
        <v>154</v>
      </c>
      <c r="K4" s="200" t="s">
        <v>155</v>
      </c>
    </row>
    <row r="5" spans="1:17" s="17" customFormat="1" ht="14.5" customHeight="1" x14ac:dyDescent="0.2">
      <c r="A5" s="199" t="s">
        <v>156</v>
      </c>
      <c r="B5" s="196" t="s">
        <v>157</v>
      </c>
      <c r="C5" s="196" t="s">
        <v>150</v>
      </c>
      <c r="D5" s="197">
        <v>1000</v>
      </c>
      <c r="E5" s="197" t="s">
        <v>151</v>
      </c>
      <c r="F5" s="196"/>
      <c r="G5" s="196"/>
      <c r="H5" s="196"/>
      <c r="I5" s="202"/>
      <c r="J5" s="19" t="s">
        <v>152</v>
      </c>
      <c r="K5" s="198" t="s">
        <v>153</v>
      </c>
    </row>
    <row r="6" spans="1:17" s="17" customFormat="1" x14ac:dyDescent="0.2">
      <c r="A6" s="201" t="s">
        <v>914</v>
      </c>
      <c r="B6" s="202" t="s">
        <v>158</v>
      </c>
      <c r="C6" s="19" t="s">
        <v>159</v>
      </c>
      <c r="D6" s="203">
        <v>0.72</v>
      </c>
      <c r="E6" s="204" t="s">
        <v>151</v>
      </c>
      <c r="F6" s="19"/>
      <c r="G6" s="19"/>
      <c r="H6" s="19"/>
      <c r="I6" s="202"/>
      <c r="J6" s="19" t="s">
        <v>152</v>
      </c>
      <c r="K6" s="198" t="s">
        <v>153</v>
      </c>
    </row>
    <row r="7" spans="1:17" s="17" customFormat="1" ht="14.5" customHeight="1" x14ac:dyDescent="0.2">
      <c r="A7" s="205" t="s">
        <v>160</v>
      </c>
      <c r="B7" s="17" t="s">
        <v>161</v>
      </c>
      <c r="C7" s="19" t="s">
        <v>159</v>
      </c>
      <c r="D7" s="206">
        <v>0.5</v>
      </c>
      <c r="E7" s="19">
        <v>16265</v>
      </c>
      <c r="F7" s="19"/>
      <c r="G7" s="19"/>
      <c r="H7" s="196" t="s">
        <v>151</v>
      </c>
      <c r="I7" s="202"/>
      <c r="J7" s="19" t="s">
        <v>154</v>
      </c>
      <c r="K7" s="200" t="s">
        <v>155</v>
      </c>
      <c r="L7" s="207"/>
      <c r="M7" s="207"/>
      <c r="N7" s="207"/>
      <c r="O7" s="207"/>
      <c r="P7" s="207"/>
    </row>
    <row r="8" spans="1:17" s="17" customFormat="1" ht="14.5" customHeight="1" x14ac:dyDescent="0.2">
      <c r="A8" s="205" t="s">
        <v>162</v>
      </c>
      <c r="B8" s="17" t="s">
        <v>163</v>
      </c>
      <c r="C8" s="19" t="s">
        <v>159</v>
      </c>
      <c r="D8" s="206">
        <v>0.47</v>
      </c>
      <c r="E8" s="19">
        <v>16265</v>
      </c>
      <c r="F8" s="196" t="s">
        <v>151</v>
      </c>
      <c r="G8" s="196" t="s">
        <v>151</v>
      </c>
      <c r="H8" s="196" t="s">
        <v>151</v>
      </c>
      <c r="I8" s="202"/>
      <c r="J8" s="19" t="s">
        <v>154</v>
      </c>
      <c r="K8" s="200" t="s">
        <v>164</v>
      </c>
    </row>
    <row r="9" spans="1:17" s="17" customFormat="1" ht="13.5" customHeight="1" x14ac:dyDescent="0.2">
      <c r="A9" s="205" t="s">
        <v>165</v>
      </c>
      <c r="B9" s="17" t="s">
        <v>166</v>
      </c>
      <c r="C9" s="19" t="s">
        <v>159</v>
      </c>
      <c r="D9" s="206">
        <v>0.03</v>
      </c>
      <c r="E9" s="19">
        <v>16265</v>
      </c>
      <c r="F9" s="196" t="s">
        <v>151</v>
      </c>
      <c r="G9" s="196" t="s">
        <v>151</v>
      </c>
      <c r="H9" s="196" t="s">
        <v>151</v>
      </c>
      <c r="I9" s="202"/>
      <c r="J9" s="19" t="s">
        <v>154</v>
      </c>
      <c r="K9" s="200" t="s">
        <v>167</v>
      </c>
    </row>
    <row r="10" spans="1:17" s="17" customFormat="1" ht="13.5" customHeight="1" x14ac:dyDescent="0.2">
      <c r="A10" s="205" t="s">
        <v>168</v>
      </c>
      <c r="B10" s="17" t="s">
        <v>169</v>
      </c>
      <c r="C10" s="19" t="s">
        <v>170</v>
      </c>
      <c r="D10" s="206">
        <v>0.93</v>
      </c>
      <c r="E10" s="19" t="s">
        <v>151</v>
      </c>
      <c r="F10" s="196"/>
      <c r="G10" s="196"/>
      <c r="H10" s="196"/>
      <c r="I10" s="202"/>
      <c r="J10" s="19" t="s">
        <v>171</v>
      </c>
      <c r="K10" s="200" t="s">
        <v>172</v>
      </c>
    </row>
    <row r="11" spans="1:17" s="17" customFormat="1" ht="13.5" customHeight="1" x14ac:dyDescent="0.2">
      <c r="A11" s="205" t="s">
        <v>173</v>
      </c>
      <c r="B11" s="17" t="s">
        <v>174</v>
      </c>
      <c r="C11" s="19" t="s">
        <v>170</v>
      </c>
      <c r="D11" s="206">
        <v>0.93</v>
      </c>
      <c r="E11" s="208" t="s">
        <v>151</v>
      </c>
      <c r="F11" s="196"/>
      <c r="G11" s="196"/>
      <c r="H11" s="196"/>
      <c r="I11" s="202"/>
      <c r="J11" s="19" t="s">
        <v>175</v>
      </c>
      <c r="K11" s="209" t="s">
        <v>176</v>
      </c>
    </row>
    <row r="12" spans="1:17" ht="8" customHeight="1" x14ac:dyDescent="0.2">
      <c r="A12" s="164"/>
      <c r="D12" s="9"/>
    </row>
    <row r="13" spans="1:17" s="17" customFormat="1" x14ac:dyDescent="0.2">
      <c r="A13" s="205" t="s">
        <v>177</v>
      </c>
      <c r="B13" s="202" t="s">
        <v>178</v>
      </c>
      <c r="C13" s="19" t="s">
        <v>179</v>
      </c>
      <c r="D13" s="210">
        <f>prob_dead_ac</f>
        <v>5.4330679775487001E-2</v>
      </c>
      <c r="E13" s="211">
        <v>54518</v>
      </c>
      <c r="F13" s="210">
        <v>1.99E-3</v>
      </c>
      <c r="G13" s="210">
        <v>9.3474007719064167E-2</v>
      </c>
      <c r="H13" s="210">
        <v>0.10129313384476103</v>
      </c>
      <c r="I13" s="243" t="s">
        <v>180</v>
      </c>
      <c r="J13" s="19" t="s">
        <v>181</v>
      </c>
      <c r="K13" s="429" t="s">
        <v>182</v>
      </c>
      <c r="L13" s="429"/>
      <c r="M13" s="429"/>
      <c r="N13" s="429"/>
      <c r="O13" s="429"/>
      <c r="P13" s="429"/>
      <c r="Q13" s="430"/>
    </row>
    <row r="14" spans="1:17" s="17" customFormat="1" ht="16" x14ac:dyDescent="0.2">
      <c r="A14" s="205" t="s">
        <v>183</v>
      </c>
      <c r="B14" s="202" t="s">
        <v>184</v>
      </c>
      <c r="C14" s="19" t="s">
        <v>179</v>
      </c>
      <c r="D14" s="210">
        <f>prob_mi_ac</f>
        <v>4.2200000000000001E-2</v>
      </c>
      <c r="E14" s="211">
        <v>2392</v>
      </c>
      <c r="F14" s="210">
        <v>6.0958802523251596E-3</v>
      </c>
      <c r="G14" s="210">
        <v>5.3586055287966901E-2</v>
      </c>
      <c r="H14" s="210">
        <v>7.7481905877081494E-2</v>
      </c>
      <c r="I14" s="243" t="s">
        <v>180</v>
      </c>
      <c r="J14" s="19" t="s">
        <v>185</v>
      </c>
      <c r="K14" s="200" t="s">
        <v>186</v>
      </c>
    </row>
    <row r="15" spans="1:17" s="17" customFormat="1" ht="16" x14ac:dyDescent="0.2">
      <c r="A15" s="205" t="s">
        <v>187</v>
      </c>
      <c r="B15" s="202" t="s">
        <v>188</v>
      </c>
      <c r="C15" s="19" t="s">
        <v>179</v>
      </c>
      <c r="D15" s="210">
        <f>prob_stk_ac</f>
        <v>6.3E-3</v>
      </c>
      <c r="E15" s="211">
        <v>205962</v>
      </c>
      <c r="F15" s="210">
        <v>1.0260441208098795E-3</v>
      </c>
      <c r="G15" s="210">
        <v>1.1299999999999999E-2</v>
      </c>
      <c r="H15" s="210">
        <v>1.2699999999999999E-2</v>
      </c>
      <c r="I15" s="243" t="s">
        <v>180</v>
      </c>
      <c r="J15" s="19" t="s">
        <v>189</v>
      </c>
      <c r="K15" s="200" t="s">
        <v>190</v>
      </c>
      <c r="L15" s="213"/>
    </row>
    <row r="16" spans="1:17" s="17" customFormat="1" x14ac:dyDescent="0.2">
      <c r="A16" s="205" t="s">
        <v>191</v>
      </c>
      <c r="B16" s="202" t="s">
        <v>192</v>
      </c>
      <c r="C16" s="19" t="s">
        <v>193</v>
      </c>
      <c r="D16" s="210">
        <f>prob_maj_bleed_ac</f>
        <v>2.3800000000000002E-2</v>
      </c>
      <c r="E16" s="211">
        <v>2617</v>
      </c>
      <c r="F16" s="210">
        <v>4.5860939877542988E-3</v>
      </c>
      <c r="G16" s="210">
        <v>1.3011255784001573E-2</v>
      </c>
      <c r="H16" s="210">
        <v>3.0988744215998426E-2</v>
      </c>
      <c r="I16" s="243" t="s">
        <v>180</v>
      </c>
      <c r="J16" s="19" t="s">
        <v>194</v>
      </c>
      <c r="K16" s="202" t="s">
        <v>195</v>
      </c>
    </row>
    <row r="17" spans="1:11" s="17" customFormat="1" x14ac:dyDescent="0.2">
      <c r="A17" s="205" t="s">
        <v>196</v>
      </c>
      <c r="B17" s="202" t="s">
        <v>197</v>
      </c>
      <c r="C17" s="19" t="s">
        <v>193</v>
      </c>
      <c r="D17" s="210">
        <f>prob_min_bleed_ac</f>
        <v>1.5100000000000001E-2</v>
      </c>
      <c r="E17" s="211">
        <v>2617</v>
      </c>
      <c r="F17" s="210">
        <v>7.4827269324786311E-3</v>
      </c>
      <c r="G17" s="210">
        <v>4.633385521234188E-2</v>
      </c>
      <c r="H17" s="210">
        <v>7.566614478765811E-2</v>
      </c>
      <c r="I17" s="243" t="s">
        <v>180</v>
      </c>
      <c r="J17" s="19" t="s">
        <v>194</v>
      </c>
      <c r="K17" s="202" t="s">
        <v>195</v>
      </c>
    </row>
    <row r="18" spans="1:11" ht="8" customHeight="1" x14ac:dyDescent="0.2">
      <c r="A18" s="164"/>
      <c r="D18" s="9"/>
      <c r="F18" s="10"/>
      <c r="G18" s="10"/>
      <c r="H18" s="11"/>
      <c r="I18" s="244"/>
    </row>
    <row r="19" spans="1:11" s="17" customFormat="1" x14ac:dyDescent="0.2">
      <c r="A19" s="214" t="s">
        <v>198</v>
      </c>
      <c r="B19" s="17" t="s">
        <v>199</v>
      </c>
      <c r="C19" s="19" t="s">
        <v>200</v>
      </c>
      <c r="D19" s="210">
        <f>prob_dead_at</f>
        <v>4.2364006438725683E-2</v>
      </c>
      <c r="E19" s="215">
        <v>4012</v>
      </c>
      <c r="F19" s="210">
        <v>4.1988023630102362E-3</v>
      </c>
      <c r="G19" s="210">
        <v>6.8369029975514972E-2</v>
      </c>
      <c r="H19" s="210">
        <v>8.4828335238515101E-2</v>
      </c>
      <c r="I19" s="243" t="s">
        <v>201</v>
      </c>
      <c r="J19" s="19" t="s">
        <v>202</v>
      </c>
      <c r="K19" s="198" t="s">
        <v>153</v>
      </c>
    </row>
    <row r="20" spans="1:11" s="17" customFormat="1" x14ac:dyDescent="0.2">
      <c r="A20" s="214" t="s">
        <v>203</v>
      </c>
      <c r="B20" s="17" t="s">
        <v>204</v>
      </c>
      <c r="C20" s="19" t="s">
        <v>200</v>
      </c>
      <c r="D20" s="210">
        <f>prob_mi_at</f>
        <v>3.4868863890109257E-2</v>
      </c>
      <c r="E20" s="215">
        <v>4237</v>
      </c>
      <c r="F20" s="210">
        <v>3.4837434784263611E-3</v>
      </c>
      <c r="G20" s="210">
        <v>4.7551191760031537E-2</v>
      </c>
      <c r="H20" s="210">
        <v>6.1207466195462877E-2</v>
      </c>
      <c r="I20" s="243" t="s">
        <v>201</v>
      </c>
      <c r="J20" s="19" t="s">
        <v>202</v>
      </c>
      <c r="K20" s="198" t="s">
        <v>153</v>
      </c>
    </row>
    <row r="21" spans="1:11" s="17" customFormat="1" x14ac:dyDescent="0.2">
      <c r="A21" s="214" t="s">
        <v>205</v>
      </c>
      <c r="B21" s="17" t="s">
        <v>206</v>
      </c>
      <c r="C21" s="19" t="s">
        <v>200</v>
      </c>
      <c r="D21" s="225">
        <f>prob_stk_at</f>
        <v>7.1131743102399109E-3</v>
      </c>
      <c r="E21" s="215">
        <v>4387</v>
      </c>
      <c r="F21" s="210">
        <v>1.780220539464367E-3</v>
      </c>
      <c r="G21" s="210">
        <v>1.0612851855965701E-2</v>
      </c>
      <c r="H21" s="210">
        <v>1.7591316370666018E-2</v>
      </c>
      <c r="I21" s="243" t="s">
        <v>201</v>
      </c>
      <c r="J21" s="19" t="s">
        <v>202</v>
      </c>
      <c r="K21" s="198" t="s">
        <v>153</v>
      </c>
    </row>
    <row r="22" spans="1:11" s="17" customFormat="1" x14ac:dyDescent="0.2">
      <c r="A22" s="214" t="s">
        <v>207</v>
      </c>
      <c r="B22" s="17" t="s">
        <v>208</v>
      </c>
      <c r="C22" s="19" t="s">
        <v>193</v>
      </c>
      <c r="D22" s="210">
        <f>prob_maj_bleed_at</f>
        <v>2.4728458507500863E-2</v>
      </c>
      <c r="E22" s="215">
        <v>4387</v>
      </c>
      <c r="F22" s="210">
        <v>4.6728044790044203E-3</v>
      </c>
      <c r="G22" s="210">
        <v>1.3701186523844961E-2</v>
      </c>
      <c r="H22" s="210">
        <v>3.2018580081542292E-2</v>
      </c>
      <c r="I22" s="243" t="s">
        <v>201</v>
      </c>
      <c r="J22" s="19" t="s">
        <v>202</v>
      </c>
      <c r="K22" s="198" t="s">
        <v>153</v>
      </c>
    </row>
    <row r="23" spans="1:11" s="17" customFormat="1" x14ac:dyDescent="0.2">
      <c r="A23" s="214" t="s">
        <v>209</v>
      </c>
      <c r="B23" s="17" t="s">
        <v>210</v>
      </c>
      <c r="C23" s="19" t="s">
        <v>193</v>
      </c>
      <c r="D23" s="210">
        <f>prob_min_bleed_at</f>
        <v>2.0572063879107424E-2</v>
      </c>
      <c r="E23" s="215">
        <v>4387</v>
      </c>
      <c r="F23" s="210">
        <v>8.7797373244725332E-3</v>
      </c>
      <c r="G23" s="210">
        <v>6.9097038299762895E-2</v>
      </c>
      <c r="H23" s="210">
        <v>0.10351360861169522</v>
      </c>
      <c r="I23" s="243" t="s">
        <v>201</v>
      </c>
      <c r="J23" s="19" t="s">
        <v>202</v>
      </c>
      <c r="K23" s="198" t="s">
        <v>153</v>
      </c>
    </row>
    <row r="24" spans="1:11" ht="8.5" customHeight="1" x14ac:dyDescent="0.2">
      <c r="A24" s="55"/>
    </row>
    <row r="25" spans="1:11" s="17" customFormat="1" x14ac:dyDescent="0.2">
      <c r="A25" s="214" t="s">
        <v>211</v>
      </c>
      <c r="B25" s="17" t="s">
        <v>212</v>
      </c>
      <c r="C25" s="19" t="s">
        <v>200</v>
      </c>
      <c r="D25" s="210">
        <f>prob_dead_ap</f>
        <v>5.4330679775487008E-2</v>
      </c>
      <c r="E25" s="215">
        <v>1769</v>
      </c>
      <c r="F25" s="210">
        <v>7.0448520280021361E-3</v>
      </c>
      <c r="G25" s="210">
        <v>8.3445723226621471E-2</v>
      </c>
      <c r="H25" s="210">
        <v>0.11106154317638983</v>
      </c>
      <c r="I25" s="243" t="s">
        <v>201</v>
      </c>
      <c r="J25" s="19" t="s">
        <v>202</v>
      </c>
      <c r="K25" s="198" t="s">
        <v>153</v>
      </c>
    </row>
    <row r="26" spans="1:11" s="17" customFormat="1" x14ac:dyDescent="0.2">
      <c r="A26" s="214" t="s">
        <v>213</v>
      </c>
      <c r="B26" s="17" t="s">
        <v>214</v>
      </c>
      <c r="C26" s="19" t="s">
        <v>200</v>
      </c>
      <c r="D26" s="210">
        <f>prob_mi_ap</f>
        <v>3.1987467785133158E-2</v>
      </c>
      <c r="E26" s="215">
        <v>1769</v>
      </c>
      <c r="F26" s="210">
        <v>5.1803122542955935E-3</v>
      </c>
      <c r="G26" s="210">
        <v>3.9815742824270348E-2</v>
      </c>
      <c r="H26" s="210">
        <v>6.0122566861109075E-2</v>
      </c>
      <c r="I26" s="243" t="s">
        <v>201</v>
      </c>
      <c r="J26" s="19" t="s">
        <v>202</v>
      </c>
      <c r="K26" s="198" t="s">
        <v>153</v>
      </c>
    </row>
    <row r="27" spans="1:11" s="17" customFormat="1" x14ac:dyDescent="0.2">
      <c r="A27" s="214" t="s">
        <v>215</v>
      </c>
      <c r="B27" s="17" t="s">
        <v>216</v>
      </c>
      <c r="C27" s="19" t="s">
        <v>200</v>
      </c>
      <c r="D27" s="210">
        <f>prob_stk_ap</f>
        <v>5.861584958966902E-3</v>
      </c>
      <c r="E27" s="215">
        <v>1769</v>
      </c>
      <c r="F27" s="210">
        <v>2.5496542457632007E-3</v>
      </c>
      <c r="G27" s="210">
        <v>6.6378584614894126E-3</v>
      </c>
      <c r="H27" s="210">
        <v>1.6632503104881159E-2</v>
      </c>
      <c r="I27" s="243" t="s">
        <v>201</v>
      </c>
      <c r="J27" s="19" t="s">
        <v>202</v>
      </c>
      <c r="K27" s="198" t="s">
        <v>153</v>
      </c>
    </row>
    <row r="28" spans="1:11" s="17" customFormat="1" x14ac:dyDescent="0.2">
      <c r="A28" s="214" t="s">
        <v>217</v>
      </c>
      <c r="B28" s="17" t="s">
        <v>218</v>
      </c>
      <c r="C28" s="19" t="s">
        <v>193</v>
      </c>
      <c r="D28" s="210">
        <f>prob_maj_bleed_ap</f>
        <v>3.3689224476705415E-2</v>
      </c>
      <c r="E28" s="215">
        <v>1023</v>
      </c>
      <c r="F28" s="210">
        <v>5.4327767021908327E-3</v>
      </c>
      <c r="G28" s="210">
        <v>2.0516935085297713E-2</v>
      </c>
      <c r="H28" s="210">
        <v>4.1813419757885779E-2</v>
      </c>
      <c r="I28" s="243" t="s">
        <v>201</v>
      </c>
      <c r="J28" s="19" t="s">
        <v>202</v>
      </c>
      <c r="K28" s="198" t="s">
        <v>153</v>
      </c>
    </row>
    <row r="29" spans="1:11" s="17" customFormat="1" x14ac:dyDescent="0.2">
      <c r="A29" s="214" t="s">
        <v>219</v>
      </c>
      <c r="B29" s="17" t="s">
        <v>220</v>
      </c>
      <c r="C29" s="19" t="s">
        <v>193</v>
      </c>
      <c r="D29" s="210">
        <f>prob_min_bleed_ap</f>
        <v>3.0760010510186904E-2</v>
      </c>
      <c r="E29" s="215">
        <v>1023</v>
      </c>
      <c r="F29" s="210">
        <v>1.0336304860998012E-2</v>
      </c>
      <c r="G29" s="210">
        <v>0.10463619005877339</v>
      </c>
      <c r="H29" s="210">
        <v>0.14515450511388558</v>
      </c>
      <c r="I29" s="243" t="s">
        <v>201</v>
      </c>
      <c r="J29" s="19" t="s">
        <v>202</v>
      </c>
      <c r="K29" s="198" t="s">
        <v>153</v>
      </c>
    </row>
    <row r="30" spans="1:11" ht="8" customHeight="1" x14ac:dyDescent="0.2">
      <c r="A30" s="55"/>
    </row>
    <row r="31" spans="1:11" s="17" customFormat="1" x14ac:dyDescent="0.2">
      <c r="A31" s="216" t="s">
        <v>221</v>
      </c>
      <c r="B31" s="17" t="s">
        <v>222</v>
      </c>
      <c r="C31" s="19" t="s">
        <v>159</v>
      </c>
      <c r="D31" s="217">
        <v>0.29699999999999999</v>
      </c>
      <c r="E31" s="208" t="s">
        <v>151</v>
      </c>
      <c r="F31" s="196" t="s">
        <v>151</v>
      </c>
      <c r="G31" s="196" t="s">
        <v>151</v>
      </c>
      <c r="H31" s="196" t="s">
        <v>151</v>
      </c>
      <c r="I31" s="202" t="s">
        <v>223</v>
      </c>
      <c r="J31" s="19" t="s">
        <v>224</v>
      </c>
      <c r="K31" s="218" t="s">
        <v>225</v>
      </c>
    </row>
    <row r="32" spans="1:11" s="17" customFormat="1" x14ac:dyDescent="0.2">
      <c r="A32" s="216" t="s">
        <v>226</v>
      </c>
      <c r="B32" s="17" t="s">
        <v>227</v>
      </c>
      <c r="C32" s="19" t="s">
        <v>159</v>
      </c>
      <c r="D32" s="217">
        <v>0.56799999999999995</v>
      </c>
      <c r="E32" s="208" t="s">
        <v>151</v>
      </c>
      <c r="F32" s="196" t="s">
        <v>151</v>
      </c>
      <c r="G32" s="196" t="s">
        <v>151</v>
      </c>
      <c r="H32" s="196" t="s">
        <v>151</v>
      </c>
      <c r="I32" s="202" t="s">
        <v>228</v>
      </c>
      <c r="J32" s="19" t="s">
        <v>224</v>
      </c>
      <c r="K32" s="218" t="s">
        <v>225</v>
      </c>
    </row>
    <row r="33" spans="1:11" s="17" customFormat="1" ht="16" x14ac:dyDescent="0.2">
      <c r="A33" s="219" t="s">
        <v>229</v>
      </c>
      <c r="B33" s="17" t="s">
        <v>230</v>
      </c>
      <c r="C33" s="19" t="s">
        <v>159</v>
      </c>
      <c r="D33" s="211">
        <f>prop_at_st/(prop_at_st+prop_ap_st)</f>
        <v>0.94</v>
      </c>
      <c r="E33" s="208" t="s">
        <v>151</v>
      </c>
      <c r="F33" s="196"/>
      <c r="G33" s="196"/>
      <c r="H33" s="196"/>
      <c r="I33" s="202"/>
      <c r="J33" s="19" t="s">
        <v>154</v>
      </c>
      <c r="K33" s="200" t="s">
        <v>155</v>
      </c>
    </row>
    <row r="34" spans="1:11" s="17" customFormat="1" ht="16" x14ac:dyDescent="0.2">
      <c r="A34" s="219" t="s">
        <v>231</v>
      </c>
      <c r="B34" s="17" t="s">
        <v>232</v>
      </c>
      <c r="C34" s="19" t="s">
        <v>159</v>
      </c>
      <c r="D34" s="211">
        <f>1-prop_at_lof</f>
        <v>6.0000000000000053E-2</v>
      </c>
      <c r="E34" s="208" t="s">
        <v>151</v>
      </c>
      <c r="F34" s="196"/>
      <c r="G34" s="196"/>
      <c r="H34" s="196"/>
      <c r="I34" s="202"/>
      <c r="J34" s="19" t="s">
        <v>154</v>
      </c>
      <c r="K34" s="200" t="s">
        <v>164</v>
      </c>
    </row>
    <row r="35" spans="1:11" ht="8" customHeight="1" x14ac:dyDescent="0.2">
      <c r="A35" s="55"/>
    </row>
    <row r="36" spans="1:11" s="17" customFormat="1" x14ac:dyDescent="0.2">
      <c r="A36" s="214" t="s">
        <v>233</v>
      </c>
      <c r="B36" s="17" t="s">
        <v>234</v>
      </c>
      <c r="C36" s="19" t="s">
        <v>200</v>
      </c>
      <c r="D36" s="210">
        <f>RR_dead_ac_nlof*prob_dead_at</f>
        <v>4.2364006438725683E-2</v>
      </c>
      <c r="E36" s="215">
        <v>2561</v>
      </c>
      <c r="F36" s="220">
        <v>4.3765818891637878E-3</v>
      </c>
      <c r="G36" s="208">
        <v>4.1837302142202999E-2</v>
      </c>
      <c r="H36" s="208">
        <v>0.13241651484368189</v>
      </c>
      <c r="I36" s="19" t="s">
        <v>235</v>
      </c>
      <c r="J36" s="19" t="s">
        <v>236</v>
      </c>
      <c r="K36" s="17" t="s">
        <v>237</v>
      </c>
    </row>
    <row r="37" spans="1:11" s="17" customFormat="1" x14ac:dyDescent="0.2">
      <c r="A37" s="214" t="s">
        <v>238</v>
      </c>
      <c r="B37" s="17" t="s">
        <v>239</v>
      </c>
      <c r="C37" s="19" t="s">
        <v>200</v>
      </c>
      <c r="D37" s="210">
        <f>rr_mi_ac_nlof*prob_mi_at</f>
        <v>3.4868863890109257E-2</v>
      </c>
      <c r="E37" s="215">
        <v>2696</v>
      </c>
      <c r="F37" s="220">
        <v>3.7395739072244466E-3</v>
      </c>
      <c r="G37" s="208">
        <v>3.1152349721279032E-2</v>
      </c>
      <c r="H37" s="208">
        <v>9.9540520033145841E-2</v>
      </c>
      <c r="I37" s="19" t="s">
        <v>235</v>
      </c>
      <c r="J37" s="19" t="s">
        <v>236</v>
      </c>
      <c r="K37" s="17" t="s">
        <v>240</v>
      </c>
    </row>
    <row r="38" spans="1:11" s="17" customFormat="1" x14ac:dyDescent="0.2">
      <c r="A38" s="214" t="s">
        <v>241</v>
      </c>
      <c r="B38" s="17" t="s">
        <v>242</v>
      </c>
      <c r="C38" s="19" t="s">
        <v>200</v>
      </c>
      <c r="D38" s="210">
        <f>rr_stk_ac_nlof*prob_stk_ac</f>
        <v>6.3E-3</v>
      </c>
      <c r="E38" s="215">
        <v>2696</v>
      </c>
      <c r="F38" s="220">
        <v>1.8404033712138971E-3</v>
      </c>
      <c r="G38" s="208">
        <v>5.6093337103422878E-3</v>
      </c>
      <c r="H38" s="208">
        <v>2.0210818390192412E-2</v>
      </c>
      <c r="I38" s="19" t="s">
        <v>235</v>
      </c>
      <c r="J38" s="19" t="s">
        <v>236</v>
      </c>
      <c r="K38" s="17" t="s">
        <v>243</v>
      </c>
    </row>
    <row r="39" spans="1:11" s="17" customFormat="1" x14ac:dyDescent="0.2">
      <c r="A39" s="214" t="s">
        <v>244</v>
      </c>
      <c r="B39" s="17" t="s">
        <v>245</v>
      </c>
      <c r="C39" s="19" t="s">
        <v>246</v>
      </c>
      <c r="D39" s="210">
        <f>rr_maj_bleed_ac_nlof*prob_maj_bleed_ac</f>
        <v>2.3800000000000002E-2</v>
      </c>
      <c r="E39" s="215">
        <v>1023</v>
      </c>
      <c r="F39" s="210">
        <v>4.5860939877542988E-3</v>
      </c>
      <c r="G39" s="210">
        <v>1.3011255784001573E-2</v>
      </c>
      <c r="H39" s="210">
        <v>3.0988744215998426E-2</v>
      </c>
      <c r="I39" s="19" t="s">
        <v>235</v>
      </c>
      <c r="J39" s="19" t="s">
        <v>194</v>
      </c>
      <c r="K39" s="202" t="s">
        <v>195</v>
      </c>
    </row>
    <row r="40" spans="1:11" s="17" customFormat="1" x14ac:dyDescent="0.2">
      <c r="A40" s="214" t="s">
        <v>247</v>
      </c>
      <c r="B40" s="17" t="s">
        <v>248</v>
      </c>
      <c r="C40" s="19" t="s">
        <v>249</v>
      </c>
      <c r="D40" s="210">
        <f>rr_min_bleed_ac_nlof*prob_min_bleed_ac</f>
        <v>1.5100000000000001E-2</v>
      </c>
      <c r="E40" s="215">
        <v>1023</v>
      </c>
      <c r="F40" s="210">
        <v>7.4827269324786311E-3</v>
      </c>
      <c r="G40" s="210">
        <v>4.633385521234188E-2</v>
      </c>
      <c r="H40" s="210">
        <v>7.566614478765811E-2</v>
      </c>
      <c r="I40" s="19" t="s">
        <v>235</v>
      </c>
      <c r="J40" s="19" t="s">
        <v>194</v>
      </c>
      <c r="K40" s="202" t="s">
        <v>195</v>
      </c>
    </row>
    <row r="41" spans="1:11" ht="8" customHeight="1" x14ac:dyDescent="0.2">
      <c r="A41" s="55"/>
      <c r="I41" s="1"/>
    </row>
    <row r="42" spans="1:11" s="17" customFormat="1" ht="16" x14ac:dyDescent="0.2">
      <c r="A42" s="221" t="s">
        <v>250</v>
      </c>
      <c r="B42" s="17" t="s">
        <v>251</v>
      </c>
      <c r="C42" s="19" t="s">
        <v>252</v>
      </c>
      <c r="D42" s="210">
        <f>u_noevent*((((0.9508566 + (0.0212126*1) - (0.0002587*64)- (0.0000332*(64^2))))*male_proportion_STEMI)+ (((0.9508566 + (0.0212126*0) - (0.0002587*69)- (0.0000332*(69^2))))*(1-male_proportion_STEMI)))</f>
        <v>0.67952907098400006</v>
      </c>
      <c r="E42" s="208" t="s">
        <v>151</v>
      </c>
      <c r="F42" s="196">
        <v>2E-3</v>
      </c>
      <c r="G42" s="210">
        <v>0.83807999999999905</v>
      </c>
      <c r="H42" s="210">
        <v>0.84592000000000001</v>
      </c>
      <c r="I42" s="212" t="s">
        <v>253</v>
      </c>
      <c r="J42" s="19" t="s">
        <v>254</v>
      </c>
      <c r="K42" s="222" t="s">
        <v>255</v>
      </c>
    </row>
    <row r="43" spans="1:11" s="17" customFormat="1" ht="16" x14ac:dyDescent="0.2">
      <c r="A43" s="221" t="s">
        <v>256</v>
      </c>
      <c r="B43" s="17" t="s">
        <v>257</v>
      </c>
      <c r="C43" s="19" t="s">
        <v>252</v>
      </c>
      <c r="D43" s="208">
        <f>u_rinfar*((((0.9508566 + (0.0212126*1) - (0.0002587*64)- (0.0000332*(64^2))))*male_proportion_STEMI)+ (((0.9508566 + (0.0212126*0) - (0.0002587*69)- (0.0000332*(69^2))))*(1-male_proportion_STEMI)))</f>
        <v>0.6286854469080001</v>
      </c>
      <c r="E43" s="208" t="s">
        <v>151</v>
      </c>
      <c r="F43" s="196">
        <v>0.01</v>
      </c>
      <c r="G43" s="210">
        <v>0.75939999999999996</v>
      </c>
      <c r="H43" s="210">
        <v>0.79859999999999998</v>
      </c>
      <c r="I43" s="212" t="s">
        <v>253</v>
      </c>
      <c r="J43" s="19" t="s">
        <v>254</v>
      </c>
      <c r="K43" s="222" t="s">
        <v>258</v>
      </c>
    </row>
    <row r="44" spans="1:11" s="17" customFormat="1" ht="16" x14ac:dyDescent="0.2">
      <c r="A44" s="221" t="s">
        <v>259</v>
      </c>
      <c r="B44" s="17" t="s">
        <v>260</v>
      </c>
      <c r="C44" s="19" t="s">
        <v>252</v>
      </c>
      <c r="D44" s="208">
        <f>u_stk*((((0.9508566 + (0.0212126*1) - (0.0002587*64)- (0.0000332*(64^2))))*male_proportion_STEMI)+ (((0.9508566 + (0.0212126*0) - (0.0002587*69)- (0.0000332*(69^2))))*(1-male_proportion_STEMI)))</f>
        <v>0.56735028135600007</v>
      </c>
      <c r="E44" s="208" t="s">
        <v>151</v>
      </c>
      <c r="F44" s="196">
        <v>0.01</v>
      </c>
      <c r="G44" s="210">
        <v>0.68340000000000001</v>
      </c>
      <c r="H44" s="210">
        <v>0.72259999999999902</v>
      </c>
      <c r="I44" s="212" t="s">
        <v>253</v>
      </c>
      <c r="J44" s="19" t="s">
        <v>254</v>
      </c>
      <c r="K44" s="222" t="s">
        <v>261</v>
      </c>
    </row>
    <row r="45" spans="1:11" s="17" customFormat="1" ht="15" customHeight="1" x14ac:dyDescent="0.2">
      <c r="A45" s="223" t="s">
        <v>262</v>
      </c>
      <c r="B45" s="17" t="s">
        <v>263</v>
      </c>
      <c r="C45" s="19" t="s">
        <v>252</v>
      </c>
      <c r="D45" s="196">
        <v>2.5999999999999999E-2</v>
      </c>
      <c r="E45" s="208" t="s">
        <v>151</v>
      </c>
      <c r="F45" s="196">
        <v>5.0000000000000001E-3</v>
      </c>
      <c r="G45" s="196">
        <v>-4.7E-2</v>
      </c>
      <c r="H45" s="196">
        <v>-2.93E-2</v>
      </c>
      <c r="I45" s="212" t="s">
        <v>264</v>
      </c>
      <c r="J45" s="212" t="s">
        <v>265</v>
      </c>
      <c r="K45" s="222" t="s">
        <v>266</v>
      </c>
    </row>
    <row r="46" spans="1:11" s="17" customFormat="1" ht="15" customHeight="1" x14ac:dyDescent="0.2">
      <c r="A46" s="223" t="s">
        <v>267</v>
      </c>
      <c r="B46" s="17" t="s">
        <v>268</v>
      </c>
      <c r="C46" s="19" t="s">
        <v>252</v>
      </c>
      <c r="D46" s="196">
        <v>3.7999999999999999E-2</v>
      </c>
      <c r="E46" s="208" t="s">
        <v>151</v>
      </c>
      <c r="F46" s="196">
        <v>6.0000000000000001E-3</v>
      </c>
      <c r="G46" s="196">
        <v>-3.6499999999999998E-2</v>
      </c>
      <c r="H46" s="196">
        <v>-1.4800000000000001E-2</v>
      </c>
      <c r="I46" s="212" t="s">
        <v>264</v>
      </c>
      <c r="J46" s="212" t="s">
        <v>269</v>
      </c>
      <c r="K46" s="222" t="s">
        <v>270</v>
      </c>
    </row>
    <row r="47" spans="1:11" s="17" customFormat="1" ht="15" customHeight="1" x14ac:dyDescent="0.2">
      <c r="A47" s="202" t="s">
        <v>271</v>
      </c>
      <c r="B47" s="17" t="s">
        <v>272</v>
      </c>
      <c r="C47" s="19" t="s">
        <v>252</v>
      </c>
      <c r="D47" s="208">
        <v>7.6</v>
      </c>
      <c r="E47" s="208" t="s">
        <v>151</v>
      </c>
      <c r="F47" s="196" t="s">
        <v>151</v>
      </c>
      <c r="G47" s="196" t="s">
        <v>151</v>
      </c>
      <c r="H47" s="196" t="s">
        <v>151</v>
      </c>
      <c r="I47" s="212" t="s">
        <v>273</v>
      </c>
      <c r="J47" s="212" t="s">
        <v>274</v>
      </c>
      <c r="K47" s="222" t="s">
        <v>266</v>
      </c>
    </row>
    <row r="48" spans="1:11" s="17" customFormat="1" ht="15" customHeight="1" x14ac:dyDescent="0.2">
      <c r="A48" s="221" t="s">
        <v>275</v>
      </c>
      <c r="B48" s="17" t="s">
        <v>276</v>
      </c>
      <c r="C48" s="19" t="s">
        <v>252</v>
      </c>
      <c r="D48" s="208">
        <v>45.38</v>
      </c>
      <c r="E48" s="208" t="s">
        <v>151</v>
      </c>
      <c r="F48" s="196" t="s">
        <v>151</v>
      </c>
      <c r="G48" s="196" t="s">
        <v>151</v>
      </c>
      <c r="H48" s="196" t="s">
        <v>151</v>
      </c>
      <c r="I48" s="212" t="s">
        <v>273</v>
      </c>
      <c r="J48" s="212" t="s">
        <v>277</v>
      </c>
      <c r="K48" s="222" t="s">
        <v>266</v>
      </c>
    </row>
    <row r="49" spans="1:11" s="17" customFormat="1" ht="15" customHeight="1" x14ac:dyDescent="0.2">
      <c r="A49" s="224" t="s">
        <v>278</v>
      </c>
      <c r="B49" s="17" t="s">
        <v>279</v>
      </c>
      <c r="C49" s="19" t="s">
        <v>252</v>
      </c>
      <c r="D49" s="225">
        <f>an_u_dec_min_bleed*(duration_min_bleed/365)</f>
        <v>5.4136986301369858E-4</v>
      </c>
      <c r="E49" s="208" t="s">
        <v>151</v>
      </c>
      <c r="F49" s="196" t="s">
        <v>151</v>
      </c>
      <c r="G49" s="196" t="s">
        <v>151</v>
      </c>
      <c r="H49" s="196" t="s">
        <v>151</v>
      </c>
      <c r="I49" s="212" t="s">
        <v>264</v>
      </c>
      <c r="J49" s="212" t="s">
        <v>280</v>
      </c>
      <c r="K49" s="222" t="s">
        <v>270</v>
      </c>
    </row>
    <row r="50" spans="1:11" s="17" customFormat="1" ht="15" customHeight="1" x14ac:dyDescent="0.2">
      <c r="A50" s="224" t="s">
        <v>281</v>
      </c>
      <c r="B50" s="17" t="s">
        <v>282</v>
      </c>
      <c r="C50" s="19" t="s">
        <v>252</v>
      </c>
      <c r="D50" s="220">
        <f>an_u_dec_maj_bleed * (duration_maj_bleed/365)</f>
        <v>4.7244931506849313E-3</v>
      </c>
      <c r="E50" s="208" t="s">
        <v>151</v>
      </c>
      <c r="F50" s="196" t="s">
        <v>151</v>
      </c>
      <c r="G50" s="196" t="s">
        <v>151</v>
      </c>
      <c r="H50" s="196" t="s">
        <v>151</v>
      </c>
      <c r="I50" s="212" t="s">
        <v>264</v>
      </c>
      <c r="J50" s="212" t="s">
        <v>283</v>
      </c>
      <c r="K50" s="222" t="s">
        <v>284</v>
      </c>
    </row>
    <row r="51" spans="1:11" s="17" customFormat="1" ht="15" customHeight="1" x14ac:dyDescent="0.2">
      <c r="A51" s="224" t="s">
        <v>285</v>
      </c>
      <c r="B51" s="17" t="s">
        <v>286</v>
      </c>
      <c r="C51" s="19" t="s">
        <v>252</v>
      </c>
      <c r="D51" s="226">
        <f>(u_dec_maj_bleed*prob_maj_bleed_ac)+(u_dec_min_bleed*prob_min_bleed_ac)</f>
        <v>1.2061762191780823E-4</v>
      </c>
      <c r="E51" s="208" t="s">
        <v>151</v>
      </c>
      <c r="F51" s="196" t="s">
        <v>151</v>
      </c>
      <c r="G51" s="196" t="s">
        <v>151</v>
      </c>
      <c r="H51" s="196" t="s">
        <v>151</v>
      </c>
      <c r="I51" s="212" t="s">
        <v>264</v>
      </c>
      <c r="J51" s="212" t="s">
        <v>287</v>
      </c>
      <c r="K51" s="222" t="s">
        <v>288</v>
      </c>
    </row>
    <row r="52" spans="1:11" s="17" customFormat="1" ht="15" customHeight="1" x14ac:dyDescent="0.2">
      <c r="A52" s="224" t="s">
        <v>289</v>
      </c>
      <c r="B52" s="17" t="s">
        <v>290</v>
      </c>
      <c r="C52" s="19" t="s">
        <v>252</v>
      </c>
      <c r="D52" s="220">
        <f>(u_dec_maj_bleed*prob_maj_bleed_at)+(u_dec_min_bleed*prob_min_bleed_at)</f>
        <v>1.279665282498258E-4</v>
      </c>
      <c r="E52" s="208" t="s">
        <v>151</v>
      </c>
      <c r="F52" s="196" t="s">
        <v>151</v>
      </c>
      <c r="G52" s="196" t="s">
        <v>151</v>
      </c>
      <c r="H52" s="196" t="s">
        <v>151</v>
      </c>
      <c r="I52" s="212" t="s">
        <v>264</v>
      </c>
      <c r="J52" s="212" t="s">
        <v>291</v>
      </c>
      <c r="K52" s="222" t="s">
        <v>292</v>
      </c>
    </row>
    <row r="53" spans="1:11" s="17" customFormat="1" ht="15" customHeight="1" x14ac:dyDescent="0.2">
      <c r="A53" s="224" t="s">
        <v>293</v>
      </c>
      <c r="B53" s="17" t="s">
        <v>294</v>
      </c>
      <c r="C53" s="19" t="s">
        <v>252</v>
      </c>
      <c r="D53" s="220">
        <f>(u_dec_maj_bleed*prob_maj_bleed_ap)+(u_dec_min_bleed*prob_min_bleed_ap)</f>
        <v>1.7581705296828168E-4</v>
      </c>
      <c r="E53" s="208" t="s">
        <v>151</v>
      </c>
      <c r="F53" s="196" t="s">
        <v>151</v>
      </c>
      <c r="G53" s="196" t="s">
        <v>151</v>
      </c>
      <c r="H53" s="196" t="s">
        <v>151</v>
      </c>
      <c r="I53" s="212" t="s">
        <v>264</v>
      </c>
      <c r="J53" s="212" t="s">
        <v>295</v>
      </c>
      <c r="K53" s="222" t="s">
        <v>296</v>
      </c>
    </row>
    <row r="54" spans="1:11" s="17" customFormat="1" ht="15" customHeight="1" x14ac:dyDescent="0.2">
      <c r="A54" s="224" t="s">
        <v>297</v>
      </c>
      <c r="B54" s="17" t="s">
        <v>286</v>
      </c>
      <c r="C54" s="19" t="s">
        <v>252</v>
      </c>
      <c r="D54" s="225">
        <f>(u_dec_maj_bleed*rate_maj_bleed_ac_nlof)+(u_dec_min_bleed*rate_min_bleed_ac_nlof)</f>
        <v>1.2061762191780823E-4</v>
      </c>
      <c r="E54" s="208" t="s">
        <v>151</v>
      </c>
      <c r="F54" s="196"/>
      <c r="G54" s="196"/>
      <c r="H54" s="196"/>
      <c r="I54" s="212" t="s">
        <v>264</v>
      </c>
      <c r="J54" s="212" t="s">
        <v>298</v>
      </c>
      <c r="K54" s="222" t="s">
        <v>299</v>
      </c>
    </row>
    <row r="55" spans="1:11" ht="8" customHeight="1" x14ac:dyDescent="0.2">
      <c r="A55" s="55"/>
      <c r="I55" s="1"/>
    </row>
    <row r="56" spans="1:11" s="17" customFormat="1" x14ac:dyDescent="0.2">
      <c r="A56" s="202" t="s">
        <v>300</v>
      </c>
      <c r="B56" s="202" t="s">
        <v>301</v>
      </c>
      <c r="C56" s="19" t="s">
        <v>302</v>
      </c>
      <c r="D56" s="19">
        <v>2</v>
      </c>
      <c r="E56" s="215">
        <v>371619</v>
      </c>
      <c r="F56" s="208">
        <v>5.1020408163264782E-3</v>
      </c>
      <c r="G56" s="196">
        <v>1.99</v>
      </c>
      <c r="H56" s="196">
        <v>2.0099999999999998</v>
      </c>
      <c r="I56" s="212" t="s">
        <v>303</v>
      </c>
      <c r="J56" s="19" t="s">
        <v>304</v>
      </c>
      <c r="K56" s="218" t="s">
        <v>305</v>
      </c>
    </row>
    <row r="57" spans="1:11" s="17" customFormat="1" x14ac:dyDescent="0.2">
      <c r="A57" s="202" t="s">
        <v>306</v>
      </c>
      <c r="B57" s="202" t="s">
        <v>307</v>
      </c>
      <c r="C57" s="19" t="s">
        <v>302</v>
      </c>
      <c r="D57" s="19">
        <v>4.5</v>
      </c>
      <c r="E57" s="215">
        <v>15833</v>
      </c>
      <c r="F57" s="208">
        <v>3.5714285714285858E-2</v>
      </c>
      <c r="G57" s="196">
        <v>4.43</v>
      </c>
      <c r="H57" s="196">
        <v>4.57</v>
      </c>
      <c r="I57" s="212" t="s">
        <v>303</v>
      </c>
      <c r="J57" s="19" t="s">
        <v>304</v>
      </c>
      <c r="K57" s="218" t="s">
        <v>305</v>
      </c>
    </row>
    <row r="58" spans="1:11" s="17" customFormat="1" x14ac:dyDescent="0.2">
      <c r="A58" s="202" t="s">
        <v>308</v>
      </c>
      <c r="B58" s="202" t="s">
        <v>309</v>
      </c>
      <c r="C58" s="19" t="s">
        <v>302</v>
      </c>
      <c r="D58" s="19">
        <v>3</v>
      </c>
      <c r="E58" s="215">
        <v>15833</v>
      </c>
      <c r="F58" s="208">
        <v>2.5510204081632563E-2</v>
      </c>
      <c r="G58" s="196">
        <v>2.95</v>
      </c>
      <c r="H58" s="196">
        <v>3.05</v>
      </c>
      <c r="I58" s="212" t="s">
        <v>303</v>
      </c>
      <c r="J58" s="19" t="s">
        <v>304</v>
      </c>
      <c r="K58" s="218" t="s">
        <v>310</v>
      </c>
    </row>
    <row r="59" spans="1:11" s="17" customFormat="1" ht="16" x14ac:dyDescent="0.2">
      <c r="A59" s="202" t="s">
        <v>311</v>
      </c>
      <c r="B59" s="202" t="s">
        <v>311</v>
      </c>
      <c r="C59" s="19" t="s">
        <v>302</v>
      </c>
      <c r="D59" s="19">
        <f>smr_stk</f>
        <v>4.7300000000000004</v>
      </c>
      <c r="E59" s="215">
        <v>8324</v>
      </c>
      <c r="F59" s="208">
        <v>0.20663265306122461</v>
      </c>
      <c r="G59" s="196">
        <v>4.34</v>
      </c>
      <c r="H59" s="196">
        <v>5.15</v>
      </c>
      <c r="I59" s="212" t="s">
        <v>303</v>
      </c>
      <c r="J59" s="19" t="s">
        <v>312</v>
      </c>
      <c r="K59" s="222" t="s">
        <v>313</v>
      </c>
    </row>
    <row r="60" spans="1:11" s="17" customFormat="1" ht="16" x14ac:dyDescent="0.2">
      <c r="A60" s="202" t="s">
        <v>314</v>
      </c>
      <c r="B60" s="202" t="s">
        <v>315</v>
      </c>
      <c r="C60" s="19" t="s">
        <v>302</v>
      </c>
      <c r="D60" s="19">
        <f>smr_post_stk</f>
        <v>2.3199999999999998</v>
      </c>
      <c r="E60" s="215">
        <v>8324</v>
      </c>
      <c r="F60" s="208">
        <v>8.1632653061224567E-2</v>
      </c>
      <c r="G60" s="196">
        <v>2.17</v>
      </c>
      <c r="H60" s="196">
        <v>2.4900000000000002</v>
      </c>
      <c r="I60" s="212" t="s">
        <v>303</v>
      </c>
      <c r="J60" s="19" t="s">
        <v>312</v>
      </c>
      <c r="K60" s="222" t="s">
        <v>313</v>
      </c>
    </row>
    <row r="61" spans="1:11" ht="6" customHeight="1" x14ac:dyDescent="0.2">
      <c r="B61" s="21"/>
      <c r="D61" s="1"/>
      <c r="E61" s="84"/>
    </row>
    <row r="62" spans="1:11" s="17" customFormat="1" x14ac:dyDescent="0.2">
      <c r="A62" s="227" t="s">
        <v>316</v>
      </c>
      <c r="B62" s="202" t="s">
        <v>317</v>
      </c>
      <c r="C62" s="19" t="s">
        <v>127</v>
      </c>
      <c r="D62" s="228">
        <v>125</v>
      </c>
      <c r="E62" s="204" t="s">
        <v>151</v>
      </c>
      <c r="F62" s="202"/>
      <c r="G62" s="202"/>
      <c r="H62" s="202"/>
      <c r="I62" s="202" t="s">
        <v>318</v>
      </c>
      <c r="J62" s="19" t="s">
        <v>319</v>
      </c>
      <c r="K62" s="202"/>
    </row>
    <row r="63" spans="1:11" ht="7.5" customHeight="1" x14ac:dyDescent="0.2">
      <c r="A63" s="165"/>
      <c r="B63" s="21"/>
      <c r="D63" s="128"/>
      <c r="E63" s="84"/>
      <c r="F63" s="21"/>
      <c r="G63" s="21"/>
      <c r="H63" s="21"/>
    </row>
    <row r="64" spans="1:11" s="17" customFormat="1" x14ac:dyDescent="0.2">
      <c r="A64" s="229" t="s">
        <v>320</v>
      </c>
      <c r="B64" s="202" t="s">
        <v>321</v>
      </c>
      <c r="C64" s="19" t="s">
        <v>150</v>
      </c>
      <c r="D64" s="230">
        <v>365</v>
      </c>
      <c r="E64" s="204" t="s">
        <v>151</v>
      </c>
      <c r="F64" s="202" t="s">
        <v>151</v>
      </c>
      <c r="G64" s="202" t="s">
        <v>151</v>
      </c>
      <c r="H64" s="202" t="s">
        <v>151</v>
      </c>
      <c r="I64" s="202" t="s">
        <v>322</v>
      </c>
      <c r="J64" s="19" t="s">
        <v>323</v>
      </c>
      <c r="K64" s="209" t="s">
        <v>324</v>
      </c>
    </row>
    <row r="65" spans="1:11" s="17" customFormat="1" x14ac:dyDescent="0.2">
      <c r="A65" s="229" t="s">
        <v>325</v>
      </c>
      <c r="B65" s="202" t="s">
        <v>326</v>
      </c>
      <c r="C65" s="19" t="s">
        <v>150</v>
      </c>
      <c r="D65" s="230">
        <v>360</v>
      </c>
      <c r="E65" s="204" t="s">
        <v>151</v>
      </c>
      <c r="F65" s="202" t="s">
        <v>151</v>
      </c>
      <c r="G65" s="202" t="s">
        <v>151</v>
      </c>
      <c r="H65" s="202" t="s">
        <v>151</v>
      </c>
      <c r="I65" s="202" t="s">
        <v>322</v>
      </c>
      <c r="J65" s="19" t="s">
        <v>323</v>
      </c>
      <c r="K65" s="209" t="s">
        <v>324</v>
      </c>
    </row>
    <row r="66" spans="1:11" s="17" customFormat="1" x14ac:dyDescent="0.2">
      <c r="A66" s="229" t="s">
        <v>327</v>
      </c>
      <c r="B66" s="202" t="s">
        <v>328</v>
      </c>
      <c r="C66" s="19" t="s">
        <v>150</v>
      </c>
      <c r="D66" s="230">
        <v>328</v>
      </c>
      <c r="E66" s="204" t="s">
        <v>151</v>
      </c>
      <c r="F66" s="202" t="s">
        <v>151</v>
      </c>
      <c r="G66" s="202" t="s">
        <v>151</v>
      </c>
      <c r="H66" s="202" t="s">
        <v>151</v>
      </c>
      <c r="I66" s="202" t="s">
        <v>322</v>
      </c>
      <c r="J66" s="19" t="s">
        <v>323</v>
      </c>
      <c r="K66" s="209" t="s">
        <v>324</v>
      </c>
    </row>
    <row r="67" spans="1:11" s="17" customFormat="1" x14ac:dyDescent="0.2">
      <c r="A67" s="229" t="s">
        <v>329</v>
      </c>
      <c r="B67" s="202" t="s">
        <v>330</v>
      </c>
      <c r="C67" s="19" t="s">
        <v>150</v>
      </c>
      <c r="D67" s="230">
        <f>365/2</f>
        <v>182.5</v>
      </c>
      <c r="E67" s="204" t="s">
        <v>151</v>
      </c>
      <c r="F67" s="202" t="s">
        <v>151</v>
      </c>
      <c r="G67" s="202" t="s">
        <v>151</v>
      </c>
      <c r="H67" s="202" t="s">
        <v>151</v>
      </c>
      <c r="I67" s="202" t="s">
        <v>322</v>
      </c>
      <c r="J67" s="19" t="s">
        <v>323</v>
      </c>
      <c r="K67" s="209" t="s">
        <v>324</v>
      </c>
    </row>
    <row r="68" spans="1:11" s="17" customFormat="1" x14ac:dyDescent="0.2">
      <c r="A68" s="229" t="s">
        <v>331</v>
      </c>
      <c r="B68" s="202" t="s">
        <v>332</v>
      </c>
      <c r="C68" s="19" t="s">
        <v>150</v>
      </c>
      <c r="D68" s="230">
        <v>5</v>
      </c>
      <c r="E68" s="204" t="s">
        <v>151</v>
      </c>
      <c r="F68" s="202"/>
      <c r="G68" s="202"/>
      <c r="H68" s="202"/>
      <c r="I68" s="202" t="s">
        <v>322</v>
      </c>
      <c r="J68" s="19" t="s">
        <v>323</v>
      </c>
      <c r="K68" s="209" t="s">
        <v>324</v>
      </c>
    </row>
    <row r="69" spans="1:11" s="17" customFormat="1" x14ac:dyDescent="0.2">
      <c r="A69" s="231" t="s">
        <v>333</v>
      </c>
      <c r="B69" s="17" t="s">
        <v>334</v>
      </c>
      <c r="C69" s="19" t="s">
        <v>127</v>
      </c>
      <c r="D69" s="204">
        <f>ld_clop_300</f>
        <v>0.15857142857142859</v>
      </c>
      <c r="E69" s="204" t="s">
        <v>151</v>
      </c>
      <c r="F69" s="202" t="s">
        <v>151</v>
      </c>
      <c r="G69" s="202" t="s">
        <v>151</v>
      </c>
      <c r="H69" s="202" t="s">
        <v>151</v>
      </c>
      <c r="I69" s="202" t="s">
        <v>322</v>
      </c>
      <c r="J69" s="19" t="s">
        <v>335</v>
      </c>
      <c r="K69" s="19" t="s">
        <v>336</v>
      </c>
    </row>
    <row r="70" spans="1:11" s="17" customFormat="1" x14ac:dyDescent="0.2">
      <c r="A70" s="231" t="s">
        <v>337</v>
      </c>
      <c r="B70" s="17" t="s">
        <v>338</v>
      </c>
      <c r="C70" s="19" t="s">
        <v>127</v>
      </c>
      <c r="D70" s="204">
        <f>ld_clop_600</f>
        <v>0.31714285714285717</v>
      </c>
      <c r="E70" s="204" t="s">
        <v>151</v>
      </c>
      <c r="F70" s="202" t="s">
        <v>151</v>
      </c>
      <c r="G70" s="202" t="s">
        <v>151</v>
      </c>
      <c r="H70" s="202" t="s">
        <v>151</v>
      </c>
      <c r="I70" s="202" t="s">
        <v>322</v>
      </c>
      <c r="J70" s="19" t="s">
        <v>335</v>
      </c>
      <c r="K70" s="19" t="s">
        <v>336</v>
      </c>
    </row>
    <row r="71" spans="1:11" s="17" customFormat="1" x14ac:dyDescent="0.2">
      <c r="A71" s="231" t="s">
        <v>339</v>
      </c>
      <c r="B71" s="17" t="s">
        <v>340</v>
      </c>
      <c r="C71" s="19" t="s">
        <v>127</v>
      </c>
      <c r="D71" s="204">
        <f>ld_pras_60</f>
        <v>1.4607142857142859</v>
      </c>
      <c r="E71" s="204" t="s">
        <v>151</v>
      </c>
      <c r="F71" s="202" t="s">
        <v>151</v>
      </c>
      <c r="G71" s="202" t="s">
        <v>151</v>
      </c>
      <c r="H71" s="202" t="s">
        <v>151</v>
      </c>
      <c r="I71" s="202" t="s">
        <v>322</v>
      </c>
      <c r="J71" s="19" t="s">
        <v>335</v>
      </c>
      <c r="K71" s="19" t="s">
        <v>336</v>
      </c>
    </row>
    <row r="72" spans="1:11" s="17" customFormat="1" x14ac:dyDescent="0.2">
      <c r="A72" s="231" t="s">
        <v>341</v>
      </c>
      <c r="B72" s="17" t="s">
        <v>342</v>
      </c>
      <c r="C72" s="19" t="s">
        <v>127</v>
      </c>
      <c r="D72" s="204">
        <f>ld_tica_180</f>
        <v>1.95</v>
      </c>
      <c r="E72" s="204" t="s">
        <v>151</v>
      </c>
      <c r="F72" s="202" t="s">
        <v>151</v>
      </c>
      <c r="G72" s="202" t="s">
        <v>151</v>
      </c>
      <c r="H72" s="202" t="s">
        <v>151</v>
      </c>
      <c r="I72" s="202" t="s">
        <v>322</v>
      </c>
      <c r="J72" s="19" t="s">
        <v>335</v>
      </c>
      <c r="K72" s="19" t="s">
        <v>336</v>
      </c>
    </row>
    <row r="73" spans="1:11" s="17" customFormat="1" x14ac:dyDescent="0.2">
      <c r="A73" s="231" t="s">
        <v>343</v>
      </c>
      <c r="B73" s="202" t="s">
        <v>344</v>
      </c>
      <c r="C73" s="19" t="s">
        <v>127</v>
      </c>
      <c r="D73" s="232">
        <f>day_cost_asa</f>
        <v>2.5714285714285714E-2</v>
      </c>
      <c r="E73" s="204" t="s">
        <v>151</v>
      </c>
      <c r="F73" s="202" t="s">
        <v>151</v>
      </c>
      <c r="G73" s="202" t="s">
        <v>151</v>
      </c>
      <c r="H73" s="202" t="s">
        <v>151</v>
      </c>
      <c r="I73" s="202" t="s">
        <v>322</v>
      </c>
      <c r="J73" s="19" t="s">
        <v>335</v>
      </c>
      <c r="K73" s="19" t="s">
        <v>336</v>
      </c>
    </row>
    <row r="74" spans="1:11" s="17" customFormat="1" x14ac:dyDescent="0.2">
      <c r="A74" s="231" t="s">
        <v>345</v>
      </c>
      <c r="B74" s="17" t="s">
        <v>346</v>
      </c>
      <c r="C74" s="19" t="s">
        <v>127</v>
      </c>
      <c r="D74" s="204">
        <f>day_cost_clop</f>
        <v>3.9642857142857146E-2</v>
      </c>
      <c r="E74" s="204" t="s">
        <v>151</v>
      </c>
      <c r="F74" s="202" t="s">
        <v>151</v>
      </c>
      <c r="G74" s="202" t="s">
        <v>151</v>
      </c>
      <c r="H74" s="202" t="s">
        <v>151</v>
      </c>
      <c r="I74" s="202" t="s">
        <v>322</v>
      </c>
      <c r="J74" s="19" t="s">
        <v>335</v>
      </c>
      <c r="K74" s="19" t="s">
        <v>336</v>
      </c>
    </row>
    <row r="75" spans="1:11" s="17" customFormat="1" x14ac:dyDescent="0.2">
      <c r="A75" s="233" t="s">
        <v>347</v>
      </c>
      <c r="B75" s="17" t="s">
        <v>348</v>
      </c>
      <c r="C75" s="19" t="s">
        <v>127</v>
      </c>
      <c r="D75" s="234">
        <v>0.15</v>
      </c>
      <c r="E75" s="204"/>
      <c r="F75" s="202" t="s">
        <v>151</v>
      </c>
      <c r="G75" s="202" t="s">
        <v>151</v>
      </c>
      <c r="H75" s="202" t="s">
        <v>151</v>
      </c>
      <c r="I75" s="202" t="s">
        <v>349</v>
      </c>
      <c r="J75" s="19" t="s">
        <v>335</v>
      </c>
      <c r="K75" s="19" t="s">
        <v>336</v>
      </c>
    </row>
    <row r="76" spans="1:11" s="17" customFormat="1" x14ac:dyDescent="0.2">
      <c r="A76" s="233" t="s">
        <v>350</v>
      </c>
      <c r="B76" s="17" t="s">
        <v>351</v>
      </c>
      <c r="C76" s="19" t="s">
        <v>127</v>
      </c>
      <c r="D76" s="212">
        <f>(day_cost_pras_5mg*prop_pras_5mg)+(day_cost_pras_10mg*(1-prop_pras_5mg))</f>
        <v>0.29330357142857144</v>
      </c>
      <c r="E76" s="204"/>
      <c r="F76" s="202" t="s">
        <v>151</v>
      </c>
      <c r="G76" s="202" t="s">
        <v>151</v>
      </c>
      <c r="H76" s="202" t="s">
        <v>151</v>
      </c>
      <c r="I76" s="202" t="s">
        <v>349</v>
      </c>
      <c r="J76" s="19" t="s">
        <v>335</v>
      </c>
      <c r="K76" s="19" t="s">
        <v>336</v>
      </c>
    </row>
    <row r="77" spans="1:11" s="17" customFormat="1" x14ac:dyDescent="0.2">
      <c r="A77" s="233" t="s">
        <v>352</v>
      </c>
      <c r="B77" s="17" t="s">
        <v>353</v>
      </c>
      <c r="C77" s="19" t="s">
        <v>127</v>
      </c>
      <c r="D77" s="204">
        <f>day_cost_tica</f>
        <v>1.95</v>
      </c>
      <c r="E77" s="204"/>
      <c r="F77" s="202" t="s">
        <v>151</v>
      </c>
      <c r="G77" s="202" t="s">
        <v>151</v>
      </c>
      <c r="H77" s="202" t="s">
        <v>151</v>
      </c>
      <c r="I77" s="202" t="s">
        <v>349</v>
      </c>
      <c r="J77" s="19" t="s">
        <v>335</v>
      </c>
      <c r="K77" s="19" t="s">
        <v>336</v>
      </c>
    </row>
    <row r="78" spans="1:11" ht="10" customHeight="1" x14ac:dyDescent="0.2">
      <c r="A78" s="55"/>
    </row>
    <row r="79" spans="1:11" s="17" customFormat="1" x14ac:dyDescent="0.2">
      <c r="A79" s="227" t="s">
        <v>354</v>
      </c>
      <c r="B79" s="202" t="s">
        <v>354</v>
      </c>
      <c r="C79" s="19" t="s">
        <v>127</v>
      </c>
      <c r="D79" s="228">
        <f>c_pci</f>
        <v>3125</v>
      </c>
      <c r="E79" s="204" t="s">
        <v>151</v>
      </c>
      <c r="F79" s="202" t="s">
        <v>151</v>
      </c>
      <c r="G79" s="202" t="s">
        <v>151</v>
      </c>
      <c r="H79" s="202" t="s">
        <v>151</v>
      </c>
      <c r="I79" s="202" t="s">
        <v>349</v>
      </c>
      <c r="J79" s="19" t="s">
        <v>355</v>
      </c>
      <c r="K79" s="198" t="s">
        <v>153</v>
      </c>
    </row>
    <row r="80" spans="1:11" s="17" customFormat="1" x14ac:dyDescent="0.2">
      <c r="A80" s="227" t="s">
        <v>356</v>
      </c>
      <c r="B80" s="202" t="s">
        <v>357</v>
      </c>
      <c r="C80" s="19" t="s">
        <v>127</v>
      </c>
      <c r="D80" s="228">
        <f>c_noevent_tree</f>
        <v>2003.9049186967752</v>
      </c>
      <c r="E80" s="204" t="s">
        <v>151</v>
      </c>
      <c r="F80" s="202" t="s">
        <v>151</v>
      </c>
      <c r="G80" s="202" t="s">
        <v>151</v>
      </c>
      <c r="H80" s="202" t="s">
        <v>151</v>
      </c>
      <c r="I80" s="202" t="s">
        <v>349</v>
      </c>
      <c r="J80" s="19" t="s">
        <v>358</v>
      </c>
      <c r="K80" s="198" t="s">
        <v>153</v>
      </c>
    </row>
    <row r="81" spans="1:11" s="17" customFormat="1" x14ac:dyDescent="0.2">
      <c r="A81" s="227" t="s">
        <v>359</v>
      </c>
      <c r="B81" s="202" t="s">
        <v>359</v>
      </c>
      <c r="C81" s="19" t="s">
        <v>127</v>
      </c>
      <c r="D81" s="228">
        <f>c_mi_tree</f>
        <v>6798.6140046517412</v>
      </c>
      <c r="E81" s="204" t="s">
        <v>151</v>
      </c>
      <c r="F81" s="202" t="s">
        <v>151</v>
      </c>
      <c r="G81" s="202" t="s">
        <v>151</v>
      </c>
      <c r="H81" s="202" t="s">
        <v>151</v>
      </c>
      <c r="I81" s="202" t="s">
        <v>349</v>
      </c>
      <c r="J81" s="19" t="s">
        <v>358</v>
      </c>
      <c r="K81" s="198" t="s">
        <v>153</v>
      </c>
    </row>
    <row r="82" spans="1:11" s="17" customFormat="1" x14ac:dyDescent="0.2">
      <c r="A82" s="227" t="s">
        <v>360</v>
      </c>
      <c r="B82" s="202" t="s">
        <v>360</v>
      </c>
      <c r="C82" s="19" t="s">
        <v>127</v>
      </c>
      <c r="D82" s="228">
        <f>c_stk_tree</f>
        <v>18576.442974967726</v>
      </c>
      <c r="E82" s="204" t="s">
        <v>151</v>
      </c>
      <c r="F82" s="202" t="s">
        <v>151</v>
      </c>
      <c r="G82" s="202" t="s">
        <v>151</v>
      </c>
      <c r="H82" s="202" t="s">
        <v>151</v>
      </c>
      <c r="I82" s="202" t="s">
        <v>349</v>
      </c>
      <c r="J82" s="19" t="s">
        <v>358</v>
      </c>
      <c r="K82" s="198" t="s">
        <v>153</v>
      </c>
    </row>
    <row r="83" spans="1:11" s="17" customFormat="1" x14ac:dyDescent="0.2">
      <c r="A83" s="227" t="s">
        <v>361</v>
      </c>
      <c r="B83" s="202" t="s">
        <v>361</v>
      </c>
      <c r="C83" s="19" t="s">
        <v>127</v>
      </c>
      <c r="D83" s="228">
        <f>c_dead_tree</f>
        <v>1427.1713079498984</v>
      </c>
      <c r="E83" s="204" t="s">
        <v>151</v>
      </c>
      <c r="F83" s="202" t="s">
        <v>151</v>
      </c>
      <c r="G83" s="202" t="s">
        <v>151</v>
      </c>
      <c r="H83" s="202" t="s">
        <v>151</v>
      </c>
      <c r="I83" s="202" t="s">
        <v>349</v>
      </c>
      <c r="J83" s="19" t="s">
        <v>358</v>
      </c>
      <c r="K83" s="198" t="s">
        <v>153</v>
      </c>
    </row>
    <row r="84" spans="1:11" s="17" customFormat="1" x14ac:dyDescent="0.2">
      <c r="A84" s="227" t="s">
        <v>362</v>
      </c>
      <c r="B84" s="202" t="s">
        <v>363</v>
      </c>
      <c r="C84" s="19" t="s">
        <v>127</v>
      </c>
      <c r="D84" s="228">
        <f>c_min_bleed</f>
        <v>215</v>
      </c>
      <c r="E84" s="204" t="s">
        <v>151</v>
      </c>
      <c r="F84" s="202" t="s">
        <v>151</v>
      </c>
      <c r="G84" s="202" t="s">
        <v>151</v>
      </c>
      <c r="H84" s="202" t="s">
        <v>151</v>
      </c>
      <c r="I84" s="202" t="s">
        <v>349</v>
      </c>
      <c r="J84" s="19" t="s">
        <v>358</v>
      </c>
      <c r="K84" s="198" t="s">
        <v>153</v>
      </c>
    </row>
    <row r="85" spans="1:11" s="17" customFormat="1" x14ac:dyDescent="0.2">
      <c r="A85" s="227" t="s">
        <v>364</v>
      </c>
      <c r="B85" s="202" t="s">
        <v>365</v>
      </c>
      <c r="C85" s="19" t="s">
        <v>127</v>
      </c>
      <c r="D85" s="228">
        <f>c_maj_bleed</f>
        <v>2388.8012902757291</v>
      </c>
      <c r="E85" s="204" t="s">
        <v>151</v>
      </c>
      <c r="F85" s="202" t="s">
        <v>151</v>
      </c>
      <c r="G85" s="202" t="s">
        <v>151</v>
      </c>
      <c r="H85" s="202" t="s">
        <v>151</v>
      </c>
      <c r="I85" s="202" t="s">
        <v>349</v>
      </c>
      <c r="J85" s="19" t="s">
        <v>358</v>
      </c>
      <c r="K85" s="198" t="s">
        <v>153</v>
      </c>
    </row>
    <row r="86" spans="1:11" s="17" customFormat="1" x14ac:dyDescent="0.2">
      <c r="A86" s="227" t="s">
        <v>366</v>
      </c>
      <c r="B86" s="202" t="s">
        <v>367</v>
      </c>
      <c r="C86" s="19" t="s">
        <v>127</v>
      </c>
      <c r="D86" s="228">
        <f>(prob_maj_bleed_ac*c_maj_bleed)+(prob_min_bleed_ac*c_min_bleed)</f>
        <v>60.099970708562353</v>
      </c>
      <c r="E86" s="204" t="s">
        <v>151</v>
      </c>
      <c r="F86" s="202"/>
      <c r="G86" s="202"/>
      <c r="H86" s="202"/>
      <c r="I86" s="202" t="s">
        <v>349</v>
      </c>
      <c r="J86" s="19" t="s">
        <v>358</v>
      </c>
      <c r="K86" s="198" t="s">
        <v>153</v>
      </c>
    </row>
    <row r="87" spans="1:11" s="17" customFormat="1" x14ac:dyDescent="0.2">
      <c r="A87" s="227" t="s">
        <v>368</v>
      </c>
      <c r="B87" s="202" t="s">
        <v>369</v>
      </c>
      <c r="C87" s="19" t="s">
        <v>127</v>
      </c>
      <c r="D87" s="228">
        <f>(prob_maj_bleed_at*c_maj_bleed)+(prob_min_bleed_at*c_min_bleed)</f>
        <v>63.494367323255986</v>
      </c>
      <c r="E87" s="204" t="s">
        <v>151</v>
      </c>
      <c r="F87" s="202"/>
      <c r="G87" s="202"/>
      <c r="H87" s="202"/>
      <c r="I87" s="202" t="s">
        <v>349</v>
      </c>
      <c r="J87" s="19" t="s">
        <v>358</v>
      </c>
      <c r="K87" s="198" t="s">
        <v>153</v>
      </c>
    </row>
    <row r="88" spans="1:11" s="17" customFormat="1" x14ac:dyDescent="0.2">
      <c r="A88" s="227" t="s">
        <v>370</v>
      </c>
      <c r="B88" s="202" t="s">
        <v>371</v>
      </c>
      <c r="C88" s="19" t="s">
        <v>127</v>
      </c>
      <c r="D88" s="228">
        <f>(prob_maj_bleed_ap*c_maj_bleed)+(prob_min_bleed_ap*c_min_bleed)</f>
        <v>87.090265158032764</v>
      </c>
      <c r="E88" s="204" t="s">
        <v>151</v>
      </c>
      <c r="F88" s="202"/>
      <c r="G88" s="202"/>
      <c r="H88" s="202"/>
      <c r="I88" s="202" t="s">
        <v>349</v>
      </c>
      <c r="J88" s="19" t="s">
        <v>358</v>
      </c>
      <c r="K88" s="198" t="s">
        <v>153</v>
      </c>
    </row>
    <row r="89" spans="1:11" ht="8.5" customHeight="1" x14ac:dyDescent="0.2">
      <c r="A89" s="166"/>
      <c r="D89" s="61"/>
      <c r="E89" s="84"/>
    </row>
    <row r="90" spans="1:11" s="17" customFormat="1" x14ac:dyDescent="0.2">
      <c r="A90" s="227" t="s">
        <v>372</v>
      </c>
      <c r="B90" s="202" t="s">
        <v>373</v>
      </c>
      <c r="C90" s="19" t="s">
        <v>127</v>
      </c>
      <c r="D90" s="228">
        <f>c_noevent_markov</f>
        <v>1152.2453282506456</v>
      </c>
      <c r="E90" s="204" t="s">
        <v>151</v>
      </c>
      <c r="F90" s="202" t="s">
        <v>151</v>
      </c>
      <c r="G90" s="202" t="s">
        <v>151</v>
      </c>
      <c r="H90" s="202" t="s">
        <v>151</v>
      </c>
      <c r="I90" s="202" t="s">
        <v>349</v>
      </c>
      <c r="J90" s="19" t="s">
        <v>358</v>
      </c>
      <c r="K90" s="198" t="s">
        <v>153</v>
      </c>
    </row>
    <row r="91" spans="1:11" s="17" customFormat="1" x14ac:dyDescent="0.2">
      <c r="A91" s="227" t="s">
        <v>374</v>
      </c>
      <c r="B91" s="202" t="s">
        <v>374</v>
      </c>
      <c r="C91" s="19" t="s">
        <v>127</v>
      </c>
      <c r="D91" s="228">
        <f>c_stk_mkv</f>
        <v>22631.90664884248</v>
      </c>
      <c r="E91" s="204" t="s">
        <v>151</v>
      </c>
      <c r="F91" s="202" t="s">
        <v>151</v>
      </c>
      <c r="G91" s="202" t="s">
        <v>151</v>
      </c>
      <c r="H91" s="202" t="s">
        <v>151</v>
      </c>
      <c r="I91" s="202" t="s">
        <v>349</v>
      </c>
      <c r="J91" s="19" t="s">
        <v>358</v>
      </c>
      <c r="K91" s="198" t="s">
        <v>153</v>
      </c>
    </row>
    <row r="92" spans="1:11" s="17" customFormat="1" x14ac:dyDescent="0.2">
      <c r="A92" s="227" t="s">
        <v>375</v>
      </c>
      <c r="B92" s="202" t="s">
        <v>376</v>
      </c>
      <c r="C92" s="19" t="s">
        <v>127</v>
      </c>
      <c r="D92" s="228">
        <f>c_post_stk_mkv</f>
        <v>8035.1699666768254</v>
      </c>
      <c r="E92" s="204" t="s">
        <v>151</v>
      </c>
      <c r="F92" s="202" t="s">
        <v>151</v>
      </c>
      <c r="G92" s="202" t="s">
        <v>151</v>
      </c>
      <c r="H92" s="202" t="s">
        <v>151</v>
      </c>
      <c r="I92" s="202" t="s">
        <v>349</v>
      </c>
      <c r="J92" s="19" t="s">
        <v>358</v>
      </c>
      <c r="K92" s="198" t="s">
        <v>153</v>
      </c>
    </row>
    <row r="93" spans="1:11" s="17" customFormat="1" x14ac:dyDescent="0.2">
      <c r="A93" s="227" t="s">
        <v>377</v>
      </c>
      <c r="B93" s="202" t="s">
        <v>377</v>
      </c>
      <c r="C93" s="19" t="s">
        <v>127</v>
      </c>
      <c r="D93" s="228">
        <f>c_rinfar_mkv</f>
        <v>6236.5431128221589</v>
      </c>
      <c r="E93" s="204" t="s">
        <v>151</v>
      </c>
      <c r="F93" s="202" t="s">
        <v>151</v>
      </c>
      <c r="G93" s="202" t="s">
        <v>151</v>
      </c>
      <c r="H93" s="202" t="s">
        <v>151</v>
      </c>
      <c r="I93" s="202" t="s">
        <v>349</v>
      </c>
      <c r="J93" s="19" t="s">
        <v>358</v>
      </c>
      <c r="K93" s="198" t="s">
        <v>153</v>
      </c>
    </row>
    <row r="94" spans="1:11" s="17" customFormat="1" x14ac:dyDescent="0.2">
      <c r="A94" s="227" t="s">
        <v>378</v>
      </c>
      <c r="B94" s="202" t="s">
        <v>379</v>
      </c>
      <c r="C94" s="19" t="s">
        <v>127</v>
      </c>
      <c r="D94" s="228">
        <f>c_post_rinfar_mkv</f>
        <v>1728.9789389975226</v>
      </c>
      <c r="E94" s="204" t="s">
        <v>151</v>
      </c>
      <c r="F94" s="202" t="s">
        <v>151</v>
      </c>
      <c r="G94" s="202" t="s">
        <v>151</v>
      </c>
      <c r="H94" s="202" t="s">
        <v>151</v>
      </c>
      <c r="I94" s="202" t="s">
        <v>349</v>
      </c>
      <c r="J94" s="19" t="s">
        <v>358</v>
      </c>
      <c r="K94" s="198" t="s">
        <v>153</v>
      </c>
    </row>
    <row r="95" spans="1:11" ht="9" customHeight="1" x14ac:dyDescent="0.2">
      <c r="B95" s="21"/>
      <c r="D95" s="1"/>
      <c r="E95" s="84"/>
      <c r="F95" s="21"/>
      <c r="G95" s="21"/>
      <c r="H95" s="21"/>
    </row>
    <row r="96" spans="1:11" s="17" customFormat="1" x14ac:dyDescent="0.2">
      <c r="A96" s="235" t="s">
        <v>380</v>
      </c>
      <c r="B96" s="202" t="s">
        <v>381</v>
      </c>
      <c r="C96" s="19" t="s">
        <v>151</v>
      </c>
      <c r="D96" s="236">
        <v>3.5000000000000003E-2</v>
      </c>
      <c r="E96" s="204" t="s">
        <v>151</v>
      </c>
      <c r="F96" s="202" t="s">
        <v>151</v>
      </c>
      <c r="G96" s="202" t="s">
        <v>151</v>
      </c>
      <c r="H96" s="202" t="s">
        <v>151</v>
      </c>
      <c r="I96" s="202"/>
      <c r="J96" s="19" t="s">
        <v>382</v>
      </c>
      <c r="K96" s="209" t="s">
        <v>324</v>
      </c>
    </row>
    <row r="97" spans="1:11" s="17" customFormat="1" x14ac:dyDescent="0.2">
      <c r="A97" s="235" t="s">
        <v>383</v>
      </c>
      <c r="B97" s="202" t="s">
        <v>384</v>
      </c>
      <c r="C97" s="19" t="s">
        <v>151</v>
      </c>
      <c r="D97" s="236">
        <v>3.5000000000000003E-2</v>
      </c>
      <c r="E97" s="204" t="s">
        <v>151</v>
      </c>
      <c r="F97" s="202" t="s">
        <v>151</v>
      </c>
      <c r="G97" s="202" t="s">
        <v>151</v>
      </c>
      <c r="H97" s="202" t="s">
        <v>151</v>
      </c>
      <c r="I97" s="202"/>
      <c r="J97" s="19" t="s">
        <v>385</v>
      </c>
      <c r="K97" s="209" t="s">
        <v>324</v>
      </c>
    </row>
    <row r="98" spans="1:11" s="17" customFormat="1" x14ac:dyDescent="0.2">
      <c r="A98" s="227" t="s">
        <v>386</v>
      </c>
      <c r="B98" s="17" t="s">
        <v>387</v>
      </c>
      <c r="C98" s="19"/>
      <c r="D98" s="228">
        <v>20000</v>
      </c>
      <c r="E98" s="204" t="s">
        <v>151</v>
      </c>
      <c r="F98" s="202" t="s">
        <v>151</v>
      </c>
      <c r="G98" s="202" t="s">
        <v>151</v>
      </c>
      <c r="H98" s="202" t="s">
        <v>151</v>
      </c>
      <c r="I98" s="202"/>
      <c r="J98" s="19" t="s">
        <v>388</v>
      </c>
      <c r="K98" s="209" t="s">
        <v>324</v>
      </c>
    </row>
    <row r="99" spans="1:11" ht="11.5" customHeight="1" x14ac:dyDescent="0.2">
      <c r="A99" s="55"/>
    </row>
    <row r="100" spans="1:11" s="17" customFormat="1" x14ac:dyDescent="0.2">
      <c r="A100" s="237" t="s">
        <v>389</v>
      </c>
      <c r="B100" s="17" t="s">
        <v>390</v>
      </c>
      <c r="C100" s="19" t="s">
        <v>302</v>
      </c>
      <c r="D100" s="238">
        <f>or_dead_tica_clop</f>
        <v>0.77</v>
      </c>
      <c r="E100" s="215">
        <v>4012</v>
      </c>
      <c r="F100" s="212">
        <v>6.5772731964821363E-2</v>
      </c>
      <c r="G100" s="238">
        <v>0.68</v>
      </c>
      <c r="H100" s="238">
        <v>0.88</v>
      </c>
      <c r="I100" s="212" t="s">
        <v>303</v>
      </c>
      <c r="J100" s="19" t="s">
        <v>202</v>
      </c>
      <c r="K100" s="198" t="s">
        <v>153</v>
      </c>
    </row>
    <row r="101" spans="1:11" s="17" customFormat="1" x14ac:dyDescent="0.2">
      <c r="A101" s="237" t="s">
        <v>391</v>
      </c>
      <c r="B101" s="17" t="s">
        <v>392</v>
      </c>
      <c r="C101" s="19" t="s">
        <v>302</v>
      </c>
      <c r="D101" s="238">
        <f>or_mi_tica_clop</f>
        <v>0.82</v>
      </c>
      <c r="E101" s="215">
        <v>4237</v>
      </c>
      <c r="F101" s="212">
        <v>5.901253466853297E-2</v>
      </c>
      <c r="G101" s="238">
        <v>0.73</v>
      </c>
      <c r="H101" s="238">
        <v>0.92</v>
      </c>
      <c r="I101" s="212" t="s">
        <v>303</v>
      </c>
      <c r="J101" s="19" t="s">
        <v>202</v>
      </c>
      <c r="K101" s="198" t="s">
        <v>153</v>
      </c>
    </row>
    <row r="102" spans="1:11" s="17" customFormat="1" x14ac:dyDescent="0.2">
      <c r="A102" s="237" t="s">
        <v>393</v>
      </c>
      <c r="B102" s="17" t="s">
        <v>394</v>
      </c>
      <c r="C102" s="19" t="s">
        <v>302</v>
      </c>
      <c r="D102" s="238">
        <f>or_stk_tica_clop</f>
        <v>1.1299999999999999</v>
      </c>
      <c r="E102" s="215">
        <v>4387</v>
      </c>
      <c r="F102" s="212">
        <v>0.12274921679690325</v>
      </c>
      <c r="G102" s="238">
        <v>0.89</v>
      </c>
      <c r="H102" s="238">
        <v>1.44</v>
      </c>
      <c r="I102" s="212" t="s">
        <v>303</v>
      </c>
      <c r="J102" s="19" t="s">
        <v>202</v>
      </c>
      <c r="K102" s="198" t="s">
        <v>153</v>
      </c>
    </row>
    <row r="103" spans="1:11" s="17" customFormat="1" x14ac:dyDescent="0.2">
      <c r="A103" s="237" t="s">
        <v>395</v>
      </c>
      <c r="B103" s="17" t="s">
        <v>396</v>
      </c>
      <c r="C103" s="19" t="s">
        <v>302</v>
      </c>
      <c r="D103" s="238">
        <f>or_maj_bleed__tica_clop</f>
        <v>1.04</v>
      </c>
      <c r="E103" s="215">
        <v>4387</v>
      </c>
      <c r="F103" s="212">
        <v>4.6510601222947597E-2</v>
      </c>
      <c r="G103" s="238">
        <v>0.95</v>
      </c>
      <c r="H103" s="238">
        <v>1.1399999999999999</v>
      </c>
      <c r="I103" s="212" t="s">
        <v>303</v>
      </c>
      <c r="J103" s="19" t="s">
        <v>202</v>
      </c>
      <c r="K103" s="198" t="s">
        <v>153</v>
      </c>
    </row>
    <row r="104" spans="1:11" s="17" customFormat="1" x14ac:dyDescent="0.2">
      <c r="A104" s="239" t="s">
        <v>397</v>
      </c>
      <c r="B104" s="17" t="s">
        <v>398</v>
      </c>
      <c r="C104" s="19" t="s">
        <v>302</v>
      </c>
      <c r="D104" s="240">
        <f>or_min_bleed_tica_clop</f>
        <v>1.37</v>
      </c>
      <c r="E104" s="215">
        <v>4387</v>
      </c>
      <c r="F104" s="212">
        <v>7.0694467407341519E-2</v>
      </c>
      <c r="G104" s="240">
        <v>1.19</v>
      </c>
      <c r="H104" s="240">
        <v>1.57</v>
      </c>
      <c r="I104" s="212" t="s">
        <v>303</v>
      </c>
      <c r="J104" s="19" t="s">
        <v>202</v>
      </c>
      <c r="K104" s="198" t="s">
        <v>153</v>
      </c>
    </row>
    <row r="105" spans="1:11" ht="8" customHeight="1" x14ac:dyDescent="0.2">
      <c r="A105" s="55"/>
      <c r="I105" s="1"/>
    </row>
    <row r="106" spans="1:11" s="17" customFormat="1" x14ac:dyDescent="0.2">
      <c r="A106" s="237" t="s">
        <v>399</v>
      </c>
      <c r="B106" s="17" t="s">
        <v>400</v>
      </c>
      <c r="C106" s="19" t="s">
        <v>302</v>
      </c>
      <c r="D106" s="238">
        <f>or_dead_pras_clop</f>
        <v>1</v>
      </c>
      <c r="E106" s="215">
        <v>1769</v>
      </c>
      <c r="F106" s="204">
        <v>9.616069841840387E-2</v>
      </c>
      <c r="G106" s="238">
        <v>0.83</v>
      </c>
      <c r="H106" s="238">
        <v>1.21</v>
      </c>
      <c r="I106" s="212" t="s">
        <v>303</v>
      </c>
      <c r="J106" s="19" t="s">
        <v>202</v>
      </c>
      <c r="K106" s="198" t="s">
        <v>153</v>
      </c>
    </row>
    <row r="107" spans="1:11" s="17" customFormat="1" x14ac:dyDescent="0.2">
      <c r="A107" s="237" t="s">
        <v>401</v>
      </c>
      <c r="B107" s="17" t="s">
        <v>402</v>
      </c>
      <c r="C107" s="19" t="s">
        <v>302</v>
      </c>
      <c r="D107" s="238">
        <f>or_mi_pras_clop</f>
        <v>0.75</v>
      </c>
      <c r="E107" s="215">
        <v>1769</v>
      </c>
      <c r="F107" s="204">
        <v>6.1520932861451015E-2</v>
      </c>
      <c r="G107" s="238">
        <v>0.66</v>
      </c>
      <c r="H107" s="238">
        <v>0.84</v>
      </c>
      <c r="I107" s="212" t="s">
        <v>303</v>
      </c>
      <c r="J107" s="19" t="s">
        <v>202</v>
      </c>
      <c r="K107" s="198" t="s">
        <v>153</v>
      </c>
    </row>
    <row r="108" spans="1:11" s="17" customFormat="1" x14ac:dyDescent="0.2">
      <c r="A108" s="237" t="s">
        <v>403</v>
      </c>
      <c r="B108" s="17" t="s">
        <v>404</v>
      </c>
      <c r="C108" s="19" t="s">
        <v>302</v>
      </c>
      <c r="D108" s="238">
        <f>or_stk_pras_clop</f>
        <v>0.93</v>
      </c>
      <c r="E108" s="215">
        <v>1769</v>
      </c>
      <c r="F108" s="204">
        <v>0.16909230384301435</v>
      </c>
      <c r="G108" s="238">
        <v>0.67</v>
      </c>
      <c r="H108" s="238">
        <v>1.3</v>
      </c>
      <c r="I108" s="212" t="s">
        <v>303</v>
      </c>
      <c r="J108" s="19" t="s">
        <v>202</v>
      </c>
      <c r="K108" s="198" t="s">
        <v>153</v>
      </c>
    </row>
    <row r="109" spans="1:11" s="17" customFormat="1" x14ac:dyDescent="0.2">
      <c r="A109" s="237" t="s">
        <v>405</v>
      </c>
      <c r="B109" s="17" t="s">
        <v>406</v>
      </c>
      <c r="C109" s="19" t="s">
        <v>302</v>
      </c>
      <c r="D109" s="238">
        <f>or_maj_bleed_pras_clop</f>
        <v>1.43</v>
      </c>
      <c r="E109" s="215">
        <v>1023</v>
      </c>
      <c r="F109" s="204">
        <v>0.11509881567506626</v>
      </c>
      <c r="G109" s="238">
        <v>1.1399999999999999</v>
      </c>
      <c r="H109" s="238">
        <v>1.79</v>
      </c>
      <c r="I109" s="212" t="s">
        <v>303</v>
      </c>
      <c r="J109" s="19" t="s">
        <v>202</v>
      </c>
      <c r="K109" s="198" t="s">
        <v>153</v>
      </c>
    </row>
    <row r="110" spans="1:11" s="17" customFormat="1" x14ac:dyDescent="0.2">
      <c r="A110" s="239" t="s">
        <v>407</v>
      </c>
      <c r="B110" s="17" t="s">
        <v>408</v>
      </c>
      <c r="C110" s="19" t="s">
        <v>302</v>
      </c>
      <c r="D110" s="240">
        <f>or_min_bleed_pras_clop</f>
        <v>2.0699999999999998</v>
      </c>
      <c r="E110" s="215">
        <v>1023</v>
      </c>
      <c r="F110" s="204">
        <v>0.43646104811336311</v>
      </c>
      <c r="G110" s="240">
        <v>0.88</v>
      </c>
      <c r="H110" s="240">
        <v>4.87</v>
      </c>
      <c r="I110" s="212" t="s">
        <v>303</v>
      </c>
      <c r="J110" s="19" t="s">
        <v>202</v>
      </c>
      <c r="K110" s="198" t="s">
        <v>153</v>
      </c>
    </row>
    <row r="111" spans="1:11" ht="7.5" customHeight="1" x14ac:dyDescent="0.2">
      <c r="A111" s="55"/>
      <c r="I111" s="1"/>
    </row>
    <row r="112" spans="1:11" s="17" customFormat="1" x14ac:dyDescent="0.2">
      <c r="A112" s="223" t="s">
        <v>409</v>
      </c>
      <c r="B112" s="17" t="s">
        <v>410</v>
      </c>
      <c r="C112" s="19" t="s">
        <v>302</v>
      </c>
      <c r="D112" s="208">
        <v>1</v>
      </c>
      <c r="E112" s="215">
        <v>3554</v>
      </c>
      <c r="F112" s="204">
        <f>(LN(H112)-LN(G112))/(2*1.96)</f>
        <v>0.11384875067051517</v>
      </c>
      <c r="G112" s="196">
        <v>0.8</v>
      </c>
      <c r="H112" s="196">
        <v>1.25</v>
      </c>
      <c r="I112" s="212" t="s">
        <v>303</v>
      </c>
      <c r="J112" s="19" t="s">
        <v>411</v>
      </c>
      <c r="K112" s="17" t="s">
        <v>237</v>
      </c>
    </row>
    <row r="113" spans="1:11" s="17" customFormat="1" x14ac:dyDescent="0.2">
      <c r="A113" s="223" t="s">
        <v>412</v>
      </c>
      <c r="B113" s="17" t="s">
        <v>413</v>
      </c>
      <c r="C113" s="19" t="s">
        <v>302</v>
      </c>
      <c r="D113" s="208">
        <v>1</v>
      </c>
      <c r="E113" s="215">
        <v>3554</v>
      </c>
      <c r="F113" s="204">
        <f>(LN(H113)-LN(G113))/(2*1.96)</f>
        <v>0.11384875067051517</v>
      </c>
      <c r="G113" s="196">
        <v>0.8</v>
      </c>
      <c r="H113" s="196">
        <v>1.25</v>
      </c>
      <c r="I113" s="212" t="s">
        <v>303</v>
      </c>
      <c r="J113" s="19" t="s">
        <v>411</v>
      </c>
      <c r="K113" s="17" t="s">
        <v>237</v>
      </c>
    </row>
    <row r="114" spans="1:11" s="17" customFormat="1" x14ac:dyDescent="0.2">
      <c r="A114" s="223" t="s">
        <v>414</v>
      </c>
      <c r="B114" s="17" t="s">
        <v>415</v>
      </c>
      <c r="C114" s="19" t="s">
        <v>302</v>
      </c>
      <c r="D114" s="208">
        <f>rr_stk_ac_nlof</f>
        <v>1</v>
      </c>
      <c r="E114" s="215">
        <v>3554</v>
      </c>
      <c r="F114" s="204">
        <f>(LN(H114)-LN(G114))/(2*1.96)</f>
        <v>0.11384875067051517</v>
      </c>
      <c r="G114" s="196">
        <v>0.8</v>
      </c>
      <c r="H114" s="196">
        <v>1.25</v>
      </c>
      <c r="I114" s="212" t="s">
        <v>303</v>
      </c>
      <c r="J114" s="19" t="s">
        <v>411</v>
      </c>
      <c r="K114" s="17" t="s">
        <v>237</v>
      </c>
    </row>
    <row r="115" spans="1:11" s="17" customFormat="1" x14ac:dyDescent="0.2">
      <c r="A115" s="17" t="s">
        <v>416</v>
      </c>
      <c r="B115" s="17" t="s">
        <v>417</v>
      </c>
      <c r="C115" s="19" t="s">
        <v>302</v>
      </c>
      <c r="D115" s="208">
        <v>1</v>
      </c>
      <c r="E115" s="215">
        <v>1023</v>
      </c>
      <c r="F115" s="204">
        <f>(LN(H115)-LN(G115))/(2*1.96)</f>
        <v>7.7112467314523869E-2</v>
      </c>
      <c r="G115" s="196">
        <v>0.85</v>
      </c>
      <c r="H115" s="196">
        <v>1.1499999999999999</v>
      </c>
      <c r="I115" s="212" t="s">
        <v>303</v>
      </c>
      <c r="J115" s="19" t="s">
        <v>411</v>
      </c>
      <c r="K115" s="17" t="s">
        <v>237</v>
      </c>
    </row>
    <row r="116" spans="1:11" s="17" customFormat="1" x14ac:dyDescent="0.2">
      <c r="A116" s="17" t="s">
        <v>418</v>
      </c>
      <c r="B116" s="17" t="s">
        <v>419</v>
      </c>
      <c r="C116" s="19" t="s">
        <v>302</v>
      </c>
      <c r="D116" s="208">
        <v>1</v>
      </c>
      <c r="E116" s="215">
        <v>1023</v>
      </c>
      <c r="F116" s="204">
        <f>(LN(H116)-LN(G116))/(2*1.96)</f>
        <v>7.7112467314523869E-2</v>
      </c>
      <c r="G116" s="196">
        <v>0.85</v>
      </c>
      <c r="H116" s="196">
        <v>1.1499999999999999</v>
      </c>
      <c r="I116" s="212" t="s">
        <v>303</v>
      </c>
      <c r="J116" s="19" t="s">
        <v>411</v>
      </c>
      <c r="K116" s="17" t="s">
        <v>237</v>
      </c>
    </row>
    <row r="117" spans="1:11" ht="8" customHeight="1" x14ac:dyDescent="0.2">
      <c r="I117" s="1"/>
    </row>
    <row r="118" spans="1:11" s="17" customFormat="1" x14ac:dyDescent="0.2">
      <c r="A118" s="223" t="s">
        <v>420</v>
      </c>
      <c r="B118" s="17" t="s">
        <v>421</v>
      </c>
      <c r="C118" s="19" t="s">
        <v>170</v>
      </c>
      <c r="D118" s="236">
        <v>7.85E-2</v>
      </c>
      <c r="E118" s="204">
        <v>4387</v>
      </c>
      <c r="F118" s="241">
        <f>SQRT(prob_dys_ac * (1 - prob_dys_ac) / E118)</f>
        <v>4.0606792004202674E-3</v>
      </c>
      <c r="G118" s="241">
        <f>prob_dys_ac-(1.96*F118)</f>
        <v>7.0541068767176279E-2</v>
      </c>
      <c r="H118" s="241">
        <f>prob_dys_ac+(1.96*G118)</f>
        <v>0.21676049478366549</v>
      </c>
      <c r="I118" s="212" t="s">
        <v>303</v>
      </c>
      <c r="J118" s="19" t="s">
        <v>202</v>
      </c>
      <c r="K118" s="198" t="s">
        <v>153</v>
      </c>
    </row>
    <row r="119" spans="1:11" s="17" customFormat="1" x14ac:dyDescent="0.2">
      <c r="A119" s="223" t="s">
        <v>422</v>
      </c>
      <c r="B119" s="17" t="s">
        <v>423</v>
      </c>
      <c r="C119" s="19" t="s">
        <v>170</v>
      </c>
      <c r="D119" s="204">
        <f xml:space="preserve"> (or_dys_at_ac * prob_dys_ac) / (1 - prob_dys_ac + (or_dys_at_ac * prob_dys_ac))</f>
        <v>0.13102518282419173</v>
      </c>
      <c r="E119" s="204">
        <v>4387</v>
      </c>
      <c r="F119" s="210">
        <f>(H119-G119)/2*1.96</f>
        <v>2.963236612375679E-2</v>
      </c>
      <c r="G119" s="241">
        <f>(((prob_dys_ac/(1-prob_dys_ac)))*G121)/(1+(((prob_dys_ac/(1-prob_dys_ac)))*G121))</f>
        <v>0.12126789171045228</v>
      </c>
      <c r="H119" s="241">
        <f>(((prob_dys_ac/(1-prob_dys_ac)))*H121)/(1+(((prob_dys_ac/(1-prob_dys_ac)))))</f>
        <v>0.15150500000000003</v>
      </c>
      <c r="I119" s="212" t="s">
        <v>303</v>
      </c>
      <c r="J119" s="19" t="s">
        <v>202</v>
      </c>
      <c r="K119" s="198" t="s">
        <v>153</v>
      </c>
    </row>
    <row r="120" spans="1:11" s="17" customFormat="1" x14ac:dyDescent="0.2">
      <c r="A120" s="223" t="s">
        <v>424</v>
      </c>
      <c r="B120" s="17" t="s">
        <v>425</v>
      </c>
      <c r="C120" s="19" t="s">
        <v>170</v>
      </c>
      <c r="D120" s="236">
        <v>7.85E-2</v>
      </c>
      <c r="E120" s="204">
        <v>4387</v>
      </c>
      <c r="F120" s="241">
        <f>SQRT(prob_dys_ac * (1 - prob_dys_ac) / E120)</f>
        <v>4.0606792004202674E-3</v>
      </c>
      <c r="G120" s="241">
        <f>prob_dys_ac-(1.96*F120)</f>
        <v>7.0541068767176279E-2</v>
      </c>
      <c r="H120" s="241">
        <f>prob_dys_ac+(1.96*G120)</f>
        <v>0.21676049478366549</v>
      </c>
      <c r="I120" s="212" t="s">
        <v>303</v>
      </c>
      <c r="J120" s="19" t="s">
        <v>202</v>
      </c>
      <c r="K120" s="198" t="s">
        <v>153</v>
      </c>
    </row>
    <row r="121" spans="1:11" s="17" customFormat="1" x14ac:dyDescent="0.2">
      <c r="A121" s="17" t="s">
        <v>426</v>
      </c>
      <c r="B121" s="17" t="s">
        <v>427</v>
      </c>
      <c r="C121" s="19" t="s">
        <v>302</v>
      </c>
      <c r="D121" s="19">
        <v>1.77</v>
      </c>
      <c r="E121" s="204">
        <v>4387</v>
      </c>
      <c r="F121" s="196" t="s">
        <v>151</v>
      </c>
      <c r="G121" s="196">
        <v>1.62</v>
      </c>
      <c r="H121" s="196">
        <v>1.93</v>
      </c>
      <c r="I121" s="212" t="s">
        <v>303</v>
      </c>
      <c r="J121" s="19" t="s">
        <v>202</v>
      </c>
      <c r="K121" s="198" t="s">
        <v>153</v>
      </c>
    </row>
    <row r="122" spans="1:11" ht="7.5" customHeight="1" x14ac:dyDescent="0.2"/>
    <row r="123" spans="1:11" s="17" customFormat="1" x14ac:dyDescent="0.2">
      <c r="A123" s="202" t="s">
        <v>428</v>
      </c>
      <c r="B123" s="202" t="s">
        <v>429</v>
      </c>
      <c r="C123" s="202" t="s">
        <v>127</v>
      </c>
      <c r="D123" s="228">
        <v>44.5</v>
      </c>
      <c r="E123" s="208" t="s">
        <v>151</v>
      </c>
      <c r="F123" s="208" t="s">
        <v>151</v>
      </c>
      <c r="G123" s="208" t="s">
        <v>151</v>
      </c>
      <c r="H123" s="208" t="s">
        <v>151</v>
      </c>
      <c r="I123" s="19" t="s">
        <v>349</v>
      </c>
      <c r="J123" s="19" t="s">
        <v>202</v>
      </c>
      <c r="K123" s="198" t="s">
        <v>153</v>
      </c>
    </row>
    <row r="124" spans="1:11" s="17" customFormat="1" x14ac:dyDescent="0.2">
      <c r="A124" s="202" t="s">
        <v>430</v>
      </c>
      <c r="B124" s="202" t="s">
        <v>431</v>
      </c>
      <c r="C124" s="202" t="s">
        <v>127</v>
      </c>
      <c r="D124" s="228">
        <f>c_dys_pp*prob_dys_ac</f>
        <v>3.4932500000000002</v>
      </c>
      <c r="E124" s="208" t="s">
        <v>151</v>
      </c>
      <c r="F124" s="208" t="s">
        <v>151</v>
      </c>
      <c r="G124" s="208" t="s">
        <v>151</v>
      </c>
      <c r="H124" s="208" t="s">
        <v>151</v>
      </c>
      <c r="I124" s="19" t="s">
        <v>349</v>
      </c>
      <c r="J124" s="19" t="s">
        <v>202</v>
      </c>
      <c r="K124" s="198" t="s">
        <v>153</v>
      </c>
    </row>
    <row r="125" spans="1:11" s="17" customFormat="1" x14ac:dyDescent="0.2">
      <c r="A125" s="202" t="s">
        <v>432</v>
      </c>
      <c r="B125" s="202" t="s">
        <v>433</v>
      </c>
      <c r="C125" s="202" t="s">
        <v>127</v>
      </c>
      <c r="D125" s="228">
        <f>c_dys_pp*prob_dys_at</f>
        <v>5.8306206356765324</v>
      </c>
      <c r="E125" s="208" t="s">
        <v>151</v>
      </c>
      <c r="F125" s="208" t="s">
        <v>151</v>
      </c>
      <c r="G125" s="208" t="s">
        <v>151</v>
      </c>
      <c r="H125" s="208" t="s">
        <v>151</v>
      </c>
      <c r="I125" s="19" t="s">
        <v>349</v>
      </c>
      <c r="J125" s="19" t="s">
        <v>202</v>
      </c>
      <c r="K125" s="198" t="s">
        <v>153</v>
      </c>
    </row>
    <row r="126" spans="1:11" s="17" customFormat="1" x14ac:dyDescent="0.2">
      <c r="A126" s="202" t="s">
        <v>434</v>
      </c>
      <c r="B126" s="202" t="s">
        <v>435</v>
      </c>
      <c r="C126" s="202" t="s">
        <v>127</v>
      </c>
      <c r="D126" s="228">
        <f>c_dys_pp*prob_dys_ap</f>
        <v>3.4932500000000002</v>
      </c>
      <c r="E126" s="208" t="s">
        <v>151</v>
      </c>
      <c r="F126" s="208" t="s">
        <v>151</v>
      </c>
      <c r="G126" s="208" t="s">
        <v>151</v>
      </c>
      <c r="H126" s="208" t="s">
        <v>151</v>
      </c>
      <c r="I126" s="19" t="s">
        <v>349</v>
      </c>
      <c r="J126" s="19" t="s">
        <v>202</v>
      </c>
      <c r="K126" s="198" t="s">
        <v>153</v>
      </c>
    </row>
    <row r="127" spans="1:11" ht="8" customHeight="1" x14ac:dyDescent="0.2">
      <c r="I127" s="1"/>
    </row>
    <row r="128" spans="1:11" s="17" customFormat="1" x14ac:dyDescent="0.2">
      <c r="A128" s="202" t="s">
        <v>436</v>
      </c>
      <c r="B128" s="202" t="s">
        <v>437</v>
      </c>
      <c r="C128" s="19"/>
      <c r="D128" s="19">
        <v>4.9000000000000002E-2</v>
      </c>
      <c r="E128" s="208" t="s">
        <v>151</v>
      </c>
      <c r="F128" s="208" t="s">
        <v>151</v>
      </c>
      <c r="G128" s="208" t="s">
        <v>151</v>
      </c>
      <c r="H128" s="208" t="s">
        <v>151</v>
      </c>
      <c r="I128" s="212" t="s">
        <v>264</v>
      </c>
      <c r="J128" s="19" t="s">
        <v>202</v>
      </c>
      <c r="K128" s="198" t="s">
        <v>153</v>
      </c>
    </row>
    <row r="129" spans="1:11" s="17" customFormat="1" x14ac:dyDescent="0.2">
      <c r="A129" s="202" t="s">
        <v>438</v>
      </c>
      <c r="B129" s="202" t="s">
        <v>439</v>
      </c>
      <c r="C129" s="19"/>
      <c r="D129" s="19">
        <v>30</v>
      </c>
      <c r="E129" s="208" t="s">
        <v>151</v>
      </c>
      <c r="F129" s="208" t="s">
        <v>151</v>
      </c>
      <c r="G129" s="208" t="s">
        <v>151</v>
      </c>
      <c r="H129" s="208" t="s">
        <v>151</v>
      </c>
      <c r="I129" s="212" t="s">
        <v>440</v>
      </c>
      <c r="J129" s="19" t="s">
        <v>202</v>
      </c>
      <c r="K129" s="198" t="s">
        <v>153</v>
      </c>
    </row>
    <row r="130" spans="1:11" s="17" customFormat="1" x14ac:dyDescent="0.2">
      <c r="A130" s="202" t="s">
        <v>441</v>
      </c>
      <c r="B130" s="202" t="s">
        <v>442</v>
      </c>
      <c r="C130" s="19"/>
      <c r="D130" s="241">
        <f>u_dec_dys*(duration_dys/365)*prob_dys_ac</f>
        <v>3.1615068493150687E-4</v>
      </c>
      <c r="E130" s="208" t="s">
        <v>151</v>
      </c>
      <c r="F130" s="208" t="s">
        <v>151</v>
      </c>
      <c r="G130" s="208" t="s">
        <v>151</v>
      </c>
      <c r="H130" s="208" t="s">
        <v>151</v>
      </c>
      <c r="I130" s="212" t="s">
        <v>264</v>
      </c>
      <c r="J130" s="19" t="s">
        <v>202</v>
      </c>
      <c r="K130" s="198" t="s">
        <v>153</v>
      </c>
    </row>
    <row r="131" spans="1:11" s="17" customFormat="1" x14ac:dyDescent="0.2">
      <c r="A131" s="202" t="s">
        <v>443</v>
      </c>
      <c r="B131" s="202" t="s">
        <v>444</v>
      </c>
      <c r="C131" s="19"/>
      <c r="D131" s="241">
        <f>u_dec_dys*(duration_dys/365)*prob_dys_at</f>
        <v>5.2769046233304613E-4</v>
      </c>
      <c r="E131" s="208" t="s">
        <v>151</v>
      </c>
      <c r="F131" s="208" t="s">
        <v>151</v>
      </c>
      <c r="G131" s="208" t="s">
        <v>151</v>
      </c>
      <c r="H131" s="208" t="s">
        <v>151</v>
      </c>
      <c r="I131" s="212" t="s">
        <v>264</v>
      </c>
      <c r="J131" s="19" t="s">
        <v>202</v>
      </c>
      <c r="K131" s="198" t="s">
        <v>153</v>
      </c>
    </row>
    <row r="132" spans="1:11" s="17" customFormat="1" x14ac:dyDescent="0.2">
      <c r="A132" s="202" t="s">
        <v>445</v>
      </c>
      <c r="B132" s="202" t="s">
        <v>446</v>
      </c>
      <c r="C132" s="19"/>
      <c r="D132" s="241">
        <f>u_dec_dys*(duration_dys/365)*prob_dys_ap</f>
        <v>3.1615068493150687E-4</v>
      </c>
      <c r="E132" s="208" t="s">
        <v>151</v>
      </c>
      <c r="F132" s="208" t="s">
        <v>151</v>
      </c>
      <c r="G132" s="208" t="s">
        <v>151</v>
      </c>
      <c r="H132" s="208" t="s">
        <v>151</v>
      </c>
      <c r="I132" s="212" t="s">
        <v>264</v>
      </c>
      <c r="J132" s="19" t="s">
        <v>202</v>
      </c>
      <c r="K132" s="198" t="s">
        <v>153</v>
      </c>
    </row>
    <row r="133" spans="1:11" ht="8" customHeight="1" x14ac:dyDescent="0.2"/>
    <row r="134" spans="1:11" x14ac:dyDescent="0.2">
      <c r="A134" s="267" t="s">
        <v>447</v>
      </c>
      <c r="B134" s="264" t="s">
        <v>448</v>
      </c>
      <c r="C134" s="262" t="s">
        <v>159</v>
      </c>
      <c r="D134" s="268"/>
      <c r="J134" s="1" t="s">
        <v>449</v>
      </c>
    </row>
    <row r="135" spans="1:11" x14ac:dyDescent="0.2">
      <c r="A135" s="267" t="s">
        <v>450</v>
      </c>
      <c r="B135" s="264" t="s">
        <v>451</v>
      </c>
      <c r="C135" s="262" t="s">
        <v>159</v>
      </c>
      <c r="D135" s="268"/>
      <c r="J135" s="1" t="s">
        <v>449</v>
      </c>
    </row>
    <row r="136" spans="1:11" x14ac:dyDescent="0.2">
      <c r="A136" s="267" t="s">
        <v>452</v>
      </c>
      <c r="B136" s="264" t="s">
        <v>453</v>
      </c>
      <c r="C136" s="262" t="s">
        <v>159</v>
      </c>
      <c r="D136" s="268"/>
      <c r="J136" s="1" t="s">
        <v>449</v>
      </c>
    </row>
    <row r="137" spans="1:11" x14ac:dyDescent="0.2">
      <c r="A137" s="267" t="s">
        <v>454</v>
      </c>
      <c r="B137" s="264" t="s">
        <v>455</v>
      </c>
      <c r="C137" s="262" t="s">
        <v>170</v>
      </c>
      <c r="D137" s="268">
        <v>1</v>
      </c>
      <c r="J137" s="1" t="s">
        <v>456</v>
      </c>
    </row>
    <row r="138" spans="1:11" x14ac:dyDescent="0.2">
      <c r="A138" s="267" t="s">
        <v>457</v>
      </c>
      <c r="B138" s="264" t="s">
        <v>458</v>
      </c>
      <c r="C138" s="262" t="s">
        <v>170</v>
      </c>
      <c r="D138" s="268">
        <v>1</v>
      </c>
      <c r="J138" s="1" t="s">
        <v>456</v>
      </c>
    </row>
    <row r="139" spans="1:11" x14ac:dyDescent="0.2">
      <c r="A139" s="267" t="s">
        <v>459</v>
      </c>
      <c r="B139" s="268" t="s">
        <v>460</v>
      </c>
      <c r="C139" s="268" t="s">
        <v>159</v>
      </c>
      <c r="D139" s="268">
        <v>0.56799999999999995</v>
      </c>
      <c r="J139" s="1" t="s">
        <v>55</v>
      </c>
    </row>
    <row r="140" spans="1:11" ht="8" customHeight="1" x14ac:dyDescent="0.2"/>
    <row r="141" spans="1:11" ht="16" x14ac:dyDescent="0.2">
      <c r="A141" s="267" t="s">
        <v>461</v>
      </c>
      <c r="B141" s="261" t="s">
        <v>61</v>
      </c>
      <c r="C141" s="262"/>
      <c r="D141" s="269">
        <v>2.5999999999999999E-3</v>
      </c>
      <c r="J141" s="53" t="s">
        <v>62</v>
      </c>
    </row>
    <row r="142" spans="1:11" ht="16" x14ac:dyDescent="0.2">
      <c r="A142" s="267" t="s">
        <v>462</v>
      </c>
      <c r="B142" s="261" t="s">
        <v>463</v>
      </c>
      <c r="C142" s="262"/>
      <c r="D142" s="271">
        <f>prob_mi_ac-(prob_mi_ac*0.2)</f>
        <v>3.3759999999999998E-2</v>
      </c>
      <c r="E142" s="11" t="s">
        <v>464</v>
      </c>
      <c r="J142" s="53" t="s">
        <v>465</v>
      </c>
      <c r="K142" s="57" t="s">
        <v>466</v>
      </c>
    </row>
    <row r="143" spans="1:11" ht="16" x14ac:dyDescent="0.2">
      <c r="A143" s="267" t="s">
        <v>467</v>
      </c>
      <c r="B143" s="261" t="s">
        <v>468</v>
      </c>
      <c r="C143" s="262" t="s">
        <v>302</v>
      </c>
      <c r="D143" s="262">
        <f>smr_noevent*0.8</f>
        <v>1.6</v>
      </c>
      <c r="J143" s="53" t="s">
        <v>68</v>
      </c>
    </row>
    <row r="144" spans="1:11" x14ac:dyDescent="0.2">
      <c r="A144" s="267" t="s">
        <v>469</v>
      </c>
      <c r="B144" s="261" t="s">
        <v>470</v>
      </c>
      <c r="C144" s="262" t="s">
        <v>302</v>
      </c>
      <c r="D144" s="262">
        <f>smr_rinfar*0.8</f>
        <v>3.6</v>
      </c>
      <c r="J144" s="53"/>
    </row>
    <row r="145" spans="1:10" ht="16" x14ac:dyDescent="0.2">
      <c r="A145" s="267" t="s">
        <v>471</v>
      </c>
      <c r="B145" s="261" t="s">
        <v>472</v>
      </c>
      <c r="C145" s="262" t="s">
        <v>302</v>
      </c>
      <c r="D145" s="262">
        <f>smr_post_rinfar*0.8</f>
        <v>2.4000000000000004</v>
      </c>
      <c r="J145" s="53" t="s">
        <v>72</v>
      </c>
    </row>
    <row r="146" spans="1:10" ht="8" customHeight="1" x14ac:dyDescent="0.2">
      <c r="A146" s="270"/>
      <c r="J146" s="53"/>
    </row>
    <row r="147" spans="1:10" ht="14.5" customHeight="1" x14ac:dyDescent="0.2">
      <c r="A147" s="260" t="s">
        <v>473</v>
      </c>
      <c r="B147" s="261" t="s">
        <v>474</v>
      </c>
      <c r="C147" s="262" t="s">
        <v>127</v>
      </c>
      <c r="D147" s="263">
        <v>893.20396071179425</v>
      </c>
      <c r="J147" s="53" t="s">
        <v>72</v>
      </c>
    </row>
    <row r="148" spans="1:10" ht="14.5" customHeight="1" x14ac:dyDescent="0.2">
      <c r="A148" s="260" t="s">
        <v>475</v>
      </c>
      <c r="B148" s="261" t="s">
        <v>476</v>
      </c>
      <c r="C148" s="262" t="s">
        <v>127</v>
      </c>
      <c r="D148" s="263">
        <v>3528.2167394737421</v>
      </c>
      <c r="J148" s="53" t="s">
        <v>72</v>
      </c>
    </row>
    <row r="149" spans="1:10" ht="14.5" customHeight="1" x14ac:dyDescent="0.2">
      <c r="A149" s="260" t="s">
        <v>477</v>
      </c>
      <c r="B149" s="261" t="s">
        <v>478</v>
      </c>
      <c r="C149" s="262" t="s">
        <v>127</v>
      </c>
      <c r="D149" s="263">
        <v>3848.9637157895368</v>
      </c>
      <c r="J149" s="53" t="s">
        <v>72</v>
      </c>
    </row>
    <row r="150" spans="1:10" ht="14.5" customHeight="1" x14ac:dyDescent="0.2">
      <c r="A150" s="260" t="s">
        <v>479</v>
      </c>
      <c r="B150" s="261" t="s">
        <v>480</v>
      </c>
      <c r="C150" s="262" t="s">
        <v>127</v>
      </c>
      <c r="D150" s="263">
        <v>4169.7106921053319</v>
      </c>
      <c r="J150" s="53" t="s">
        <v>72</v>
      </c>
    </row>
    <row r="151" spans="1:10" ht="14.5" customHeight="1" x14ac:dyDescent="0.2">
      <c r="A151" s="260" t="s">
        <v>481</v>
      </c>
      <c r="B151" s="261" t="s">
        <v>482</v>
      </c>
      <c r="C151" s="262" t="s">
        <v>127</v>
      </c>
      <c r="D151" s="263">
        <v>4490.4576684211261</v>
      </c>
      <c r="J151" s="53" t="s">
        <v>72</v>
      </c>
    </row>
    <row r="152" spans="1:10" ht="8" customHeight="1" x14ac:dyDescent="0.2">
      <c r="B152" s="21"/>
      <c r="C152" s="252"/>
    </row>
    <row r="153" spans="1:10" ht="16" x14ac:dyDescent="0.2">
      <c r="A153" s="260" t="s">
        <v>483</v>
      </c>
      <c r="B153" s="260" t="s">
        <v>484</v>
      </c>
      <c r="C153" s="263" t="s">
        <v>485</v>
      </c>
      <c r="D153" s="269">
        <v>0.84199999999999997</v>
      </c>
      <c r="J153" s="53" t="s">
        <v>72</v>
      </c>
    </row>
    <row r="154" spans="1:10" ht="16" x14ac:dyDescent="0.2">
      <c r="A154" s="260" t="s">
        <v>486</v>
      </c>
      <c r="B154" s="260" t="s">
        <v>484</v>
      </c>
      <c r="C154" s="263" t="s">
        <v>485</v>
      </c>
      <c r="D154" s="269">
        <v>0.77900000000000003</v>
      </c>
      <c r="H154" s="90"/>
      <c r="J154" s="53" t="s">
        <v>72</v>
      </c>
    </row>
    <row r="155" spans="1:10" ht="16" x14ac:dyDescent="0.2">
      <c r="A155" s="260" t="s">
        <v>487</v>
      </c>
      <c r="B155" s="260" t="s">
        <v>484</v>
      </c>
      <c r="C155" s="263" t="s">
        <v>485</v>
      </c>
      <c r="D155" s="269">
        <v>0.82099999999999995</v>
      </c>
      <c r="J155" s="53" t="s">
        <v>72</v>
      </c>
    </row>
    <row r="156" spans="1:10" ht="16" x14ac:dyDescent="0.2">
      <c r="A156" s="260" t="s">
        <v>488</v>
      </c>
      <c r="B156" s="260" t="s">
        <v>484</v>
      </c>
      <c r="C156" s="263" t="s">
        <v>485</v>
      </c>
      <c r="D156" s="269">
        <v>0.70299999999999996</v>
      </c>
      <c r="J156" s="53" t="s">
        <v>72</v>
      </c>
    </row>
    <row r="157" spans="1:10" ht="16" x14ac:dyDescent="0.2">
      <c r="A157" s="260" t="s">
        <v>489</v>
      </c>
      <c r="B157" s="260" t="s">
        <v>484</v>
      </c>
      <c r="C157" s="263" t="s">
        <v>485</v>
      </c>
      <c r="D157" s="269">
        <v>0.70299999999999996</v>
      </c>
      <c r="J157" s="53" t="s">
        <v>72</v>
      </c>
    </row>
    <row r="158" spans="1:10" ht="16" x14ac:dyDescent="0.2">
      <c r="A158" s="265" t="s">
        <v>490</v>
      </c>
      <c r="B158" s="261" t="s">
        <v>491</v>
      </c>
      <c r="C158" s="263" t="s">
        <v>485</v>
      </c>
      <c r="D158" s="266">
        <v>1.4999999999999999E-2</v>
      </c>
      <c r="J158" s="53" t="s">
        <v>72</v>
      </c>
    </row>
    <row r="159" spans="1:10" ht="16" x14ac:dyDescent="0.2">
      <c r="A159" s="265" t="s">
        <v>492</v>
      </c>
      <c r="B159" s="261" t="s">
        <v>493</v>
      </c>
      <c r="C159" s="263" t="s">
        <v>485</v>
      </c>
      <c r="D159" s="266">
        <v>1.4999999999999999E-2</v>
      </c>
      <c r="J159" s="53" t="s">
        <v>72</v>
      </c>
    </row>
  </sheetData>
  <mergeCells count="1">
    <mergeCell ref="K13:Q13"/>
  </mergeCells>
  <phoneticPr fontId="2" type="noConversion"/>
  <hyperlinks>
    <hyperlink ref="K7" r:id="rId1" display="https://doi.org/10.1161/jaha.124.034414" xr:uid="{87B888CF-C254-43A4-B687-6E0E14D14D9D}"/>
    <hyperlink ref="K8:K9" r:id="rId2" display="https://doi.org/10.1161/jaha.124.034414" xr:uid="{34E7070D-C8E9-4281-9EB2-228C28D4D65D}"/>
    <hyperlink ref="K3" r:id="rId3" display="https://www.ncbi.nlm.nih.gov/books/NBK565353/" xr:uid="{11E96574-D2FC-4989-9A31-F3AD52E27AC7}"/>
    <hyperlink ref="K6" r:id="rId4" display="https://www.ncbi.nlm.nih.gov/books/NBK565353/" xr:uid="{E4D8AA0A-F5DF-49BA-98F9-4B2A909F5A1E}"/>
    <hyperlink ref="K14" r:id="rId5" display="https://doi.org/10.1136/openhrt-2018-000951" xr:uid="{02B81B32-B658-4E1F-AB91-BC848C7A9D10}"/>
    <hyperlink ref="K15" r:id="rId6" display="https://doi.org/10.1093/eurheartj/ehx515" xr:uid="{F936F48D-4A78-4E64-B4D2-5493E445BFCE}"/>
    <hyperlink ref="K19" r:id="rId7" display="https://www.ncbi.nlm.nih.gov/books/NBK565353/" xr:uid="{55CD8380-D3FD-4EEA-8FA7-5AAAE86E5E9C}"/>
    <hyperlink ref="K20:K23" r:id="rId8" display="https://www.ncbi.nlm.nih.gov/books/NBK565353/" xr:uid="{D730A298-1680-4F5E-BFAD-AD483B118089}"/>
    <hyperlink ref="K25" r:id="rId9" display="https://www.ncbi.nlm.nih.gov/books/NBK565353/" xr:uid="{1A92CCA6-D01F-43AB-A032-77F60ADB268B}"/>
    <hyperlink ref="K26:K29" r:id="rId10" display="https://www.ncbi.nlm.nih.gov/books/NBK565353/" xr:uid="{0470DC79-BF63-462A-8D0C-CADFEAE783EA}"/>
    <hyperlink ref="K31" r:id="rId11" display="https://doi.org/10.1111/cts.12830" xr:uid="{A009EBC2-AB84-4EA2-BE42-CEC2963111C8}"/>
    <hyperlink ref="K32" r:id="rId12" display="https://doi.org/10.1111/cts.12830" xr:uid="{102D8442-69D3-40BB-BA44-4E0109EF1773}"/>
    <hyperlink ref="K43" r:id="rId13" display="https://doi.org/10.1056/nejmoa0904327" xr:uid="{C5DB8040-C879-43A5-A97E-4A1606D24FB7}"/>
    <hyperlink ref="K42" r:id="rId14" display="https://doi.org/10.1056/nejmoa0904327" xr:uid="{93C6B207-7AF6-4D06-AE23-F3E1DA1270D4}"/>
    <hyperlink ref="K44" r:id="rId15" display="https://doi.org/10.1056/nejmoa0904327" xr:uid="{D02D67CC-D4C3-48D1-9812-B127DFAFCA39}"/>
    <hyperlink ref="K45" r:id="rId16" display="https://hqlo.biomedcentral.com/articles/10.1186/s12955-018-1019-3" xr:uid="{9B27ABB7-D38C-48C8-8A97-1BB80F2C44BD}"/>
    <hyperlink ref="K46" r:id="rId17" display="https://hqlo.biomedcentral.com/articles/10.1186/s12955-018-1019-3" xr:uid="{976B669B-31B7-4B58-8926-527B87757BD2}"/>
    <hyperlink ref="K47" r:id="rId18" display="https://hqlo.biomedcentral.com/articles/10.1186/s12955-018-1019-3" xr:uid="{B952C32E-4069-4F71-AC86-CF91EE417FAC}"/>
    <hyperlink ref="K48" r:id="rId19" display="https://hqlo.biomedcentral.com/articles/10.1186/s12955-018-1019-3" xr:uid="{DF4EF952-5E79-4834-933C-4E12A5160537}"/>
    <hyperlink ref="K56" r:id="rId20" display="https://doi.org/10.1161/circoutcomes.111.964700" xr:uid="{B6328660-FC3D-490A-88D4-322E3DD886FC}"/>
    <hyperlink ref="K57" r:id="rId21" display="https://doi.org/10.1161/circoutcomes.111.964700" xr:uid="{5A7CBC63-52C3-4ED6-8197-A5107760492F}"/>
    <hyperlink ref="K58" r:id="rId22" display="https://doi.org/10.1161/circoutcomes.111.964700" xr:uid="{FEDCD1E6-1E28-4967-8436-EE768C249DD8}"/>
    <hyperlink ref="K59" r:id="rId23" display="https://doi.org/10.1191/135248506ms1280oa" xr:uid="{33D9A45B-B263-4B06-934B-13EE66F43279}"/>
    <hyperlink ref="K60" r:id="rId24" display="https://doi.org/10.1191/135248506ms1280oa" xr:uid="{BC74B3F2-1230-40DB-A312-8F7DB3263D4C}"/>
    <hyperlink ref="K79" r:id="rId25" display="https://www.ncbi.nlm.nih.gov/books/NBK565353/" xr:uid="{427CD000-1C24-4909-AA73-9B9629B88C00}"/>
    <hyperlink ref="K80:K85" r:id="rId26" display="https://www.ncbi.nlm.nih.gov/books/NBK565353/" xr:uid="{A9718F34-7338-4790-9C07-B7A62FAA1D37}"/>
    <hyperlink ref="K90" r:id="rId27" display="https://www.ncbi.nlm.nih.gov/books/NBK565353/" xr:uid="{277308BA-69EB-4972-9798-A1728091FB85}"/>
    <hyperlink ref="K91:K94" r:id="rId28" display="https://www.ncbi.nlm.nih.gov/books/NBK565353/" xr:uid="{FE5FC674-D016-4A07-8064-3203D3D2141E}"/>
    <hyperlink ref="K96" r:id="rId29" location="discounting" xr:uid="{6C0DECBD-209C-45C6-9D73-6FB0AA66ABAA}"/>
    <hyperlink ref="K97" r:id="rId30" location="discounting" xr:uid="{AD07A73F-AD58-4546-98B9-02A7C8D7C523}"/>
    <hyperlink ref="K98" r:id="rId31" location="discounting" xr:uid="{362DB97B-6538-44DA-A48A-773458EC8F0D}"/>
    <hyperlink ref="K100:K104" r:id="rId32" display="https://www.ncbi.nlm.nih.gov/books/NBK565353/" xr:uid="{475695C7-EFD1-4C52-A8C4-C626A2FE429D}"/>
    <hyperlink ref="K106:K110" r:id="rId33" display="https://www.ncbi.nlm.nih.gov/books/NBK565353/" xr:uid="{240F7018-02FC-4FCB-8D96-52AAD5E116BC}"/>
    <hyperlink ref="K86:K88" r:id="rId34" display="https://www.ncbi.nlm.nih.gov/books/NBK565353/" xr:uid="{32154B00-877D-4507-A3D1-1FBE60B2F949}"/>
    <hyperlink ref="K118:K121" r:id="rId35" display="https://www.ncbi.nlm.nih.gov/books/NBK565353/" xr:uid="{3FD44E28-6FDF-4C3A-B266-458709371F65}"/>
    <hyperlink ref="K4" r:id="rId36" display="https://doi.org/10.1161/jaha.124.034414" xr:uid="{F6365DC8-A048-4F3D-97BA-0EC4F07CBF40}"/>
    <hyperlink ref="K5" r:id="rId37" display="https://www.ncbi.nlm.nih.gov/books/NBK565353/" xr:uid="{8883F7C0-4A98-414B-AA19-EB69AB406B21}"/>
    <hyperlink ref="K64" r:id="rId38" location="discounting" xr:uid="{A9C1C102-0D66-48D2-9E50-20AC8A73F072}"/>
    <hyperlink ref="K65:K68" r:id="rId39" location="discounting" display="https://www.nice.org.uk/process/pmg36/chapter/economic-evaluation-2#discounting" xr:uid="{3323E273-495D-4F67-A3E6-CD4D71871723}"/>
    <hyperlink ref="K49:K54" r:id="rId40" display="https://hqlo.biomedcentral.com/articles/10.1186/s12955-018-1019-3" xr:uid="{7916D866-2E4D-439C-B605-070562F0090E}"/>
    <hyperlink ref="K123:K126" r:id="rId41" display="https://www.ncbi.nlm.nih.gov/books/NBK565353/" xr:uid="{40FEEDA4-B722-4AAF-859F-FD224CD70A82}"/>
    <hyperlink ref="K128:K132" r:id="rId42" display="https://www.ncbi.nlm.nih.gov/books/NBK565353/" xr:uid="{9748C98F-0EA8-4D01-AC6D-034DA43AF951}"/>
    <hyperlink ref="K11" r:id="rId43" display="https://www.sciencedirect.com/science/article/pii/S0140673622018414" xr:uid="{12CC87D9-42D2-464B-8AAB-CDAED19CF0B0}"/>
    <hyperlink ref="K33" r:id="rId44" display="https://doi.org/10.1161/jaha.124.034414" xr:uid="{24AE4660-B7C8-48FD-B677-9D75F314E4AB}"/>
    <hyperlink ref="K34" r:id="rId45" display="https://doi.org/10.1161/jaha.124.034414" xr:uid="{A9A88402-62BB-4738-993D-07B656C36AF4}"/>
    <hyperlink ref="K142" r:id="rId46" display="https://www.nice.org.uk/guidance/TA236" xr:uid="{BD96DECB-8F99-4CE0-AFCA-1EE66CAE1322}"/>
  </hyperlinks>
  <pageMargins left="0.7" right="0.7" top="0.75" bottom="0.75" header="0.3" footer="0.3"/>
  <pageSetup paperSize="9" orientation="portrait" r:id="rId47"/>
  <ignoredErrors>
    <ignoredError sqref="F119:H119"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3FC4-C0AB-47BB-BC82-13FEBC66AB91}">
  <sheetPr codeName="Sheet14"/>
  <dimension ref="B1:N43"/>
  <sheetViews>
    <sheetView showGridLines="0" workbookViewId="0">
      <pane ySplit="1" topLeftCell="A2" activePane="bottomLeft" state="frozen"/>
      <selection pane="bottomLeft" activeCell="F37" sqref="F37"/>
    </sheetView>
  </sheetViews>
  <sheetFormatPr baseColWidth="10" defaultColWidth="8.6640625" defaultRowHeight="15" x14ac:dyDescent="0.2"/>
  <cols>
    <col min="1" max="1" width="2.33203125" style="1" customWidth="1"/>
    <col min="2" max="2" width="26.5" style="367" customWidth="1"/>
    <col min="3" max="3" width="0.83203125" style="388" customWidth="1"/>
    <col min="4" max="4" width="10.5" style="281" customWidth="1"/>
    <col min="5" max="5" width="0.83203125" style="388" customWidth="1"/>
    <col min="6" max="10" width="8.5" style="281" customWidth="1"/>
    <col min="11" max="11" width="11.1640625" style="281" customWidth="1"/>
    <col min="12" max="12" width="0.83203125" style="332" customWidth="1"/>
    <col min="13" max="13" width="10.83203125" style="281" customWidth="1"/>
    <col min="14" max="14" width="5.5" style="1" customWidth="1"/>
    <col min="15" max="1999" width="8.6640625" style="1"/>
    <col min="2000" max="2000" width="2.5" style="1" customWidth="1"/>
    <col min="2001" max="2001" width="8.6640625" style="1"/>
    <col min="2002" max="2003" width="2.5" style="1" customWidth="1"/>
    <col min="2004" max="16384" width="8.6640625" style="1"/>
  </cols>
  <sheetData>
    <row r="1" spans="2:14" s="388" customFormat="1" x14ac:dyDescent="0.2">
      <c r="B1" s="389" t="s">
        <v>138</v>
      </c>
      <c r="D1" s="332" t="s">
        <v>494</v>
      </c>
      <c r="F1" s="332" t="s">
        <v>495</v>
      </c>
      <c r="G1" s="332" t="s">
        <v>496</v>
      </c>
      <c r="H1" s="332" t="s">
        <v>143</v>
      </c>
      <c r="I1" s="332" t="s">
        <v>497</v>
      </c>
      <c r="J1" s="332" t="s">
        <v>498</v>
      </c>
      <c r="K1" s="332" t="s">
        <v>499</v>
      </c>
      <c r="L1" s="332"/>
      <c r="M1" s="332" t="s">
        <v>500</v>
      </c>
    </row>
    <row r="2" spans="2:14" ht="5.5" customHeight="1" x14ac:dyDescent="0.2">
      <c r="B2" s="375"/>
    </row>
    <row r="3" spans="2:14" x14ac:dyDescent="0.2">
      <c r="B3" s="376" t="s">
        <v>168</v>
      </c>
      <c r="D3" s="394">
        <f t="shared" ref="D3:D36" si="0">IF(model_type=1, F3, M3)</f>
        <v>0.93</v>
      </c>
      <c r="F3" s="394">
        <v>0.93</v>
      </c>
      <c r="G3" s="281">
        <v>235</v>
      </c>
      <c r="H3" s="277" t="s">
        <v>151</v>
      </c>
      <c r="I3" s="349">
        <f t="shared" ref="I3:I4" si="1">F3*G3</f>
        <v>218.55</v>
      </c>
      <c r="J3" s="349">
        <f t="shared" ref="J3:J4" si="2">G3-I3</f>
        <v>16.449999999999989</v>
      </c>
      <c r="K3" s="281" t="s">
        <v>501</v>
      </c>
      <c r="M3" s="277">
        <f ca="1">MAX(0.5, MIN(1, _xlfn.BETA.INV(RAND(),I3,J3)))</f>
        <v>0.93597665035923427</v>
      </c>
    </row>
    <row r="4" spans="2:14" x14ac:dyDescent="0.2">
      <c r="B4" s="376" t="s">
        <v>173</v>
      </c>
      <c r="D4" s="394">
        <f t="shared" si="0"/>
        <v>0.93</v>
      </c>
      <c r="F4" s="394">
        <v>0.93</v>
      </c>
      <c r="G4" s="281">
        <v>235</v>
      </c>
      <c r="H4" s="277" t="s">
        <v>151</v>
      </c>
      <c r="I4" s="349">
        <f t="shared" si="1"/>
        <v>218.55</v>
      </c>
      <c r="J4" s="349">
        <f t="shared" si="2"/>
        <v>16.449999999999989</v>
      </c>
      <c r="K4" s="281" t="s">
        <v>501</v>
      </c>
      <c r="M4" s="277">
        <f ca="1">MAX(0.5, MIN(1, _xlfn.BETA.INV(RAND(),I4,J4)))</f>
        <v>0.93433483028221498</v>
      </c>
      <c r="N4" s="277"/>
    </row>
    <row r="5" spans="2:14" x14ac:dyDescent="0.2">
      <c r="B5" s="376" t="s">
        <v>177</v>
      </c>
      <c r="D5" s="395">
        <f t="shared" si="0"/>
        <v>5.4330679775487001E-2</v>
      </c>
      <c r="F5" s="277">
        <v>5.4330679775487001E-2</v>
      </c>
      <c r="G5" s="281">
        <v>54518</v>
      </c>
      <c r="H5" s="277" t="s">
        <v>151</v>
      </c>
      <c r="I5" s="349">
        <f>F5*G5</f>
        <v>2962.0000000000005</v>
      </c>
      <c r="J5" s="349">
        <f>G5-I5</f>
        <v>51556</v>
      </c>
      <c r="K5" s="281" t="s">
        <v>501</v>
      </c>
      <c r="M5" s="277">
        <f ca="1">_xlfn.BETA.INV(RAND(),I5,J5)</f>
        <v>5.4226875738857601E-2</v>
      </c>
    </row>
    <row r="6" spans="2:14" x14ac:dyDescent="0.2">
      <c r="B6" s="376" t="s">
        <v>183</v>
      </c>
      <c r="D6" s="394">
        <f t="shared" si="0"/>
        <v>4.2200000000000001E-2</v>
      </c>
      <c r="F6" s="277">
        <v>4.2200000000000001E-2</v>
      </c>
      <c r="G6" s="281">
        <v>2392</v>
      </c>
      <c r="H6" s="277">
        <v>6.0958802523251596E-3</v>
      </c>
      <c r="I6" s="349">
        <f>F6*G6</f>
        <v>100.94240000000001</v>
      </c>
      <c r="J6" s="349">
        <f>G6-I6</f>
        <v>2291.0576000000001</v>
      </c>
      <c r="K6" s="281" t="s">
        <v>501</v>
      </c>
      <c r="M6" s="277">
        <f t="shared" ref="M6:M9" ca="1" si="3">_xlfn.BETA.INV(RAND(),I6,J6)</f>
        <v>4.2194482440766179E-2</v>
      </c>
    </row>
    <row r="7" spans="2:14" x14ac:dyDescent="0.2">
      <c r="B7" s="376" t="s">
        <v>187</v>
      </c>
      <c r="D7" s="394">
        <f t="shared" si="0"/>
        <v>6.3E-3</v>
      </c>
      <c r="F7" s="277">
        <v>6.3E-3</v>
      </c>
      <c r="G7" s="281">
        <v>205962</v>
      </c>
      <c r="H7" s="277">
        <v>1.0260441208098795E-3</v>
      </c>
      <c r="I7" s="349">
        <f>F7*G7</f>
        <v>1297.5606</v>
      </c>
      <c r="J7" s="349">
        <f>G7-I7</f>
        <v>204664.4394</v>
      </c>
      <c r="K7" s="281" t="s">
        <v>501</v>
      </c>
      <c r="M7" s="277">
        <f t="shared" ca="1" si="3"/>
        <v>6.3303176400565375E-3</v>
      </c>
    </row>
    <row r="8" spans="2:14" x14ac:dyDescent="0.2">
      <c r="B8" s="376" t="s">
        <v>191</v>
      </c>
      <c r="D8" s="394">
        <f t="shared" si="0"/>
        <v>2.3800000000000002E-2</v>
      </c>
      <c r="F8" s="277">
        <v>2.3800000000000002E-2</v>
      </c>
      <c r="G8" s="281">
        <v>1023</v>
      </c>
      <c r="H8" s="277">
        <v>4.5860939877542988E-3</v>
      </c>
      <c r="I8" s="349">
        <f>F8*G8</f>
        <v>24.3474</v>
      </c>
      <c r="J8" s="349">
        <f>G8-I8</f>
        <v>998.65260000000001</v>
      </c>
      <c r="K8" s="281" t="s">
        <v>501</v>
      </c>
      <c r="M8" s="277">
        <f t="shared" ca="1" si="3"/>
        <v>2.0300854747224786E-2</v>
      </c>
    </row>
    <row r="9" spans="2:14" x14ac:dyDescent="0.2">
      <c r="B9" s="376" t="s">
        <v>196</v>
      </c>
      <c r="D9" s="394">
        <f t="shared" si="0"/>
        <v>1.5100000000000001E-2</v>
      </c>
      <c r="F9" s="277">
        <v>1.5100000000000001E-2</v>
      </c>
      <c r="G9" s="281">
        <v>1023</v>
      </c>
      <c r="H9" s="277">
        <v>7.4827269324786311E-3</v>
      </c>
      <c r="I9" s="349">
        <f>F9*G9</f>
        <v>15.4473</v>
      </c>
      <c r="J9" s="349">
        <f>G9-I9</f>
        <v>1007.5527</v>
      </c>
      <c r="K9" s="281" t="s">
        <v>501</v>
      </c>
      <c r="M9" s="277">
        <f t="shared" ca="1" si="3"/>
        <v>1.8216910600846181E-2</v>
      </c>
    </row>
    <row r="10" spans="2:14" x14ac:dyDescent="0.2">
      <c r="B10" s="378" t="s">
        <v>221</v>
      </c>
      <c r="D10" s="394">
        <f t="shared" si="0"/>
        <v>0.29699999999999999</v>
      </c>
      <c r="F10" s="281">
        <v>0.29699999999999999</v>
      </c>
      <c r="G10" s="281" t="s">
        <v>151</v>
      </c>
      <c r="H10" s="277">
        <v>0.1</v>
      </c>
      <c r="I10" s="349">
        <f t="shared" ref="I10:I15" si="4">((F10^2)*((1-F10)/H10^2))-F10</f>
        <v>5.9040926999999996</v>
      </c>
      <c r="J10" s="349">
        <f t="shared" ref="J10:J15" si="5">I10*((1-F10)/F10)</f>
        <v>13.9750073</v>
      </c>
      <c r="K10" s="281" t="s">
        <v>501</v>
      </c>
      <c r="M10" s="277">
        <f ca="1">MAX(0.26, MIN(1, _xlfn.BETA.INV(RAND(),I10,J10)))</f>
        <v>0.26</v>
      </c>
    </row>
    <row r="11" spans="2:14" x14ac:dyDescent="0.2">
      <c r="B11" s="380" t="s">
        <v>502</v>
      </c>
      <c r="D11" s="394">
        <f t="shared" si="0"/>
        <v>0.84199999999999997</v>
      </c>
      <c r="F11" s="281">
        <v>0.84199999999999997</v>
      </c>
      <c r="G11" s="281" t="s">
        <v>151</v>
      </c>
      <c r="H11" s="277">
        <v>2E-3</v>
      </c>
      <c r="I11" s="349">
        <f t="shared" si="4"/>
        <v>28003.236000000001</v>
      </c>
      <c r="J11" s="349">
        <f t="shared" si="5"/>
        <v>5254.764000000001</v>
      </c>
      <c r="K11" s="281" t="s">
        <v>501</v>
      </c>
      <c r="M11" s="277">
        <f ca="1">_xlfn.BETA.INV(RAND(),I11,J11)</f>
        <v>0.84626180901969228</v>
      </c>
    </row>
    <row r="12" spans="2:14" x14ac:dyDescent="0.2">
      <c r="B12" s="380" t="s">
        <v>503</v>
      </c>
      <c r="D12" s="394">
        <f t="shared" si="0"/>
        <v>0.77900000000000003</v>
      </c>
      <c r="F12" s="281">
        <v>0.77900000000000003</v>
      </c>
      <c r="G12" s="281" t="s">
        <v>151</v>
      </c>
      <c r="H12" s="277">
        <v>0.01</v>
      </c>
      <c r="I12" s="349">
        <f t="shared" si="4"/>
        <v>1340.33961</v>
      </c>
      <c r="J12" s="349">
        <f t="shared" si="5"/>
        <v>380.25038999999992</v>
      </c>
      <c r="K12" s="281" t="s">
        <v>501</v>
      </c>
      <c r="M12" s="277">
        <f t="shared" ref="M12:M15" ca="1" si="6">_xlfn.BETA.INV(RAND(),I12,J12)</f>
        <v>0.78695161545032921</v>
      </c>
    </row>
    <row r="13" spans="2:14" x14ac:dyDescent="0.2">
      <c r="B13" s="380" t="s">
        <v>504</v>
      </c>
      <c r="D13" s="394">
        <f t="shared" si="0"/>
        <v>0.82099999999999995</v>
      </c>
      <c r="F13" s="281">
        <v>0.82099999999999995</v>
      </c>
      <c r="G13" s="281" t="s">
        <v>151</v>
      </c>
      <c r="H13" s="277">
        <v>3.7999999999999999E-2</v>
      </c>
      <c r="I13" s="349">
        <f t="shared" si="4"/>
        <v>82.733943905817185</v>
      </c>
      <c r="J13" s="349">
        <f t="shared" si="5"/>
        <v>18.038216759002779</v>
      </c>
      <c r="K13" s="281" t="s">
        <v>501</v>
      </c>
      <c r="M13" s="277">
        <f t="shared" ca="1" si="6"/>
        <v>0.83150532436272895</v>
      </c>
    </row>
    <row r="14" spans="2:14" x14ac:dyDescent="0.2">
      <c r="B14" s="380" t="s">
        <v>505</v>
      </c>
      <c r="D14" s="394">
        <f t="shared" si="0"/>
        <v>0.70299999999999996</v>
      </c>
      <c r="F14" s="281">
        <v>0.70299999999999996</v>
      </c>
      <c r="G14" s="281" t="s">
        <v>151</v>
      </c>
      <c r="H14" s="277">
        <v>0.01</v>
      </c>
      <c r="I14" s="349">
        <f t="shared" si="4"/>
        <v>1467.0977300000002</v>
      </c>
      <c r="J14" s="349">
        <f t="shared" si="5"/>
        <v>619.81227000000024</v>
      </c>
      <c r="K14" s="281" t="s">
        <v>501</v>
      </c>
      <c r="M14" s="277">
        <f t="shared" ca="1" si="6"/>
        <v>0.70327229866335417</v>
      </c>
    </row>
    <row r="15" spans="2:14" x14ac:dyDescent="0.2">
      <c r="B15" s="380" t="s">
        <v>506</v>
      </c>
      <c r="D15" s="394">
        <f t="shared" si="0"/>
        <v>0.70299999999999996</v>
      </c>
      <c r="F15" s="281">
        <v>0.70299999999999996</v>
      </c>
      <c r="G15" s="281" t="s">
        <v>151</v>
      </c>
      <c r="H15" s="277">
        <v>3.7999999999999999E-2</v>
      </c>
      <c r="I15" s="349">
        <f t="shared" si="4"/>
        <v>100.94525</v>
      </c>
      <c r="J15" s="349">
        <f t="shared" si="5"/>
        <v>42.646855263157903</v>
      </c>
      <c r="K15" s="281" t="s">
        <v>501</v>
      </c>
      <c r="M15" s="277">
        <f t="shared" ca="1" si="6"/>
        <v>0.71040048590131288</v>
      </c>
    </row>
    <row r="16" spans="2:14" x14ac:dyDescent="0.2">
      <c r="B16" s="377" t="s">
        <v>507</v>
      </c>
      <c r="D16" s="394">
        <f t="shared" si="0"/>
        <v>2.5999999999999999E-2</v>
      </c>
      <c r="F16" s="281">
        <v>2.5999999999999999E-2</v>
      </c>
      <c r="G16" s="281" t="s">
        <v>151</v>
      </c>
      <c r="H16" s="277">
        <v>5.0000000000000001E-3</v>
      </c>
      <c r="I16" s="349">
        <f>(F16/H16)^2</f>
        <v>27.039999999999992</v>
      </c>
      <c r="J16" s="281">
        <f>(H16^2)/F16</f>
        <v>9.6153846153846159E-4</v>
      </c>
      <c r="K16" s="281" t="s">
        <v>264</v>
      </c>
      <c r="M16" s="277">
        <f ca="1">_xlfn.GAMMA.INV(RAND(),I16,J16)</f>
        <v>3.4906001439658434E-2</v>
      </c>
    </row>
    <row r="17" spans="2:13" x14ac:dyDescent="0.2">
      <c r="B17" s="377" t="s">
        <v>508</v>
      </c>
      <c r="D17" s="394">
        <f t="shared" si="0"/>
        <v>3.7999999999999999E-2</v>
      </c>
      <c r="F17" s="281">
        <v>3.7999999999999999E-2</v>
      </c>
      <c r="G17" s="281" t="s">
        <v>151</v>
      </c>
      <c r="H17" s="277">
        <v>6.0000000000000001E-3</v>
      </c>
      <c r="I17" s="349">
        <f>(F17/H17)^2</f>
        <v>40.111111111111107</v>
      </c>
      <c r="J17" s="281">
        <f>(H17^2)/F17</f>
        <v>9.4736842105263164E-4</v>
      </c>
      <c r="K17" s="281" t="s">
        <v>264</v>
      </c>
      <c r="M17" s="277">
        <f t="shared" ref="M17:M18" ca="1" si="7">_xlfn.GAMMA.INV(RAND(),I17,J17)</f>
        <v>4.3869629491324405E-2</v>
      </c>
    </row>
    <row r="18" spans="2:13" x14ac:dyDescent="0.2">
      <c r="B18" s="381" t="s">
        <v>354</v>
      </c>
      <c r="D18" s="294">
        <f t="shared" si="0"/>
        <v>3125</v>
      </c>
      <c r="F18" s="294">
        <v>3125</v>
      </c>
      <c r="G18" s="281" t="s">
        <v>151</v>
      </c>
      <c r="H18" s="294">
        <f>0.2*F18</f>
        <v>625</v>
      </c>
      <c r="I18" s="349">
        <f>(F18/H18)^2</f>
        <v>25</v>
      </c>
      <c r="J18" s="281">
        <f>(H18^2)/F18</f>
        <v>125</v>
      </c>
      <c r="K18" s="281" t="s">
        <v>264</v>
      </c>
      <c r="M18" s="294">
        <f t="shared" ca="1" si="7"/>
        <v>1956.4273369307923</v>
      </c>
    </row>
    <row r="19" spans="2:13" x14ac:dyDescent="0.2">
      <c r="B19" s="379" t="s">
        <v>389</v>
      </c>
      <c r="D19" s="281">
        <f t="shared" si="0"/>
        <v>0.77</v>
      </c>
      <c r="F19" s="281">
        <v>0.77</v>
      </c>
      <c r="G19" s="281" t="s">
        <v>151</v>
      </c>
      <c r="H19" s="277">
        <v>6.5772731964821363E-2</v>
      </c>
      <c r="I19" s="277">
        <f t="shared" ref="I19:I33" si="8">LN(F19)-((H19^2)/2)</f>
        <v>-0.26352779026946566</v>
      </c>
      <c r="J19" s="281">
        <f t="shared" ref="J19:J33" si="9">SQRT( LN( 1 + (H19^2)/(F19^2) ) )</f>
        <v>8.5263931584280042E-2</v>
      </c>
      <c r="K19" s="281" t="s">
        <v>509</v>
      </c>
      <c r="M19" s="277">
        <f ca="1">_xlfn.LOGNORM.INV(RAND(),I19,J19)</f>
        <v>0.90795445141829045</v>
      </c>
    </row>
    <row r="20" spans="2:13" x14ac:dyDescent="0.2">
      <c r="B20" s="379" t="s">
        <v>391</v>
      </c>
      <c r="D20" s="281">
        <f t="shared" si="0"/>
        <v>0.82</v>
      </c>
      <c r="F20" s="281">
        <v>0.82</v>
      </c>
      <c r="G20" s="281" t="s">
        <v>151</v>
      </c>
      <c r="H20" s="277">
        <v>5.901253466853297E-2</v>
      </c>
      <c r="I20" s="277">
        <f t="shared" si="8"/>
        <v>-0.20019217834784073</v>
      </c>
      <c r="J20" s="281">
        <f t="shared" si="9"/>
        <v>7.1873584362064938E-2</v>
      </c>
      <c r="K20" s="281" t="s">
        <v>509</v>
      </c>
      <c r="M20" s="277">
        <f t="shared" ref="M20:M35" ca="1" si="10">_xlfn.LOGNORM.INV(RAND(),I20,J20)</f>
        <v>0.89104798558526577</v>
      </c>
    </row>
    <row r="21" spans="2:13" x14ac:dyDescent="0.2">
      <c r="B21" s="379" t="s">
        <v>393</v>
      </c>
      <c r="D21" s="281">
        <f t="shared" si="0"/>
        <v>1.1299999999999999</v>
      </c>
      <c r="F21" s="281">
        <v>1.1299999999999999</v>
      </c>
      <c r="G21" s="281" t="s">
        <v>151</v>
      </c>
      <c r="H21" s="277">
        <v>0.12274921679690325</v>
      </c>
      <c r="I21" s="277">
        <f t="shared" si="8"/>
        <v>0.11468394761212253</v>
      </c>
      <c r="J21" s="281">
        <f t="shared" si="9"/>
        <v>0.10830920712758654</v>
      </c>
      <c r="K21" s="281" t="s">
        <v>509</v>
      </c>
      <c r="M21" s="277">
        <f t="shared" ca="1" si="10"/>
        <v>1.1075904039427229</v>
      </c>
    </row>
    <row r="22" spans="2:13" x14ac:dyDescent="0.2">
      <c r="B22" s="379" t="s">
        <v>395</v>
      </c>
      <c r="D22" s="281">
        <f t="shared" si="0"/>
        <v>1.04</v>
      </c>
      <c r="F22" s="281">
        <v>1.04</v>
      </c>
      <c r="G22" s="281" t="s">
        <v>151</v>
      </c>
      <c r="H22" s="277">
        <v>4.6510601222947597E-2</v>
      </c>
      <c r="I22" s="277">
        <f t="shared" si="8"/>
        <v>3.8139095140221305E-2</v>
      </c>
      <c r="J22" s="281">
        <f t="shared" si="9"/>
        <v>4.4699394899285094E-2</v>
      </c>
      <c r="K22" s="281" t="s">
        <v>509</v>
      </c>
      <c r="M22" s="277">
        <f t="shared" ca="1" si="10"/>
        <v>1.1268319673073657</v>
      </c>
    </row>
    <row r="23" spans="2:13" x14ac:dyDescent="0.2">
      <c r="B23" s="379" t="s">
        <v>397</v>
      </c>
      <c r="D23" s="281">
        <f t="shared" si="0"/>
        <v>1.37</v>
      </c>
      <c r="F23" s="281">
        <v>1.37</v>
      </c>
      <c r="G23" s="281" t="s">
        <v>151</v>
      </c>
      <c r="H23" s="277">
        <v>7.0694467407341519E-2</v>
      </c>
      <c r="I23" s="277">
        <f t="shared" si="8"/>
        <v>0.31231188597902976</v>
      </c>
      <c r="J23" s="281">
        <f t="shared" si="9"/>
        <v>5.1567499862614302E-2</v>
      </c>
      <c r="K23" s="281" t="s">
        <v>509</v>
      </c>
      <c r="M23" s="277">
        <f t="shared" ca="1" si="10"/>
        <v>1.2764912298914881</v>
      </c>
    </row>
    <row r="24" spans="2:13" x14ac:dyDescent="0.2">
      <c r="B24" s="379" t="s">
        <v>399</v>
      </c>
      <c r="D24" s="281">
        <f t="shared" si="0"/>
        <v>1</v>
      </c>
      <c r="F24" s="281">
        <v>1</v>
      </c>
      <c r="G24" s="281" t="s">
        <v>151</v>
      </c>
      <c r="H24" s="277">
        <v>9.616069841840387E-2</v>
      </c>
      <c r="I24" s="277">
        <f t="shared" si="8"/>
        <v>-4.6234399601576106E-3</v>
      </c>
      <c r="J24" s="281">
        <f t="shared" si="9"/>
        <v>9.593950835120886E-2</v>
      </c>
      <c r="K24" s="281" t="s">
        <v>509</v>
      </c>
      <c r="M24" s="277">
        <f t="shared" ca="1" si="10"/>
        <v>0.86266270306807979</v>
      </c>
    </row>
    <row r="25" spans="2:13" x14ac:dyDescent="0.2">
      <c r="B25" s="379" t="s">
        <v>401</v>
      </c>
      <c r="D25" s="281">
        <f t="shared" si="0"/>
        <v>0.75</v>
      </c>
      <c r="F25" s="281">
        <v>0.75</v>
      </c>
      <c r="G25" s="281" t="s">
        <v>151</v>
      </c>
      <c r="H25" s="277">
        <v>6.1520932861451015E-2</v>
      </c>
      <c r="I25" s="277">
        <f t="shared" si="8"/>
        <v>-0.28957448504185246</v>
      </c>
      <c r="J25" s="281">
        <f t="shared" si="9"/>
        <v>8.189042831381553E-2</v>
      </c>
      <c r="K25" s="281" t="s">
        <v>509</v>
      </c>
      <c r="M25" s="277">
        <f t="shared" ca="1" si="10"/>
        <v>0.8774630989866079</v>
      </c>
    </row>
    <row r="26" spans="2:13" x14ac:dyDescent="0.2">
      <c r="B26" s="379" t="s">
        <v>403</v>
      </c>
      <c r="D26" s="281">
        <f t="shared" si="0"/>
        <v>0.93</v>
      </c>
      <c r="F26" s="281">
        <v>0.93</v>
      </c>
      <c r="G26" s="281" t="s">
        <v>151</v>
      </c>
      <c r="H26" s="277">
        <v>0.16909230384301435</v>
      </c>
      <c r="I26" s="277">
        <f t="shared" si="8"/>
        <v>-8.686679644430452E-2</v>
      </c>
      <c r="J26" s="281">
        <f t="shared" si="9"/>
        <v>0.18034333814635634</v>
      </c>
      <c r="K26" s="281" t="s">
        <v>509</v>
      </c>
      <c r="M26" s="277">
        <f t="shared" ca="1" si="10"/>
        <v>0.92856146985173993</v>
      </c>
    </row>
    <row r="27" spans="2:13" x14ac:dyDescent="0.2">
      <c r="B27" s="379" t="s">
        <v>405</v>
      </c>
      <c r="D27" s="281">
        <f t="shared" si="0"/>
        <v>1.43</v>
      </c>
      <c r="F27" s="281">
        <v>1.43</v>
      </c>
      <c r="G27" s="281" t="s">
        <v>151</v>
      </c>
      <c r="H27" s="277">
        <v>0.11509881567506626</v>
      </c>
      <c r="I27" s="277">
        <f t="shared" si="8"/>
        <v>0.35105057558691444</v>
      </c>
      <c r="J27" s="281">
        <f t="shared" si="9"/>
        <v>8.0358777725060504E-2</v>
      </c>
      <c r="K27" s="281" t="s">
        <v>509</v>
      </c>
      <c r="M27" s="277">
        <f t="shared" ca="1" si="10"/>
        <v>1.5953501676111588</v>
      </c>
    </row>
    <row r="28" spans="2:13" x14ac:dyDescent="0.2">
      <c r="B28" s="379" t="s">
        <v>407</v>
      </c>
      <c r="D28" s="281">
        <f t="shared" si="0"/>
        <v>2.0699999999999998</v>
      </c>
      <c r="F28" s="281">
        <v>2.0699999999999998</v>
      </c>
      <c r="G28" s="281" t="s">
        <v>151</v>
      </c>
      <c r="H28" s="277">
        <v>0.43646104811336311</v>
      </c>
      <c r="I28" s="277">
        <f t="shared" si="8"/>
        <v>0.63229948401716995</v>
      </c>
      <c r="J28" s="281">
        <f t="shared" si="9"/>
        <v>0.2085620455604687</v>
      </c>
      <c r="K28" s="281" t="s">
        <v>509</v>
      </c>
      <c r="M28" s="277">
        <f t="shared" ca="1" si="10"/>
        <v>1.4346922428375033</v>
      </c>
    </row>
    <row r="29" spans="2:13" x14ac:dyDescent="0.2">
      <c r="B29" s="379" t="s">
        <v>409</v>
      </c>
      <c r="D29" s="281">
        <f t="shared" si="0"/>
        <v>1</v>
      </c>
      <c r="F29" s="281">
        <v>1</v>
      </c>
      <c r="G29" s="281" t="s">
        <v>151</v>
      </c>
      <c r="H29" s="277">
        <v>0.11384875067051517</v>
      </c>
      <c r="I29" s="277">
        <f t="shared" si="8"/>
        <v>-6.4807690146185641E-3</v>
      </c>
      <c r="J29" s="281">
        <f t="shared" si="9"/>
        <v>0.1134824046446392</v>
      </c>
      <c r="K29" s="281" t="s">
        <v>509</v>
      </c>
      <c r="M29" s="277">
        <f t="shared" ca="1" si="10"/>
        <v>0.96362921726361506</v>
      </c>
    </row>
    <row r="30" spans="2:13" x14ac:dyDescent="0.2">
      <c r="B30" s="379" t="s">
        <v>412</v>
      </c>
      <c r="D30" s="281">
        <f t="shared" si="0"/>
        <v>1</v>
      </c>
      <c r="F30" s="281">
        <v>1</v>
      </c>
      <c r="G30" s="281" t="s">
        <v>151</v>
      </c>
      <c r="H30" s="277">
        <v>0.11384875067051517</v>
      </c>
      <c r="I30" s="277">
        <f t="shared" si="8"/>
        <v>-6.4807690146185641E-3</v>
      </c>
      <c r="J30" s="281">
        <f t="shared" si="9"/>
        <v>0.1134824046446392</v>
      </c>
      <c r="K30" s="281" t="s">
        <v>509</v>
      </c>
      <c r="M30" s="277">
        <f t="shared" ca="1" si="10"/>
        <v>1.197869495063852</v>
      </c>
    </row>
    <row r="31" spans="2:13" x14ac:dyDescent="0.2">
      <c r="B31" s="379" t="s">
        <v>414</v>
      </c>
      <c r="D31" s="281">
        <f t="shared" si="0"/>
        <v>1</v>
      </c>
      <c r="F31" s="281">
        <v>1</v>
      </c>
      <c r="G31" s="281" t="s">
        <v>151</v>
      </c>
      <c r="H31" s="277">
        <v>0.11384875067051517</v>
      </c>
      <c r="I31" s="277">
        <f t="shared" si="8"/>
        <v>-6.4807690146185641E-3</v>
      </c>
      <c r="J31" s="281">
        <f t="shared" si="9"/>
        <v>0.1134824046446392</v>
      </c>
      <c r="K31" s="281" t="s">
        <v>509</v>
      </c>
      <c r="M31" s="277">
        <f t="shared" ca="1" si="10"/>
        <v>0.91600160768058525</v>
      </c>
    </row>
    <row r="32" spans="2:13" x14ac:dyDescent="0.2">
      <c r="B32" s="379" t="s">
        <v>416</v>
      </c>
      <c r="D32" s="281">
        <f t="shared" si="0"/>
        <v>1</v>
      </c>
      <c r="F32" s="281">
        <v>1</v>
      </c>
      <c r="G32" s="281" t="s">
        <v>151</v>
      </c>
      <c r="H32" s="277">
        <v>7.7112467314523869E-2</v>
      </c>
      <c r="I32" s="277">
        <f t="shared" si="8"/>
        <v>-2.973166307666756E-3</v>
      </c>
      <c r="J32" s="281">
        <f t="shared" si="9"/>
        <v>7.69982009768298E-2</v>
      </c>
      <c r="K32" s="281" t="s">
        <v>509</v>
      </c>
      <c r="M32" s="277">
        <f t="shared" ca="1" si="10"/>
        <v>1.0673463055268981</v>
      </c>
    </row>
    <row r="33" spans="2:13" x14ac:dyDescent="0.2">
      <c r="B33" s="379" t="s">
        <v>418</v>
      </c>
      <c r="D33" s="281">
        <f t="shared" si="0"/>
        <v>1</v>
      </c>
      <c r="F33" s="281">
        <v>1</v>
      </c>
      <c r="G33" s="281" t="s">
        <v>151</v>
      </c>
      <c r="H33" s="277">
        <v>7.7112467314523869E-2</v>
      </c>
      <c r="I33" s="277">
        <f t="shared" si="8"/>
        <v>-2.973166307666756E-3</v>
      </c>
      <c r="J33" s="281">
        <f t="shared" si="9"/>
        <v>7.69982009768298E-2</v>
      </c>
      <c r="K33" s="281" t="s">
        <v>509</v>
      </c>
      <c r="M33" s="277">
        <f t="shared" ca="1" si="10"/>
        <v>0.86810900495379262</v>
      </c>
    </row>
    <row r="34" spans="2:13" x14ac:dyDescent="0.2">
      <c r="B34" s="379" t="s">
        <v>420</v>
      </c>
      <c r="D34" s="283">
        <f t="shared" si="0"/>
        <v>7.85E-2</v>
      </c>
      <c r="F34" s="277">
        <v>7.85E-2</v>
      </c>
      <c r="G34" s="281">
        <v>4387</v>
      </c>
      <c r="H34" s="277" t="s">
        <v>151</v>
      </c>
      <c r="I34" s="349">
        <f>F34*G34</f>
        <v>344.37950000000001</v>
      </c>
      <c r="J34" s="349">
        <f>G34-I34</f>
        <v>4042.6205</v>
      </c>
      <c r="K34" s="281" t="s">
        <v>501</v>
      </c>
      <c r="M34" s="277">
        <f t="shared" ref="M34" ca="1" si="11">_xlfn.BETA.INV(RAND(),I34,J34)</f>
        <v>7.2839049431492955E-2</v>
      </c>
    </row>
    <row r="35" spans="2:13" x14ac:dyDescent="0.2">
      <c r="B35" s="379" t="s">
        <v>426</v>
      </c>
      <c r="D35" s="283">
        <f t="shared" si="0"/>
        <v>1.77</v>
      </c>
      <c r="F35" s="281">
        <v>1.77</v>
      </c>
      <c r="G35" s="281">
        <v>4387</v>
      </c>
      <c r="H35" s="277" t="s">
        <v>510</v>
      </c>
      <c r="I35" s="277">
        <f>LN(F35)-((H35^2)/2)</f>
        <v>0.5678511415857378</v>
      </c>
      <c r="J35" s="281">
        <f>SQRT( LN( 1 + (H35^2)/(F35^2) ) )</f>
        <v>4.4666977068303006E-2</v>
      </c>
      <c r="K35" s="281" t="s">
        <v>509</v>
      </c>
      <c r="M35" s="277">
        <f t="shared" ca="1" si="10"/>
        <v>1.9503209306842051</v>
      </c>
    </row>
    <row r="36" spans="2:13" x14ac:dyDescent="0.2">
      <c r="B36" s="379" t="s">
        <v>436</v>
      </c>
      <c r="D36" s="283">
        <f t="shared" si="0"/>
        <v>4.9000000000000002E-2</v>
      </c>
      <c r="F36" s="281">
        <v>4.9000000000000002E-2</v>
      </c>
      <c r="G36" s="281" t="s">
        <v>151</v>
      </c>
      <c r="H36" s="277">
        <f>0.1*F36</f>
        <v>4.9000000000000007E-3</v>
      </c>
      <c r="I36" s="349">
        <f>(F36/H36)^2</f>
        <v>99.999999999999972</v>
      </c>
      <c r="J36" s="281">
        <f>(H36^2)/F36</f>
        <v>4.9000000000000009E-4</v>
      </c>
      <c r="K36" s="281" t="s">
        <v>511</v>
      </c>
      <c r="M36" s="277">
        <f ca="1">_xlfn.GAMMA.INV(RAND(), I36,J36)</f>
        <v>5.0173282666366364E-2</v>
      </c>
    </row>
    <row r="37" spans="2:13" x14ac:dyDescent="0.2">
      <c r="B37" s="379" t="s">
        <v>512</v>
      </c>
      <c r="C37" s="396"/>
      <c r="D37" s="277">
        <f t="shared" ref="D37:D43" si="12">IF(model_type=1, F37, M37)</f>
        <v>3.6200000000000003E-2</v>
      </c>
      <c r="E37" s="396"/>
      <c r="F37" s="278">
        <v>3.6200000000000003E-2</v>
      </c>
      <c r="G37" s="281">
        <v>4237</v>
      </c>
      <c r="H37" s="277" t="s">
        <v>151</v>
      </c>
      <c r="I37" s="349">
        <f>F37*G37</f>
        <v>153.3794</v>
      </c>
      <c r="J37" s="349">
        <f>G37-I37</f>
        <v>4083.6206000000002</v>
      </c>
      <c r="K37" s="281" t="s">
        <v>501</v>
      </c>
      <c r="M37" s="277">
        <f t="shared" ref="M37:M38" ca="1" si="13">_xlfn.BETA.INV(RAND(),I37,J37)</f>
        <v>3.5163145623179889E-2</v>
      </c>
    </row>
    <row r="38" spans="2:13" x14ac:dyDescent="0.2">
      <c r="B38" s="379" t="s">
        <v>513</v>
      </c>
      <c r="C38" s="396"/>
      <c r="D38" s="277">
        <f t="shared" si="12"/>
        <v>5.8999999999999999E-3</v>
      </c>
      <c r="E38" s="396"/>
      <c r="F38" s="277">
        <v>5.8999999999999999E-3</v>
      </c>
      <c r="G38" s="281">
        <v>4387</v>
      </c>
      <c r="H38" s="277" t="s">
        <v>151</v>
      </c>
      <c r="I38" s="349">
        <f>F38*G38</f>
        <v>25.883299999999998</v>
      </c>
      <c r="J38" s="349">
        <f>G38-I38</f>
        <v>4361.1166999999996</v>
      </c>
      <c r="K38" s="281" t="s">
        <v>501</v>
      </c>
      <c r="M38" s="277">
        <f t="shared" ca="1" si="13"/>
        <v>5.338590981994345E-3</v>
      </c>
    </row>
    <row r="39" spans="2:13" x14ac:dyDescent="0.2">
      <c r="B39" s="379" t="s">
        <v>300</v>
      </c>
      <c r="C39" s="397"/>
      <c r="D39" s="367">
        <f t="shared" si="12"/>
        <v>2</v>
      </c>
      <c r="E39" s="397"/>
      <c r="F39" s="367">
        <v>2</v>
      </c>
      <c r="G39" s="367">
        <v>371619</v>
      </c>
      <c r="H39" s="367">
        <v>5.1020408163264782E-3</v>
      </c>
      <c r="I39" s="277">
        <f>LN(F39)-((H39^2)/2)</f>
        <v>0.69313416514969961</v>
      </c>
      <c r="J39" s="281">
        <f>SQRT( LN( 1 + (H39^2)/(F39^2) ) )</f>
        <v>2.5510162578394734E-3</v>
      </c>
      <c r="K39" s="281" t="s">
        <v>509</v>
      </c>
      <c r="M39" s="277">
        <f t="shared" ref="M39:M43" ca="1" si="14">_xlfn.LOGNORM.INV(RAND(),I39,J39)</f>
        <v>2.0026842356398187</v>
      </c>
    </row>
    <row r="40" spans="2:13" x14ac:dyDescent="0.2">
      <c r="B40" s="379" t="s">
        <v>306</v>
      </c>
      <c r="C40" s="397"/>
      <c r="D40" s="367">
        <f t="shared" si="12"/>
        <v>4.5</v>
      </c>
      <c r="E40" s="397"/>
      <c r="F40" s="367">
        <v>4.5</v>
      </c>
      <c r="G40" s="367">
        <v>15833</v>
      </c>
      <c r="H40" s="367">
        <v>3.5714285714285858E-2</v>
      </c>
      <c r="I40" s="277">
        <f t="shared" ref="I40:I43" si="15">LN(F40)-((H40^2)/2)</f>
        <v>1.5034396416742333</v>
      </c>
      <c r="J40" s="281">
        <f t="shared" ref="J40:J43" si="16">SQRT( LN( 1 + (H40^2)/(F40^2) ) )</f>
        <v>7.9363829642742287E-3</v>
      </c>
      <c r="K40" s="281" t="s">
        <v>509</v>
      </c>
      <c r="M40" s="277">
        <f t="shared" ca="1" si="14"/>
        <v>4.4530772976962476</v>
      </c>
    </row>
    <row r="41" spans="2:13" x14ac:dyDescent="0.2">
      <c r="B41" s="379" t="s">
        <v>308</v>
      </c>
      <c r="C41" s="397"/>
      <c r="D41" s="367">
        <f t="shared" si="12"/>
        <v>3</v>
      </c>
      <c r="E41" s="397"/>
      <c r="F41" s="367">
        <v>3</v>
      </c>
      <c r="G41" s="367">
        <v>15833</v>
      </c>
      <c r="H41" s="367">
        <v>2.5510204081632563E-2</v>
      </c>
      <c r="I41" s="277">
        <f t="shared" si="15"/>
        <v>1.0982869034119664</v>
      </c>
      <c r="J41" s="281">
        <f t="shared" si="16"/>
        <v>8.5032476509274441E-3</v>
      </c>
      <c r="K41" s="281" t="s">
        <v>509</v>
      </c>
      <c r="M41" s="277">
        <f t="shared" ca="1" si="14"/>
        <v>2.9911761643789481</v>
      </c>
    </row>
    <row r="42" spans="2:13" x14ac:dyDescent="0.2">
      <c r="B42" s="379" t="s">
        <v>311</v>
      </c>
      <c r="C42" s="397"/>
      <c r="D42" s="367">
        <f t="shared" si="12"/>
        <v>4.7300000000000004</v>
      </c>
      <c r="E42" s="397"/>
      <c r="F42" s="367">
        <v>4.7300000000000004</v>
      </c>
      <c r="G42" s="367">
        <v>8324</v>
      </c>
      <c r="H42" s="367">
        <v>0.20663265306122461</v>
      </c>
      <c r="I42" s="277">
        <f t="shared" si="15"/>
        <v>1.5325766758482815</v>
      </c>
      <c r="J42" s="281">
        <f t="shared" si="16"/>
        <v>4.3664729173861667E-2</v>
      </c>
      <c r="K42" s="281" t="s">
        <v>509</v>
      </c>
      <c r="M42" s="277">
        <f t="shared" ca="1" si="14"/>
        <v>4.8276394051821567</v>
      </c>
    </row>
    <row r="43" spans="2:13" x14ac:dyDescent="0.2">
      <c r="B43" s="379" t="s">
        <v>314</v>
      </c>
      <c r="C43" s="397"/>
      <c r="D43" s="367">
        <f t="shared" si="12"/>
        <v>2.3199999999999998</v>
      </c>
      <c r="E43" s="397"/>
      <c r="F43" s="367">
        <v>2.3199999999999998</v>
      </c>
      <c r="G43" s="367">
        <v>8324</v>
      </c>
      <c r="H43" s="367">
        <v>8.1632653061224567E-2</v>
      </c>
      <c r="I43" s="277">
        <f t="shared" si="15"/>
        <v>0.83823524065531141</v>
      </c>
      <c r="J43" s="281">
        <f t="shared" si="16"/>
        <v>3.5175604685477382E-2</v>
      </c>
      <c r="K43" s="281" t="s">
        <v>509</v>
      </c>
      <c r="M43" s="277">
        <f t="shared" ca="1" si="14"/>
        <v>2.2547327905465724</v>
      </c>
    </row>
  </sheetData>
  <pageMargins left="0.7" right="0.7" top="0.75" bottom="0.75" header="0.3" footer="0.3"/>
  <ignoredErrors>
    <ignoredError sqref="M10 I34:J34 M34" formula="1"/>
    <ignoredError sqref="H35"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6EFB3-C6C0-478E-BD2C-9BB81E29E68B}">
  <sheetPr codeName="Sheet15"/>
  <dimension ref="A1:Z1008"/>
  <sheetViews>
    <sheetView workbookViewId="0">
      <pane ySplit="6" topLeftCell="A19" activePane="bottomLeft" state="frozen"/>
      <selection pane="bottomLeft" activeCell="L6" sqref="L6"/>
    </sheetView>
  </sheetViews>
  <sheetFormatPr baseColWidth="10" defaultColWidth="8.6640625" defaultRowHeight="12" x14ac:dyDescent="0.15"/>
  <cols>
    <col min="1" max="1" width="8.6640625" style="272"/>
    <col min="2" max="2" width="8.6640625" style="281"/>
    <col min="3" max="9" width="8.6640625" style="272"/>
    <col min="10" max="10" width="9" style="272" bestFit="1" customWidth="1"/>
    <col min="11" max="11" width="8.6640625" style="272"/>
    <col min="12" max="12" width="8.6640625" style="281"/>
    <col min="13" max="1997" width="8.6640625" style="272"/>
    <col min="1998" max="1998" width="2.1640625" style="272" customWidth="1"/>
    <col min="1999" max="1999" width="8.6640625" style="272"/>
    <col min="2000" max="2000" width="2.1640625" style="272" customWidth="1"/>
    <col min="2001" max="16384" width="8.6640625" style="272"/>
  </cols>
  <sheetData>
    <row r="1" spans="1:26" s="286" customFormat="1" x14ac:dyDescent="0.15">
      <c r="A1" s="287">
        <v>1</v>
      </c>
      <c r="B1" s="287">
        <v>2</v>
      </c>
      <c r="C1" s="287">
        <v>3</v>
      </c>
      <c r="D1" s="287">
        <v>4</v>
      </c>
      <c r="E1" s="287">
        <v>5</v>
      </c>
      <c r="F1" s="287">
        <v>6</v>
      </c>
      <c r="G1" s="287">
        <v>7</v>
      </c>
      <c r="H1" s="287">
        <v>8</v>
      </c>
      <c r="I1" s="287">
        <v>9</v>
      </c>
      <c r="J1" s="287">
        <v>10</v>
      </c>
      <c r="K1" s="287">
        <v>11</v>
      </c>
      <c r="L1" s="287">
        <v>12</v>
      </c>
      <c r="M1" s="287">
        <v>13</v>
      </c>
      <c r="N1" s="287">
        <v>14</v>
      </c>
      <c r="O1" s="287">
        <v>15</v>
      </c>
      <c r="P1" s="287"/>
    </row>
    <row r="2" spans="1:26" s="286" customFormat="1" x14ac:dyDescent="0.15">
      <c r="B2" s="287"/>
      <c r="L2" s="287"/>
    </row>
    <row r="3" spans="1:26" s="286" customFormat="1" x14ac:dyDescent="0.15">
      <c r="B3" s="287"/>
      <c r="L3" s="287" t="s">
        <v>514</v>
      </c>
      <c r="M3" s="294">
        <v>30000</v>
      </c>
    </row>
    <row r="4" spans="1:26" s="286" customFormat="1" x14ac:dyDescent="0.15">
      <c r="B4" s="287"/>
      <c r="L4" s="287"/>
    </row>
    <row r="5" spans="1:26" s="286" customFormat="1" x14ac:dyDescent="0.15">
      <c r="B5" s="287"/>
      <c r="C5" s="431" t="s">
        <v>515</v>
      </c>
      <c r="D5" s="431"/>
      <c r="E5" s="431" t="s">
        <v>516</v>
      </c>
      <c r="F5" s="431"/>
      <c r="G5" s="431" t="s">
        <v>517</v>
      </c>
      <c r="H5" s="431"/>
      <c r="I5" s="288"/>
      <c r="J5" s="432" t="s">
        <v>518</v>
      </c>
      <c r="K5" s="432"/>
      <c r="L5" s="390" t="s">
        <v>519</v>
      </c>
      <c r="N5" s="391" t="s">
        <v>514</v>
      </c>
      <c r="O5" s="391" t="s">
        <v>519</v>
      </c>
    </row>
    <row r="6" spans="1:26" s="393" customFormat="1" x14ac:dyDescent="0.15">
      <c r="A6" s="288"/>
      <c r="B6" s="288" t="s">
        <v>520</v>
      </c>
      <c r="C6" s="391" t="s">
        <v>521</v>
      </c>
      <c r="D6" s="391" t="s">
        <v>522</v>
      </c>
      <c r="E6" s="391" t="s">
        <v>521</v>
      </c>
      <c r="F6" s="391" t="s">
        <v>522</v>
      </c>
      <c r="G6" s="391" t="s">
        <v>521</v>
      </c>
      <c r="H6" s="391" t="s">
        <v>522</v>
      </c>
      <c r="I6" s="288"/>
      <c r="J6" s="391" t="s">
        <v>523</v>
      </c>
      <c r="K6" s="391" t="s">
        <v>524</v>
      </c>
      <c r="L6" s="282">
        <f>AVERAGE(L8:L1007)</f>
        <v>0.92100000000000004</v>
      </c>
      <c r="M6" s="288"/>
      <c r="N6" s="391"/>
      <c r="O6" s="391"/>
      <c r="P6" s="288"/>
      <c r="Q6" s="288"/>
      <c r="R6" s="288"/>
      <c r="S6" s="288"/>
      <c r="T6" s="288"/>
      <c r="U6" s="288"/>
      <c r="V6" s="288"/>
      <c r="W6" s="288"/>
      <c r="X6" s="288"/>
      <c r="Y6" s="288"/>
      <c r="Z6" s="288"/>
    </row>
    <row r="7" spans="1:26" ht="5.5" customHeight="1" x14ac:dyDescent="0.15">
      <c r="G7" s="272" t="s">
        <v>525</v>
      </c>
    </row>
    <row r="8" spans="1:26" x14ac:dyDescent="0.15">
      <c r="B8" s="281">
        <v>1</v>
      </c>
      <c r="C8" s="294">
        <v>22844.657336210999</v>
      </c>
      <c r="D8" s="392">
        <v>6.2383074044458118</v>
      </c>
      <c r="E8" s="294">
        <v>22968.924698628016</v>
      </c>
      <c r="F8" s="272">
        <v>6.2533566379359042</v>
      </c>
      <c r="G8" s="272">
        <v>124.26736241701656</v>
      </c>
      <c r="H8" s="277">
        <v>1.5049233490092462E-2</v>
      </c>
      <c r="I8" s="402"/>
      <c r="J8" s="294">
        <f t="shared" ref="J8:J71" si="0">(D8*wtp)-C8</f>
        <v>164304.56479716336</v>
      </c>
      <c r="K8" s="294">
        <f t="shared" ref="K8:K71" si="1">(F8*wtp)-E8</f>
        <v>164631.7744394491</v>
      </c>
      <c r="L8" s="281">
        <f>IF(K8&gt;J8,1,0)</f>
        <v>1</v>
      </c>
      <c r="N8" s="294">
        <v>0</v>
      </c>
      <c r="O8" s="309">
        <v>8.9999999999999993E-3</v>
      </c>
    </row>
    <row r="9" spans="1:26" x14ac:dyDescent="0.15">
      <c r="B9" s="281">
        <v>2</v>
      </c>
      <c r="C9" s="294">
        <v>19927.39686743998</v>
      </c>
      <c r="D9" s="392">
        <v>6.307140756859912</v>
      </c>
      <c r="E9" s="294">
        <v>20226.881179872813</v>
      </c>
      <c r="F9" s="272">
        <v>6.3867035979238365</v>
      </c>
      <c r="G9" s="272">
        <v>299.48431243283267</v>
      </c>
      <c r="H9" s="277">
        <v>7.9562841063924417E-2</v>
      </c>
      <c r="J9" s="294">
        <f t="shared" si="0"/>
        <v>169286.82583835738</v>
      </c>
      <c r="K9" s="294">
        <f t="shared" si="1"/>
        <v>171374.22675784229</v>
      </c>
      <c r="L9" s="281">
        <f t="shared" ref="L9:L72" si="2">IF(K9&gt;J9,1,0)</f>
        <v>1</v>
      </c>
      <c r="N9" s="294">
        <v>1000</v>
      </c>
      <c r="O9" s="309">
        <v>1E-3</v>
      </c>
    </row>
    <row r="10" spans="1:26" x14ac:dyDescent="0.15">
      <c r="B10" s="281">
        <v>3</v>
      </c>
      <c r="C10" s="294">
        <v>20139.657723266992</v>
      </c>
      <c r="D10" s="392">
        <v>6.2670427435624587</v>
      </c>
      <c r="E10" s="294">
        <v>20304.75649519181</v>
      </c>
      <c r="F10" s="272">
        <v>6.3109489097521729</v>
      </c>
      <c r="G10" s="272">
        <v>165.09877192481872</v>
      </c>
      <c r="H10" s="277">
        <v>4.3906166189714213E-2</v>
      </c>
      <c r="J10" s="294">
        <f t="shared" si="0"/>
        <v>167871.62458360678</v>
      </c>
      <c r="K10" s="294">
        <f t="shared" si="1"/>
        <v>169023.71079737338</v>
      </c>
      <c r="L10" s="281">
        <f t="shared" si="2"/>
        <v>1</v>
      </c>
      <c r="N10" s="294">
        <v>1500</v>
      </c>
      <c r="O10" s="309">
        <v>0</v>
      </c>
    </row>
    <row r="11" spans="1:26" x14ac:dyDescent="0.15">
      <c r="B11" s="281">
        <v>4</v>
      </c>
      <c r="C11" s="294">
        <v>21314.845552303399</v>
      </c>
      <c r="D11" s="392">
        <v>6.3138922166297728</v>
      </c>
      <c r="E11" s="294">
        <v>21573.540662167336</v>
      </c>
      <c r="F11" s="272">
        <v>6.3465774321647741</v>
      </c>
      <c r="G11" s="272">
        <v>258.69510986393652</v>
      </c>
      <c r="H11" s="277">
        <v>3.2685215535001255E-2</v>
      </c>
      <c r="J11" s="294">
        <f t="shared" si="0"/>
        <v>168101.92094658979</v>
      </c>
      <c r="K11" s="294">
        <f t="shared" si="1"/>
        <v>168823.78230277589</v>
      </c>
      <c r="L11" s="281">
        <f t="shared" si="2"/>
        <v>1</v>
      </c>
      <c r="N11" s="294">
        <v>2000</v>
      </c>
      <c r="O11" s="309">
        <v>0</v>
      </c>
    </row>
    <row r="12" spans="1:26" x14ac:dyDescent="0.15">
      <c r="B12" s="281">
        <v>5</v>
      </c>
      <c r="C12" s="294">
        <v>21498.166015415471</v>
      </c>
      <c r="D12" s="392">
        <v>6.0992926247460053</v>
      </c>
      <c r="E12" s="294">
        <v>21590.455001274589</v>
      </c>
      <c r="F12" s="272">
        <v>6.1227981742761788</v>
      </c>
      <c r="G12" s="272">
        <v>92.288985859118839</v>
      </c>
      <c r="H12" s="277">
        <v>2.3505549530173475E-2</v>
      </c>
      <c r="J12" s="294">
        <f t="shared" si="0"/>
        <v>161480.61272696467</v>
      </c>
      <c r="K12" s="294">
        <f t="shared" si="1"/>
        <v>162093.49022701077</v>
      </c>
      <c r="L12" s="281">
        <f t="shared" si="2"/>
        <v>1</v>
      </c>
      <c r="N12" s="294">
        <v>2500</v>
      </c>
      <c r="O12" s="309">
        <v>2E-3</v>
      </c>
    </row>
    <row r="13" spans="1:26" x14ac:dyDescent="0.15">
      <c r="B13" s="281">
        <v>6</v>
      </c>
      <c r="C13" s="294">
        <v>21508.458004096563</v>
      </c>
      <c r="D13" s="392">
        <v>6.263598929430561</v>
      </c>
      <c r="E13" s="294">
        <v>21699.893896342805</v>
      </c>
      <c r="F13" s="272">
        <v>6.3209012087702989</v>
      </c>
      <c r="G13" s="272">
        <v>191.43589224624156</v>
      </c>
      <c r="H13" s="277">
        <v>5.7302279339737971E-2</v>
      </c>
      <c r="J13" s="294">
        <f t="shared" si="0"/>
        <v>166399.50987882027</v>
      </c>
      <c r="K13" s="294">
        <f t="shared" si="1"/>
        <v>167927.14236676617</v>
      </c>
      <c r="L13" s="281">
        <f t="shared" si="2"/>
        <v>1</v>
      </c>
      <c r="N13" s="294">
        <v>3000</v>
      </c>
      <c r="O13" s="309">
        <v>1.0999999999999999E-2</v>
      </c>
    </row>
    <row r="14" spans="1:26" x14ac:dyDescent="0.15">
      <c r="B14" s="281">
        <v>7</v>
      </c>
      <c r="C14" s="294">
        <v>22591.319356951924</v>
      </c>
      <c r="D14" s="392">
        <v>6.226956992599856</v>
      </c>
      <c r="E14" s="294">
        <v>22896.488049172978</v>
      </c>
      <c r="F14" s="272">
        <v>6.2865848670223379</v>
      </c>
      <c r="G14" s="272">
        <v>305.16869222105379</v>
      </c>
      <c r="H14" s="277">
        <v>5.9627874422481852E-2</v>
      </c>
      <c r="J14" s="294">
        <f t="shared" si="0"/>
        <v>164217.39042104376</v>
      </c>
      <c r="K14" s="294">
        <f t="shared" si="1"/>
        <v>165701.05796149716</v>
      </c>
      <c r="L14" s="281">
        <f t="shared" si="2"/>
        <v>1</v>
      </c>
      <c r="N14" s="294">
        <v>3500</v>
      </c>
      <c r="O14" s="309">
        <v>0.06</v>
      </c>
    </row>
    <row r="15" spans="1:26" x14ac:dyDescent="0.15">
      <c r="B15" s="281">
        <v>8</v>
      </c>
      <c r="C15" s="294">
        <v>22504.674584854271</v>
      </c>
      <c r="D15" s="392">
        <v>6.1617716952768182</v>
      </c>
      <c r="E15" s="294">
        <v>22665.391905471781</v>
      </c>
      <c r="F15" s="272">
        <v>6.1845635569644193</v>
      </c>
      <c r="G15" s="272">
        <v>160.71732061751027</v>
      </c>
      <c r="H15" s="277">
        <v>2.2791861687601056E-2</v>
      </c>
      <c r="J15" s="294">
        <f t="shared" si="0"/>
        <v>162348.47627345027</v>
      </c>
      <c r="K15" s="294">
        <f t="shared" si="1"/>
        <v>162871.5148034608</v>
      </c>
      <c r="L15" s="281">
        <f t="shared" si="2"/>
        <v>1</v>
      </c>
      <c r="N15" s="294">
        <v>4000</v>
      </c>
      <c r="O15" s="309">
        <v>0.123</v>
      </c>
    </row>
    <row r="16" spans="1:26" x14ac:dyDescent="0.15">
      <c r="B16" s="281">
        <v>9</v>
      </c>
      <c r="C16" s="294">
        <v>21038.402479817494</v>
      </c>
      <c r="D16" s="392">
        <v>6.2527833343489263</v>
      </c>
      <c r="E16" s="294">
        <v>21145.985161375022</v>
      </c>
      <c r="F16" s="272">
        <v>6.260689637951586</v>
      </c>
      <c r="G16" s="272">
        <v>107.58268155752739</v>
      </c>
      <c r="H16" s="277">
        <v>7.9063036026596478E-3</v>
      </c>
      <c r="J16" s="294">
        <f t="shared" si="0"/>
        <v>166545.0975506503</v>
      </c>
      <c r="K16" s="294">
        <f t="shared" si="1"/>
        <v>166674.70397717255</v>
      </c>
      <c r="L16" s="281">
        <f t="shared" si="2"/>
        <v>1</v>
      </c>
      <c r="N16" s="294">
        <v>4500</v>
      </c>
      <c r="O16" s="309">
        <v>0.219</v>
      </c>
    </row>
    <row r="17" spans="2:15" x14ac:dyDescent="0.15">
      <c r="B17" s="281">
        <v>10</v>
      </c>
      <c r="C17" s="294">
        <v>22796.850818208288</v>
      </c>
      <c r="D17" s="392">
        <v>6.2958051623558413</v>
      </c>
      <c r="E17" s="294">
        <v>23019.823425098428</v>
      </c>
      <c r="F17" s="272">
        <v>6.3283649910471347</v>
      </c>
      <c r="G17" s="272">
        <v>222.97260689014001</v>
      </c>
      <c r="H17" s="277">
        <v>3.2559828691293369E-2</v>
      </c>
      <c r="J17" s="294">
        <f t="shared" si="0"/>
        <v>166077.30405246693</v>
      </c>
      <c r="K17" s="294">
        <f t="shared" si="1"/>
        <v>166831.12630631559</v>
      </c>
      <c r="L17" s="281">
        <f t="shared" si="2"/>
        <v>1</v>
      </c>
      <c r="N17" s="294">
        <v>5000</v>
      </c>
      <c r="O17" s="309">
        <v>0.31900000000000001</v>
      </c>
    </row>
    <row r="18" spans="2:15" x14ac:dyDescent="0.15">
      <c r="B18" s="281">
        <v>11</v>
      </c>
      <c r="C18" s="294">
        <v>21424.031878470003</v>
      </c>
      <c r="D18" s="392">
        <v>6.332575611202909</v>
      </c>
      <c r="E18" s="294">
        <v>21609.403367262916</v>
      </c>
      <c r="F18" s="272">
        <v>6.3597895314970225</v>
      </c>
      <c r="G18" s="272">
        <v>185.37148879291271</v>
      </c>
      <c r="H18" s="277">
        <v>2.7213920294113514E-2</v>
      </c>
      <c r="J18" s="294">
        <f t="shared" si="0"/>
        <v>168553.23645761725</v>
      </c>
      <c r="K18" s="294">
        <f t="shared" si="1"/>
        <v>169184.28257764777</v>
      </c>
      <c r="L18" s="281">
        <f t="shared" si="2"/>
        <v>1</v>
      </c>
      <c r="N18" s="294">
        <v>5500</v>
      </c>
      <c r="O18" s="309">
        <v>0.439</v>
      </c>
    </row>
    <row r="19" spans="2:15" x14ac:dyDescent="0.15">
      <c r="B19" s="281">
        <v>12</v>
      </c>
      <c r="C19" s="294">
        <v>21580.177040496226</v>
      </c>
      <c r="D19" s="392">
        <v>6.2758105778652507</v>
      </c>
      <c r="E19" s="294">
        <v>21858.419232257165</v>
      </c>
      <c r="F19" s="272">
        <v>6.3122703585488535</v>
      </c>
      <c r="G19" s="272">
        <v>278.24219176093902</v>
      </c>
      <c r="H19" s="277">
        <v>3.6459780683602894E-2</v>
      </c>
      <c r="J19" s="294">
        <f t="shared" si="0"/>
        <v>166694.14029546129</v>
      </c>
      <c r="K19" s="294">
        <f t="shared" si="1"/>
        <v>167509.69152420844</v>
      </c>
      <c r="L19" s="281">
        <f t="shared" si="2"/>
        <v>1</v>
      </c>
      <c r="N19" s="294">
        <v>6000</v>
      </c>
      <c r="O19" s="309">
        <v>0.51200000000000001</v>
      </c>
    </row>
    <row r="20" spans="2:15" x14ac:dyDescent="0.15">
      <c r="B20" s="281">
        <v>13</v>
      </c>
      <c r="C20" s="294">
        <v>22033.870200348625</v>
      </c>
      <c r="D20" s="392">
        <v>6.2958397010985543</v>
      </c>
      <c r="E20" s="294">
        <v>22307.563969081966</v>
      </c>
      <c r="F20" s="272">
        <v>6.3378735012741449</v>
      </c>
      <c r="G20" s="272">
        <v>273.69376873334113</v>
      </c>
      <c r="H20" s="277">
        <v>4.2033800175590663E-2</v>
      </c>
      <c r="J20" s="294">
        <f t="shared" si="0"/>
        <v>166841.32083260798</v>
      </c>
      <c r="K20" s="294">
        <f t="shared" si="1"/>
        <v>167828.64106914238</v>
      </c>
      <c r="L20" s="281">
        <f t="shared" si="2"/>
        <v>1</v>
      </c>
      <c r="N20" s="294">
        <v>6500</v>
      </c>
      <c r="O20" s="309">
        <v>0.57599999999999996</v>
      </c>
    </row>
    <row r="21" spans="2:15" x14ac:dyDescent="0.15">
      <c r="B21" s="281">
        <v>14</v>
      </c>
      <c r="C21" s="294">
        <v>21065.452430447818</v>
      </c>
      <c r="D21" s="392">
        <v>6.1162144019201952</v>
      </c>
      <c r="E21" s="294">
        <v>21294.165381165982</v>
      </c>
      <c r="F21" s="272">
        <v>6.1528701953643443</v>
      </c>
      <c r="G21" s="272">
        <v>228.71295071816348</v>
      </c>
      <c r="H21" s="277">
        <v>3.6655793444149154E-2</v>
      </c>
      <c r="J21" s="294">
        <f t="shared" si="0"/>
        <v>162420.97962715803</v>
      </c>
      <c r="K21" s="294">
        <f t="shared" si="1"/>
        <v>163291.94047976437</v>
      </c>
      <c r="L21" s="281">
        <f t="shared" si="2"/>
        <v>1</v>
      </c>
      <c r="N21" s="294">
        <v>7000</v>
      </c>
      <c r="O21" s="309">
        <v>0.63400000000000001</v>
      </c>
    </row>
    <row r="22" spans="2:15" x14ac:dyDescent="0.15">
      <c r="B22" s="281">
        <v>15</v>
      </c>
      <c r="C22" s="294">
        <v>20866.958075138264</v>
      </c>
      <c r="D22" s="392">
        <v>6.2936092542859665</v>
      </c>
      <c r="E22" s="294">
        <v>21136.290255455122</v>
      </c>
      <c r="F22" s="272">
        <v>6.3581506248229767</v>
      </c>
      <c r="G22" s="272">
        <v>269.33218031685828</v>
      </c>
      <c r="H22" s="277">
        <v>6.4541370537010145E-2</v>
      </c>
      <c r="J22" s="294">
        <f t="shared" si="0"/>
        <v>167941.31955344073</v>
      </c>
      <c r="K22" s="294">
        <f t="shared" si="1"/>
        <v>169608.22848923417</v>
      </c>
      <c r="L22" s="281">
        <f t="shared" si="2"/>
        <v>1</v>
      </c>
      <c r="N22" s="294">
        <v>7500</v>
      </c>
      <c r="O22" s="309">
        <v>0.68200000000000005</v>
      </c>
    </row>
    <row r="23" spans="2:15" x14ac:dyDescent="0.15">
      <c r="B23" s="281">
        <v>16</v>
      </c>
      <c r="C23" s="294">
        <v>21399.659492981107</v>
      </c>
      <c r="D23" s="392">
        <v>6.2303805201602547</v>
      </c>
      <c r="E23" s="294">
        <v>21508.286359142232</v>
      </c>
      <c r="F23" s="272">
        <v>6.237223344745523</v>
      </c>
      <c r="G23" s="272">
        <v>108.62686616112478</v>
      </c>
      <c r="H23" s="277">
        <v>6.8428245852683034E-3</v>
      </c>
      <c r="J23" s="294">
        <f t="shared" si="0"/>
        <v>165511.75611182654</v>
      </c>
      <c r="K23" s="294">
        <f t="shared" si="1"/>
        <v>165608.41398322347</v>
      </c>
      <c r="L23" s="281">
        <f t="shared" si="2"/>
        <v>1</v>
      </c>
      <c r="N23" s="294">
        <v>8000</v>
      </c>
      <c r="O23" s="309">
        <v>0.71299999999999997</v>
      </c>
    </row>
    <row r="24" spans="2:15" x14ac:dyDescent="0.15">
      <c r="B24" s="281">
        <v>17</v>
      </c>
      <c r="C24" s="294">
        <v>20623.422998261889</v>
      </c>
      <c r="D24" s="392">
        <v>6.3617747313990218</v>
      </c>
      <c r="E24" s="294">
        <v>20888.446555324306</v>
      </c>
      <c r="F24" s="272">
        <v>6.3808289936344504</v>
      </c>
      <c r="G24" s="272">
        <v>265.02355706241724</v>
      </c>
      <c r="H24" s="277">
        <v>1.905426223542861E-2</v>
      </c>
      <c r="J24" s="294">
        <f t="shared" si="0"/>
        <v>170229.81894370876</v>
      </c>
      <c r="K24" s="294">
        <f t="shared" si="1"/>
        <v>170536.42325370922</v>
      </c>
      <c r="L24" s="281">
        <f t="shared" si="2"/>
        <v>1</v>
      </c>
      <c r="N24" s="294">
        <v>8500</v>
      </c>
      <c r="O24" s="309">
        <v>0.74299999999999999</v>
      </c>
    </row>
    <row r="25" spans="2:15" x14ac:dyDescent="0.15">
      <c r="B25" s="281">
        <v>18</v>
      </c>
      <c r="C25" s="294">
        <v>20973.993009142632</v>
      </c>
      <c r="D25" s="392">
        <v>6.3212225187211732</v>
      </c>
      <c r="E25" s="294">
        <v>21270.969251254435</v>
      </c>
      <c r="F25" s="272">
        <v>6.3831228050431079</v>
      </c>
      <c r="G25" s="272">
        <v>296.976242111803</v>
      </c>
      <c r="H25" s="277">
        <v>6.1900286321934672E-2</v>
      </c>
      <c r="J25" s="294">
        <f t="shared" si="0"/>
        <v>168662.68255249257</v>
      </c>
      <c r="K25" s="294">
        <f t="shared" si="1"/>
        <v>170222.71490003882</v>
      </c>
      <c r="L25" s="281">
        <f t="shared" si="2"/>
        <v>1</v>
      </c>
      <c r="N25" s="294">
        <v>9000</v>
      </c>
      <c r="O25" s="309">
        <v>0.77800000000000002</v>
      </c>
    </row>
    <row r="26" spans="2:15" x14ac:dyDescent="0.15">
      <c r="B26" s="281">
        <v>19</v>
      </c>
      <c r="C26" s="294">
        <v>20788.502946705536</v>
      </c>
      <c r="D26" s="392">
        <v>6.3587554725383821</v>
      </c>
      <c r="E26" s="294">
        <v>20969.200483258759</v>
      </c>
      <c r="F26" s="272">
        <v>6.4010206154873579</v>
      </c>
      <c r="G26" s="272">
        <v>180.69753655322347</v>
      </c>
      <c r="H26" s="277">
        <v>4.2265142948975765E-2</v>
      </c>
      <c r="J26" s="294">
        <f t="shared" si="0"/>
        <v>169974.16122944595</v>
      </c>
      <c r="K26" s="294">
        <f t="shared" si="1"/>
        <v>171061.41798136197</v>
      </c>
      <c r="L26" s="281">
        <f t="shared" si="2"/>
        <v>1</v>
      </c>
      <c r="N26" s="294">
        <v>9500</v>
      </c>
      <c r="O26" s="309">
        <v>0.79500000000000004</v>
      </c>
    </row>
    <row r="27" spans="2:15" x14ac:dyDescent="0.15">
      <c r="B27" s="281">
        <v>20</v>
      </c>
      <c r="C27" s="294">
        <v>22014.076083748856</v>
      </c>
      <c r="D27" s="392">
        <v>6.160404906433472</v>
      </c>
      <c r="E27" s="294">
        <v>22282.670165332253</v>
      </c>
      <c r="F27" s="272">
        <v>6.2243853368430049</v>
      </c>
      <c r="G27" s="272">
        <v>268.59408158339647</v>
      </c>
      <c r="H27" s="277">
        <v>6.3980430409532829E-2</v>
      </c>
      <c r="J27" s="294">
        <f t="shared" si="0"/>
        <v>162798.07110925531</v>
      </c>
      <c r="K27" s="294">
        <f t="shared" si="1"/>
        <v>164448.88993995788</v>
      </c>
      <c r="L27" s="281">
        <f t="shared" si="2"/>
        <v>1</v>
      </c>
      <c r="N27" s="294">
        <v>10000</v>
      </c>
      <c r="O27" s="309">
        <v>0.81399999999999995</v>
      </c>
    </row>
    <row r="28" spans="2:15" x14ac:dyDescent="0.15">
      <c r="B28" s="281">
        <v>21</v>
      </c>
      <c r="C28" s="294">
        <v>22344.848782816902</v>
      </c>
      <c r="D28" s="392">
        <v>6.16563715390983</v>
      </c>
      <c r="E28" s="294">
        <v>22552.982387978176</v>
      </c>
      <c r="F28" s="272">
        <v>6.1962623391765801</v>
      </c>
      <c r="G28" s="272">
        <v>208.13360516127432</v>
      </c>
      <c r="H28" s="277">
        <v>3.0625185266750066E-2</v>
      </c>
      <c r="J28" s="294">
        <f t="shared" si="0"/>
        <v>162624.26583447799</v>
      </c>
      <c r="K28" s="294">
        <f t="shared" si="1"/>
        <v>163334.88778731923</v>
      </c>
      <c r="L28" s="281">
        <f t="shared" si="2"/>
        <v>1</v>
      </c>
      <c r="N28" s="294">
        <v>10500</v>
      </c>
      <c r="O28" s="309">
        <v>0.82199999999999995</v>
      </c>
    </row>
    <row r="29" spans="2:15" x14ac:dyDescent="0.15">
      <c r="B29" s="281">
        <v>22</v>
      </c>
      <c r="C29" s="294">
        <v>21095.964407483112</v>
      </c>
      <c r="D29" s="392">
        <v>6.2279222557888492</v>
      </c>
      <c r="E29" s="294">
        <v>21283.837364862458</v>
      </c>
      <c r="F29" s="272">
        <v>6.2776571896414941</v>
      </c>
      <c r="G29" s="272">
        <v>187.87295737934619</v>
      </c>
      <c r="H29" s="277">
        <v>4.9734933852644936E-2</v>
      </c>
      <c r="J29" s="294">
        <f t="shared" si="0"/>
        <v>165741.70326618236</v>
      </c>
      <c r="K29" s="294">
        <f t="shared" si="1"/>
        <v>167045.87832438236</v>
      </c>
      <c r="L29" s="281">
        <f t="shared" si="2"/>
        <v>1</v>
      </c>
      <c r="N29" s="294">
        <v>11000</v>
      </c>
      <c r="O29" s="309">
        <v>0.83</v>
      </c>
    </row>
    <row r="30" spans="2:15" x14ac:dyDescent="0.15">
      <c r="B30" s="281">
        <v>23</v>
      </c>
      <c r="C30" s="294">
        <v>21102.417617555377</v>
      </c>
      <c r="D30" s="392">
        <v>6.2628858281267767</v>
      </c>
      <c r="E30" s="294">
        <v>21303.460464629839</v>
      </c>
      <c r="F30" s="272">
        <v>6.2814342072616576</v>
      </c>
      <c r="G30" s="272">
        <v>201.04284707446277</v>
      </c>
      <c r="H30" s="277">
        <v>1.8548379134880832E-2</v>
      </c>
      <c r="J30" s="294">
        <f t="shared" si="0"/>
        <v>166784.15722624792</v>
      </c>
      <c r="K30" s="294">
        <f t="shared" si="1"/>
        <v>167139.56575321988</v>
      </c>
      <c r="L30" s="281">
        <f t="shared" si="2"/>
        <v>1</v>
      </c>
      <c r="N30" s="294">
        <v>11500</v>
      </c>
      <c r="O30" s="309">
        <v>0.84199999999999997</v>
      </c>
    </row>
    <row r="31" spans="2:15" x14ac:dyDescent="0.15">
      <c r="B31" s="281">
        <v>24</v>
      </c>
      <c r="C31" s="294">
        <v>22741.419639767169</v>
      </c>
      <c r="D31" s="392">
        <v>6.358310341858429</v>
      </c>
      <c r="E31" s="294">
        <v>22979.217271111254</v>
      </c>
      <c r="F31" s="272">
        <v>6.4069673411548296</v>
      </c>
      <c r="G31" s="272">
        <v>237.79763134408495</v>
      </c>
      <c r="H31" s="277">
        <v>4.8656999296400549E-2</v>
      </c>
      <c r="J31" s="294">
        <f t="shared" si="0"/>
        <v>168007.8906159857</v>
      </c>
      <c r="K31" s="294">
        <f t="shared" si="1"/>
        <v>169229.80296353361</v>
      </c>
      <c r="L31" s="281">
        <f t="shared" si="2"/>
        <v>1</v>
      </c>
      <c r="N31" s="294">
        <v>12000</v>
      </c>
      <c r="O31" s="309">
        <v>0.85199999999999998</v>
      </c>
    </row>
    <row r="32" spans="2:15" x14ac:dyDescent="0.15">
      <c r="B32" s="281">
        <v>25</v>
      </c>
      <c r="C32" s="294">
        <v>21989.652649133925</v>
      </c>
      <c r="D32" s="392">
        <v>6.2327534425619913</v>
      </c>
      <c r="E32" s="294">
        <v>22296.160864464826</v>
      </c>
      <c r="F32" s="272">
        <v>6.2788261892975026</v>
      </c>
      <c r="G32" s="272">
        <v>306.50821533090129</v>
      </c>
      <c r="H32" s="277">
        <v>4.6072746735511316E-2</v>
      </c>
      <c r="J32" s="294">
        <f t="shared" si="0"/>
        <v>164992.9506277258</v>
      </c>
      <c r="K32" s="294">
        <f t="shared" si="1"/>
        <v>166068.62481446026</v>
      </c>
      <c r="L32" s="281">
        <f t="shared" si="2"/>
        <v>1</v>
      </c>
      <c r="N32" s="294">
        <v>12500</v>
      </c>
      <c r="O32" s="309">
        <v>0.85599999999999998</v>
      </c>
    </row>
    <row r="33" spans="2:15" x14ac:dyDescent="0.15">
      <c r="B33" s="281">
        <v>26</v>
      </c>
      <c r="C33" s="294">
        <v>21052.067237589348</v>
      </c>
      <c r="D33" s="392">
        <v>6.3125076712888468</v>
      </c>
      <c r="E33" s="294">
        <v>21303.391221862435</v>
      </c>
      <c r="F33" s="272">
        <v>6.3715122919599478</v>
      </c>
      <c r="G33" s="272">
        <v>251.32398427308726</v>
      </c>
      <c r="H33" s="277">
        <v>5.9004620671101016E-2</v>
      </c>
      <c r="J33" s="294">
        <f t="shared" si="0"/>
        <v>168323.16290107608</v>
      </c>
      <c r="K33" s="294">
        <f t="shared" si="1"/>
        <v>169841.977536936</v>
      </c>
      <c r="L33" s="281">
        <f t="shared" si="2"/>
        <v>1</v>
      </c>
      <c r="N33" s="294">
        <v>13000</v>
      </c>
      <c r="O33" s="309">
        <v>0.86199999999999999</v>
      </c>
    </row>
    <row r="34" spans="2:15" x14ac:dyDescent="0.15">
      <c r="B34" s="281">
        <v>27</v>
      </c>
      <c r="C34" s="294">
        <v>22075.109695778334</v>
      </c>
      <c r="D34" s="392">
        <v>6.1720519119323765</v>
      </c>
      <c r="E34" s="294">
        <v>22362.243808805466</v>
      </c>
      <c r="F34" s="272">
        <v>6.2052544603146398</v>
      </c>
      <c r="G34" s="272">
        <v>287.13411302713212</v>
      </c>
      <c r="H34" s="277">
        <v>3.320254838226333E-2</v>
      </c>
      <c r="J34" s="294">
        <f t="shared" si="0"/>
        <v>163086.44766219295</v>
      </c>
      <c r="K34" s="294">
        <f t="shared" si="1"/>
        <v>163795.39000063372</v>
      </c>
      <c r="L34" s="281">
        <f t="shared" si="2"/>
        <v>1</v>
      </c>
      <c r="N34" s="294">
        <v>13500</v>
      </c>
      <c r="O34" s="309">
        <v>0.86599999999999999</v>
      </c>
    </row>
    <row r="35" spans="2:15" x14ac:dyDescent="0.15">
      <c r="B35" s="281">
        <v>28</v>
      </c>
      <c r="C35" s="294">
        <v>20256.214261186029</v>
      </c>
      <c r="D35" s="392">
        <v>6.2636466587749009</v>
      </c>
      <c r="E35" s="294">
        <v>20427.675947866694</v>
      </c>
      <c r="F35" s="272">
        <v>6.3030752492232551</v>
      </c>
      <c r="G35" s="272">
        <v>171.46168668066457</v>
      </c>
      <c r="H35" s="277">
        <v>3.9428590448354228E-2</v>
      </c>
      <c r="J35" s="294">
        <f t="shared" si="0"/>
        <v>167653.18550206101</v>
      </c>
      <c r="K35" s="294">
        <f t="shared" si="1"/>
        <v>168664.58152883095</v>
      </c>
      <c r="L35" s="281">
        <f t="shared" si="2"/>
        <v>1</v>
      </c>
      <c r="N35" s="294">
        <v>14000</v>
      </c>
      <c r="O35" s="309">
        <v>0.874</v>
      </c>
    </row>
    <row r="36" spans="2:15" x14ac:dyDescent="0.15">
      <c r="B36" s="281">
        <v>29</v>
      </c>
      <c r="C36" s="294">
        <v>21662.746049210124</v>
      </c>
      <c r="D36" s="392">
        <v>6.2928589645929014</v>
      </c>
      <c r="E36" s="294">
        <v>21845.000131696768</v>
      </c>
      <c r="F36" s="272">
        <v>6.3379041708559827</v>
      </c>
      <c r="G36" s="272">
        <v>182.25408248664462</v>
      </c>
      <c r="H36" s="277">
        <v>4.5045206263081283E-2</v>
      </c>
      <c r="J36" s="294">
        <f t="shared" si="0"/>
        <v>167123.0228885769</v>
      </c>
      <c r="K36" s="294">
        <f t="shared" si="1"/>
        <v>168292.12499398272</v>
      </c>
      <c r="L36" s="281">
        <f t="shared" si="2"/>
        <v>1</v>
      </c>
      <c r="N36" s="294">
        <v>14500</v>
      </c>
      <c r="O36" s="309">
        <v>0.88200000000000001</v>
      </c>
    </row>
    <row r="37" spans="2:15" x14ac:dyDescent="0.15">
      <c r="B37" s="281">
        <v>30</v>
      </c>
      <c r="C37" s="294">
        <v>21042.33767989351</v>
      </c>
      <c r="D37" s="392">
        <v>6.2939209996563381</v>
      </c>
      <c r="E37" s="294">
        <v>21359.626663687861</v>
      </c>
      <c r="F37" s="272">
        <v>6.3506362521178081</v>
      </c>
      <c r="G37" s="272">
        <v>317.28898379435122</v>
      </c>
      <c r="H37" s="277">
        <v>5.6715252461470023E-2</v>
      </c>
      <c r="J37" s="294">
        <f t="shared" si="0"/>
        <v>167775.29230979664</v>
      </c>
      <c r="K37" s="294">
        <f t="shared" si="1"/>
        <v>169159.46089984637</v>
      </c>
      <c r="L37" s="281">
        <f t="shared" si="2"/>
        <v>1</v>
      </c>
      <c r="N37" s="294">
        <v>15000</v>
      </c>
      <c r="O37" s="309">
        <v>0.88400000000000001</v>
      </c>
    </row>
    <row r="38" spans="2:15" x14ac:dyDescent="0.15">
      <c r="B38" s="281">
        <v>31</v>
      </c>
      <c r="C38" s="294">
        <v>21590.217549954868</v>
      </c>
      <c r="D38" s="392">
        <v>6.2158128686846199</v>
      </c>
      <c r="E38" s="294">
        <v>21861.400453703231</v>
      </c>
      <c r="F38" s="272">
        <v>6.2713807620533677</v>
      </c>
      <c r="G38" s="272">
        <v>271.18290374836215</v>
      </c>
      <c r="H38" s="277">
        <v>5.5567893368747789E-2</v>
      </c>
      <c r="J38" s="294">
        <f t="shared" si="0"/>
        <v>164884.16851058372</v>
      </c>
      <c r="K38" s="294">
        <f t="shared" si="1"/>
        <v>166280.02240789781</v>
      </c>
      <c r="L38" s="281">
        <f t="shared" si="2"/>
        <v>1</v>
      </c>
      <c r="N38" s="294">
        <v>15500</v>
      </c>
      <c r="O38" s="309">
        <v>0.88700000000000001</v>
      </c>
    </row>
    <row r="39" spans="2:15" x14ac:dyDescent="0.15">
      <c r="B39" s="281">
        <v>32</v>
      </c>
      <c r="C39" s="294">
        <v>20885.051987794439</v>
      </c>
      <c r="D39" s="392">
        <v>6.2223004663883064</v>
      </c>
      <c r="E39" s="294">
        <v>21025.566255433419</v>
      </c>
      <c r="F39" s="272">
        <v>6.2591525658851257</v>
      </c>
      <c r="G39" s="272">
        <v>140.51426763898053</v>
      </c>
      <c r="H39" s="277">
        <v>3.6852099496819335E-2</v>
      </c>
      <c r="J39" s="294">
        <f t="shared" si="0"/>
        <v>165783.96200385477</v>
      </c>
      <c r="K39" s="294">
        <f t="shared" si="1"/>
        <v>166749.01072112034</v>
      </c>
      <c r="L39" s="281">
        <f t="shared" si="2"/>
        <v>1</v>
      </c>
      <c r="N39" s="294">
        <v>16000</v>
      </c>
      <c r="O39" s="309">
        <v>0.89300000000000002</v>
      </c>
    </row>
    <row r="40" spans="2:15" x14ac:dyDescent="0.15">
      <c r="B40" s="281">
        <v>33</v>
      </c>
      <c r="C40" s="294">
        <v>21052.950206918842</v>
      </c>
      <c r="D40" s="392">
        <v>6.2311548416476548</v>
      </c>
      <c r="E40" s="294">
        <v>21296.019281867604</v>
      </c>
      <c r="F40" s="272">
        <v>6.2827090182810581</v>
      </c>
      <c r="G40" s="272">
        <v>243.06907494876214</v>
      </c>
      <c r="H40" s="277">
        <v>5.1554176633403337E-2</v>
      </c>
      <c r="J40" s="294">
        <f t="shared" si="0"/>
        <v>165881.69504251081</v>
      </c>
      <c r="K40" s="294">
        <f t="shared" si="1"/>
        <v>167185.25126656416</v>
      </c>
      <c r="L40" s="281">
        <f t="shared" si="2"/>
        <v>1</v>
      </c>
      <c r="N40" s="294">
        <v>16500</v>
      </c>
      <c r="O40" s="309">
        <v>0.89400000000000002</v>
      </c>
    </row>
    <row r="41" spans="2:15" x14ac:dyDescent="0.15">
      <c r="B41" s="281">
        <v>34</v>
      </c>
      <c r="C41" s="294">
        <v>20441.370695265294</v>
      </c>
      <c r="D41" s="392">
        <v>6.2793582492433542</v>
      </c>
      <c r="E41" s="294">
        <v>20709.382788641669</v>
      </c>
      <c r="F41" s="272">
        <v>6.2919390571257896</v>
      </c>
      <c r="G41" s="272">
        <v>268.01209337637556</v>
      </c>
      <c r="H41" s="277">
        <v>1.258080788243543E-2</v>
      </c>
      <c r="J41" s="294">
        <f t="shared" si="0"/>
        <v>167939.37678203534</v>
      </c>
      <c r="K41" s="294">
        <f t="shared" si="1"/>
        <v>168048.78892513202</v>
      </c>
      <c r="L41" s="281">
        <f t="shared" si="2"/>
        <v>1</v>
      </c>
      <c r="N41" s="294">
        <v>17000</v>
      </c>
      <c r="O41" s="309">
        <v>0.89600000000000002</v>
      </c>
    </row>
    <row r="42" spans="2:15" x14ac:dyDescent="0.15">
      <c r="B42" s="281">
        <v>35</v>
      </c>
      <c r="C42" s="294">
        <v>21301.198716467661</v>
      </c>
      <c r="D42" s="392">
        <v>6.2667625655492669</v>
      </c>
      <c r="E42" s="294">
        <v>21509.827795909838</v>
      </c>
      <c r="F42" s="272">
        <v>6.3061116789833278</v>
      </c>
      <c r="G42" s="272">
        <v>208.62907944217659</v>
      </c>
      <c r="H42" s="277">
        <v>3.9349113434060889E-2</v>
      </c>
      <c r="J42" s="294">
        <f t="shared" si="0"/>
        <v>166701.67825001036</v>
      </c>
      <c r="K42" s="294">
        <f t="shared" si="1"/>
        <v>167673.52257358999</v>
      </c>
      <c r="L42" s="281">
        <f t="shared" si="2"/>
        <v>1</v>
      </c>
      <c r="N42" s="294">
        <v>17500</v>
      </c>
      <c r="O42" s="309">
        <v>0.89600000000000002</v>
      </c>
    </row>
    <row r="43" spans="2:15" x14ac:dyDescent="0.15">
      <c r="B43" s="281">
        <v>36</v>
      </c>
      <c r="C43" s="294">
        <v>22484.46535941507</v>
      </c>
      <c r="D43" s="392">
        <v>6.1728141049279905</v>
      </c>
      <c r="E43" s="294">
        <v>22835.920456056254</v>
      </c>
      <c r="F43" s="272">
        <v>6.2377765257672335</v>
      </c>
      <c r="G43" s="272">
        <v>351.45509664118435</v>
      </c>
      <c r="H43" s="277">
        <v>6.4962420839242974E-2</v>
      </c>
      <c r="J43" s="294">
        <f t="shared" si="0"/>
        <v>162699.95778842465</v>
      </c>
      <c r="K43" s="294">
        <f t="shared" si="1"/>
        <v>164297.37531696077</v>
      </c>
      <c r="L43" s="281">
        <f t="shared" si="2"/>
        <v>1</v>
      </c>
      <c r="N43" s="294">
        <v>18000</v>
      </c>
      <c r="O43" s="309">
        <v>0.90300000000000002</v>
      </c>
    </row>
    <row r="44" spans="2:15" x14ac:dyDescent="0.15">
      <c r="B44" s="281">
        <v>37</v>
      </c>
      <c r="C44" s="294">
        <v>22298.373267754821</v>
      </c>
      <c r="D44" s="392">
        <v>6.3216767822179749</v>
      </c>
      <c r="E44" s="294">
        <v>22437.082069590964</v>
      </c>
      <c r="F44" s="272">
        <v>6.3658418595406348</v>
      </c>
      <c r="G44" s="272">
        <v>138.70880183614281</v>
      </c>
      <c r="H44" s="277">
        <v>4.416507732265984E-2</v>
      </c>
      <c r="J44" s="294">
        <f t="shared" si="0"/>
        <v>167351.93019878442</v>
      </c>
      <c r="K44" s="294">
        <f t="shared" si="1"/>
        <v>168538.17371662805</v>
      </c>
      <c r="L44" s="281">
        <f t="shared" si="2"/>
        <v>1</v>
      </c>
      <c r="N44" s="294">
        <v>18500</v>
      </c>
      <c r="O44" s="309">
        <v>0.90300000000000002</v>
      </c>
    </row>
    <row r="45" spans="2:15" x14ac:dyDescent="0.15">
      <c r="B45" s="281">
        <v>38</v>
      </c>
      <c r="C45" s="294">
        <v>19727.7709780277</v>
      </c>
      <c r="D45" s="392">
        <v>6.226914306180384</v>
      </c>
      <c r="E45" s="294">
        <v>20012.722008441626</v>
      </c>
      <c r="F45" s="272">
        <v>6.2955188156565134</v>
      </c>
      <c r="G45" s="272">
        <v>284.95103041392576</v>
      </c>
      <c r="H45" s="277">
        <v>6.8604509476129394E-2</v>
      </c>
      <c r="J45" s="294">
        <f t="shared" si="0"/>
        <v>167079.65820738382</v>
      </c>
      <c r="K45" s="294">
        <f t="shared" si="1"/>
        <v>168852.84246125378</v>
      </c>
      <c r="L45" s="281">
        <f t="shared" si="2"/>
        <v>1</v>
      </c>
      <c r="N45" s="294">
        <v>19000</v>
      </c>
      <c r="O45" s="309">
        <v>0.90400000000000003</v>
      </c>
    </row>
    <row r="46" spans="2:15" x14ac:dyDescent="0.15">
      <c r="B46" s="281">
        <v>39</v>
      </c>
      <c r="C46" s="294">
        <v>22060.057791880197</v>
      </c>
      <c r="D46" s="392">
        <v>6.1497015481234119</v>
      </c>
      <c r="E46" s="294">
        <v>22163.026655786045</v>
      </c>
      <c r="F46" s="272">
        <v>6.1465680215534659</v>
      </c>
      <c r="G46" s="272">
        <v>102.96886390584768</v>
      </c>
      <c r="H46" s="277">
        <v>-3.1335265699459214E-3</v>
      </c>
      <c r="J46" s="294">
        <f t="shared" si="0"/>
        <v>162430.98865182218</v>
      </c>
      <c r="K46" s="294">
        <f t="shared" si="1"/>
        <v>162234.01399081794</v>
      </c>
      <c r="L46" s="281">
        <f t="shared" si="2"/>
        <v>0</v>
      </c>
      <c r="N46" s="294">
        <v>19500</v>
      </c>
      <c r="O46" s="309">
        <v>0.90400000000000003</v>
      </c>
    </row>
    <row r="47" spans="2:15" x14ac:dyDescent="0.15">
      <c r="B47" s="281">
        <v>40</v>
      </c>
      <c r="C47" s="294">
        <v>20427.360926691985</v>
      </c>
      <c r="D47" s="392">
        <v>6.1887853760753488</v>
      </c>
      <c r="E47" s="294">
        <v>20419.116942055491</v>
      </c>
      <c r="F47" s="272">
        <v>6.1494467616683846</v>
      </c>
      <c r="G47" s="272">
        <v>-8.2439846364941332</v>
      </c>
      <c r="H47" s="277">
        <v>-3.933861440696429E-2</v>
      </c>
      <c r="J47" s="294">
        <f t="shared" si="0"/>
        <v>165236.20035556846</v>
      </c>
      <c r="K47" s="294">
        <f t="shared" si="1"/>
        <v>164064.28590799603</v>
      </c>
      <c r="L47" s="281">
        <f t="shared" si="2"/>
        <v>0</v>
      </c>
      <c r="N47" s="294">
        <v>20000</v>
      </c>
      <c r="O47" s="309">
        <v>0.90600000000000003</v>
      </c>
    </row>
    <row r="48" spans="2:15" x14ac:dyDescent="0.15">
      <c r="B48" s="281">
        <v>41</v>
      </c>
      <c r="C48" s="294">
        <v>22240.064329229641</v>
      </c>
      <c r="D48" s="392">
        <v>6.3156103430690953</v>
      </c>
      <c r="E48" s="294">
        <v>22557.739853127176</v>
      </c>
      <c r="F48" s="272">
        <v>6.3556937902588562</v>
      </c>
      <c r="G48" s="272">
        <v>317.67552389753473</v>
      </c>
      <c r="H48" s="277">
        <v>4.0083447189760868E-2</v>
      </c>
      <c r="J48" s="294">
        <f t="shared" si="0"/>
        <v>167228.24596284321</v>
      </c>
      <c r="K48" s="294">
        <f t="shared" si="1"/>
        <v>168113.0738546385</v>
      </c>
      <c r="L48" s="281">
        <f t="shared" si="2"/>
        <v>1</v>
      </c>
      <c r="N48" s="294">
        <v>20500</v>
      </c>
      <c r="O48" s="309">
        <v>0.90700000000000003</v>
      </c>
    </row>
    <row r="49" spans="2:15" x14ac:dyDescent="0.15">
      <c r="B49" s="281">
        <v>42</v>
      </c>
      <c r="C49" s="294">
        <v>21859.633420388192</v>
      </c>
      <c r="D49" s="392">
        <v>6.1714748485686695</v>
      </c>
      <c r="E49" s="294">
        <v>22040.136149715108</v>
      </c>
      <c r="F49" s="272">
        <v>6.1962717494447803</v>
      </c>
      <c r="G49" s="272">
        <v>180.50272932691587</v>
      </c>
      <c r="H49" s="277">
        <v>2.4796900876110861E-2</v>
      </c>
      <c r="J49" s="294">
        <f t="shared" si="0"/>
        <v>163284.6120366719</v>
      </c>
      <c r="K49" s="294">
        <f t="shared" si="1"/>
        <v>163848.0163336283</v>
      </c>
      <c r="L49" s="281">
        <f t="shared" si="2"/>
        <v>1</v>
      </c>
      <c r="N49" s="294">
        <v>21000</v>
      </c>
      <c r="O49" s="309">
        <v>0.90700000000000003</v>
      </c>
    </row>
    <row r="50" spans="2:15" x14ac:dyDescent="0.15">
      <c r="B50" s="281">
        <v>43</v>
      </c>
      <c r="C50" s="294">
        <v>20863.011241399832</v>
      </c>
      <c r="D50" s="392">
        <v>6.2095605501853282</v>
      </c>
      <c r="E50" s="294">
        <v>21216.415063610562</v>
      </c>
      <c r="F50" s="272">
        <v>6.245775568194377</v>
      </c>
      <c r="G50" s="272">
        <v>353.40382221073014</v>
      </c>
      <c r="H50" s="277">
        <v>3.6215018009048805E-2</v>
      </c>
      <c r="J50" s="294">
        <f t="shared" si="0"/>
        <v>165423.80526416001</v>
      </c>
      <c r="K50" s="294">
        <f t="shared" si="1"/>
        <v>166156.85198222075</v>
      </c>
      <c r="L50" s="281">
        <f t="shared" si="2"/>
        <v>1</v>
      </c>
      <c r="N50" s="294">
        <v>21500</v>
      </c>
      <c r="O50" s="309">
        <v>0.90800000000000003</v>
      </c>
    </row>
    <row r="51" spans="2:15" x14ac:dyDescent="0.15">
      <c r="B51" s="281">
        <v>44</v>
      </c>
      <c r="C51" s="294">
        <v>22521.457444086773</v>
      </c>
      <c r="D51" s="392">
        <v>6.2050938908621269</v>
      </c>
      <c r="E51" s="294">
        <v>22747.418253757627</v>
      </c>
      <c r="F51" s="272">
        <v>6.255802164144848</v>
      </c>
      <c r="G51" s="272">
        <v>225.96080967085436</v>
      </c>
      <c r="H51" s="277">
        <v>5.0708273282721095E-2</v>
      </c>
      <c r="J51" s="294">
        <f t="shared" si="0"/>
        <v>163631.35928177706</v>
      </c>
      <c r="K51" s="294">
        <f t="shared" si="1"/>
        <v>164926.64667058783</v>
      </c>
      <c r="L51" s="281">
        <f t="shared" si="2"/>
        <v>1</v>
      </c>
      <c r="N51" s="294">
        <v>22000</v>
      </c>
      <c r="O51" s="309">
        <v>0.90800000000000003</v>
      </c>
    </row>
    <row r="52" spans="2:15" x14ac:dyDescent="0.15">
      <c r="B52" s="281">
        <v>45</v>
      </c>
      <c r="C52" s="294">
        <v>21981.60579244476</v>
      </c>
      <c r="D52" s="392">
        <v>6.3013316151162391</v>
      </c>
      <c r="E52" s="294">
        <v>22193.181563311606</v>
      </c>
      <c r="F52" s="272">
        <v>6.3509995507399113</v>
      </c>
      <c r="G52" s="272">
        <v>211.57577086684614</v>
      </c>
      <c r="H52" s="277">
        <v>4.9667935623672221E-2</v>
      </c>
      <c r="J52" s="294">
        <f t="shared" si="0"/>
        <v>167058.34266104241</v>
      </c>
      <c r="K52" s="294">
        <f t="shared" si="1"/>
        <v>168336.80495888574</v>
      </c>
      <c r="L52" s="281">
        <f t="shared" si="2"/>
        <v>1</v>
      </c>
      <c r="N52" s="294">
        <v>22500</v>
      </c>
      <c r="O52" s="309">
        <v>0.91100000000000003</v>
      </c>
    </row>
    <row r="53" spans="2:15" x14ac:dyDescent="0.15">
      <c r="B53" s="281">
        <v>46</v>
      </c>
      <c r="C53" s="294">
        <v>22632.977846020487</v>
      </c>
      <c r="D53" s="392">
        <v>6.2780544442480393</v>
      </c>
      <c r="E53" s="294">
        <v>22826.298464306263</v>
      </c>
      <c r="F53" s="272">
        <v>6.3161945960064001</v>
      </c>
      <c r="G53" s="272">
        <v>193.32061828577571</v>
      </c>
      <c r="H53" s="277">
        <v>3.814015175836083E-2</v>
      </c>
      <c r="J53" s="294">
        <f t="shared" si="0"/>
        <v>165708.65548142069</v>
      </c>
      <c r="K53" s="294">
        <f t="shared" si="1"/>
        <v>166659.53941588575</v>
      </c>
      <c r="L53" s="281">
        <f t="shared" si="2"/>
        <v>1</v>
      </c>
      <c r="N53" s="294">
        <v>23000</v>
      </c>
      <c r="O53" s="309">
        <v>0.91100000000000003</v>
      </c>
    </row>
    <row r="54" spans="2:15" x14ac:dyDescent="0.15">
      <c r="B54" s="281">
        <v>47</v>
      </c>
      <c r="C54" s="294">
        <v>21804.189125561908</v>
      </c>
      <c r="D54" s="392">
        <v>6.1744656171681482</v>
      </c>
      <c r="E54" s="294">
        <v>21972.566172625993</v>
      </c>
      <c r="F54" s="272">
        <v>6.2009164825028229</v>
      </c>
      <c r="G54" s="272">
        <v>168.37704706408476</v>
      </c>
      <c r="H54" s="277">
        <v>2.6450865334674667E-2</v>
      </c>
      <c r="J54" s="294">
        <f t="shared" si="0"/>
        <v>163429.77938948254</v>
      </c>
      <c r="K54" s="294">
        <f t="shared" si="1"/>
        <v>164054.92830245869</v>
      </c>
      <c r="L54" s="281">
        <f t="shared" si="2"/>
        <v>1</v>
      </c>
      <c r="N54" s="294">
        <v>23500</v>
      </c>
      <c r="O54" s="309">
        <v>0.91100000000000003</v>
      </c>
    </row>
    <row r="55" spans="2:15" x14ac:dyDescent="0.15">
      <c r="B55" s="281">
        <v>48</v>
      </c>
      <c r="C55" s="294">
        <v>20627.356442560987</v>
      </c>
      <c r="D55" s="392">
        <v>6.3155326548081607</v>
      </c>
      <c r="E55" s="294">
        <v>20952.311898043732</v>
      </c>
      <c r="F55" s="272">
        <v>6.3858563368154808</v>
      </c>
      <c r="G55" s="272">
        <v>324.95545548274458</v>
      </c>
      <c r="H55" s="277">
        <v>7.0323682007320087E-2</v>
      </c>
      <c r="J55" s="294">
        <f t="shared" si="0"/>
        <v>168838.62320168383</v>
      </c>
      <c r="K55" s="294">
        <f t="shared" si="1"/>
        <v>170623.37820642069</v>
      </c>
      <c r="L55" s="281">
        <f t="shared" si="2"/>
        <v>1</v>
      </c>
      <c r="N55" s="294">
        <v>24000</v>
      </c>
      <c r="O55" s="309">
        <v>0.91400000000000003</v>
      </c>
    </row>
    <row r="56" spans="2:15" x14ac:dyDescent="0.15">
      <c r="B56" s="281">
        <v>49</v>
      </c>
      <c r="C56" s="294">
        <v>20775.041686202268</v>
      </c>
      <c r="D56" s="392">
        <v>6.215816890157754</v>
      </c>
      <c r="E56" s="294">
        <v>20962.610395869142</v>
      </c>
      <c r="F56" s="272">
        <v>6.27119884139828</v>
      </c>
      <c r="G56" s="272">
        <v>187.56870966687347</v>
      </c>
      <c r="H56" s="277">
        <v>5.5381951240526028E-2</v>
      </c>
      <c r="J56" s="294">
        <f t="shared" si="0"/>
        <v>165699.46501853038</v>
      </c>
      <c r="K56" s="294">
        <f t="shared" si="1"/>
        <v>167173.35484607925</v>
      </c>
      <c r="L56" s="281">
        <f t="shared" si="2"/>
        <v>1</v>
      </c>
      <c r="N56" s="294">
        <v>24500</v>
      </c>
      <c r="O56" s="309">
        <v>0.91600000000000004</v>
      </c>
    </row>
    <row r="57" spans="2:15" x14ac:dyDescent="0.15">
      <c r="B57" s="281">
        <v>50</v>
      </c>
      <c r="C57" s="294">
        <v>20786.573813843726</v>
      </c>
      <c r="D57" s="392">
        <v>6.3879725840966026</v>
      </c>
      <c r="E57" s="294">
        <v>20979.283877823873</v>
      </c>
      <c r="F57" s="272">
        <v>6.4182554885448893</v>
      </c>
      <c r="G57" s="272">
        <v>192.71006398014651</v>
      </c>
      <c r="H57" s="277">
        <v>3.0282904448286629E-2</v>
      </c>
      <c r="J57" s="294">
        <f t="shared" si="0"/>
        <v>170852.60370905435</v>
      </c>
      <c r="K57" s="294">
        <f t="shared" si="1"/>
        <v>171568.38077852278</v>
      </c>
      <c r="L57" s="281">
        <f t="shared" si="2"/>
        <v>1</v>
      </c>
      <c r="N57" s="294">
        <v>25000</v>
      </c>
      <c r="O57" s="309">
        <v>0.91600000000000004</v>
      </c>
    </row>
    <row r="58" spans="2:15" x14ac:dyDescent="0.15">
      <c r="B58" s="281">
        <v>51</v>
      </c>
      <c r="C58" s="294">
        <v>19516.307188321163</v>
      </c>
      <c r="D58" s="392">
        <v>6.2094672360364633</v>
      </c>
      <c r="E58" s="294">
        <v>19768.129800727264</v>
      </c>
      <c r="F58" s="272">
        <v>6.2561303275063986</v>
      </c>
      <c r="G58" s="272">
        <v>251.82261240610023</v>
      </c>
      <c r="H58" s="277">
        <v>4.6663091469935303E-2</v>
      </c>
      <c r="J58" s="294">
        <f t="shared" si="0"/>
        <v>166767.70989277272</v>
      </c>
      <c r="K58" s="294">
        <f t="shared" si="1"/>
        <v>167915.78002446468</v>
      </c>
      <c r="L58" s="281">
        <f t="shared" si="2"/>
        <v>1</v>
      </c>
      <c r="N58" s="294">
        <v>25500</v>
      </c>
      <c r="O58" s="309">
        <v>0.91700000000000004</v>
      </c>
    </row>
    <row r="59" spans="2:15" x14ac:dyDescent="0.15">
      <c r="B59" s="281">
        <v>52</v>
      </c>
      <c r="C59" s="294">
        <v>20419.60798422257</v>
      </c>
      <c r="D59" s="392">
        <v>6.2263653583089402</v>
      </c>
      <c r="E59" s="294">
        <v>20762.879813790743</v>
      </c>
      <c r="F59" s="272">
        <v>6.2653936484446211</v>
      </c>
      <c r="G59" s="272">
        <v>343.27182956817342</v>
      </c>
      <c r="H59" s="277">
        <v>3.9028290135680876E-2</v>
      </c>
      <c r="J59" s="294">
        <f t="shared" si="0"/>
        <v>166371.35276504565</v>
      </c>
      <c r="K59" s="294">
        <f t="shared" si="1"/>
        <v>167198.92963954789</v>
      </c>
      <c r="L59" s="281">
        <f t="shared" si="2"/>
        <v>1</v>
      </c>
      <c r="N59" s="294">
        <v>26000</v>
      </c>
      <c r="O59" s="309">
        <v>0.91700000000000004</v>
      </c>
    </row>
    <row r="60" spans="2:15" x14ac:dyDescent="0.15">
      <c r="B60" s="281">
        <v>53</v>
      </c>
      <c r="C60" s="294">
        <v>21265.519892778033</v>
      </c>
      <c r="D60" s="392">
        <v>6.3945940525313434</v>
      </c>
      <c r="E60" s="294">
        <v>21395.131078285278</v>
      </c>
      <c r="F60" s="272">
        <v>6.3894339029294258</v>
      </c>
      <c r="G60" s="272">
        <v>129.61118550724495</v>
      </c>
      <c r="H60" s="277">
        <v>-5.1601496019175741E-3</v>
      </c>
      <c r="J60" s="294">
        <f t="shared" si="0"/>
        <v>170572.30168316225</v>
      </c>
      <c r="K60" s="294">
        <f t="shared" si="1"/>
        <v>170287.88600959748</v>
      </c>
      <c r="L60" s="281">
        <f t="shared" si="2"/>
        <v>0</v>
      </c>
      <c r="N60" s="294">
        <v>26500</v>
      </c>
      <c r="O60" s="309">
        <v>0.91700000000000004</v>
      </c>
    </row>
    <row r="61" spans="2:15" x14ac:dyDescent="0.15">
      <c r="B61" s="281">
        <v>54</v>
      </c>
      <c r="C61" s="294">
        <v>22015.570824375191</v>
      </c>
      <c r="D61" s="392">
        <v>6.3020993696353873</v>
      </c>
      <c r="E61" s="294">
        <v>22359.250173269404</v>
      </c>
      <c r="F61" s="272">
        <v>6.3968704881478446</v>
      </c>
      <c r="G61" s="272">
        <v>343.67934889421304</v>
      </c>
      <c r="H61" s="277">
        <v>9.4771118512457342E-2</v>
      </c>
      <c r="J61" s="294">
        <f t="shared" si="0"/>
        <v>167047.41026468642</v>
      </c>
      <c r="K61" s="294">
        <f t="shared" si="1"/>
        <v>169546.86447116596</v>
      </c>
      <c r="L61" s="281">
        <f t="shared" si="2"/>
        <v>1</v>
      </c>
      <c r="N61" s="294">
        <v>27000</v>
      </c>
      <c r="O61" s="309">
        <v>0.91800000000000004</v>
      </c>
    </row>
    <row r="62" spans="2:15" x14ac:dyDescent="0.15">
      <c r="B62" s="281">
        <v>55</v>
      </c>
      <c r="C62" s="294">
        <v>22505.991747083855</v>
      </c>
      <c r="D62" s="392">
        <v>6.3452558798344683</v>
      </c>
      <c r="E62" s="294">
        <v>22739.289062911736</v>
      </c>
      <c r="F62" s="272">
        <v>6.3881981805804351</v>
      </c>
      <c r="G62" s="272">
        <v>233.29731582788008</v>
      </c>
      <c r="H62" s="277">
        <v>4.2942300745966833E-2</v>
      </c>
      <c r="J62" s="294">
        <f t="shared" si="0"/>
        <v>167851.68464795017</v>
      </c>
      <c r="K62" s="294">
        <f t="shared" si="1"/>
        <v>168906.65635450132</v>
      </c>
      <c r="L62" s="281">
        <f t="shared" si="2"/>
        <v>1</v>
      </c>
      <c r="N62" s="294">
        <v>27500</v>
      </c>
      <c r="O62" s="309">
        <v>0.92</v>
      </c>
    </row>
    <row r="63" spans="2:15" x14ac:dyDescent="0.15">
      <c r="B63" s="281">
        <v>56</v>
      </c>
      <c r="C63" s="294">
        <v>20567.305880220101</v>
      </c>
      <c r="D63" s="392">
        <v>6.2472186110702381</v>
      </c>
      <c r="E63" s="294">
        <v>20787.188080247281</v>
      </c>
      <c r="F63" s="272">
        <v>6.2911175671191035</v>
      </c>
      <c r="G63" s="272">
        <v>219.88220002717935</v>
      </c>
      <c r="H63" s="277">
        <v>4.3898956048865401E-2</v>
      </c>
      <c r="J63" s="294">
        <f t="shared" si="0"/>
        <v>166849.25245188703</v>
      </c>
      <c r="K63" s="294">
        <f t="shared" si="1"/>
        <v>167946.33893332581</v>
      </c>
      <c r="L63" s="281">
        <f t="shared" si="2"/>
        <v>1</v>
      </c>
      <c r="N63" s="294">
        <v>28000</v>
      </c>
      <c r="O63" s="309">
        <v>0.92</v>
      </c>
    </row>
    <row r="64" spans="2:15" x14ac:dyDescent="0.15">
      <c r="B64" s="281">
        <v>57</v>
      </c>
      <c r="C64" s="294">
        <v>20151.61028789081</v>
      </c>
      <c r="D64" s="392">
        <v>6.1735123914267289</v>
      </c>
      <c r="E64" s="294">
        <v>20275.484438837935</v>
      </c>
      <c r="F64" s="272">
        <v>6.2143463810398814</v>
      </c>
      <c r="G64" s="272">
        <v>123.8741509471256</v>
      </c>
      <c r="H64" s="277">
        <v>4.0833989613152433E-2</v>
      </c>
      <c r="J64" s="294">
        <f t="shared" si="0"/>
        <v>165053.76145491106</v>
      </c>
      <c r="K64" s="294">
        <f t="shared" si="1"/>
        <v>166154.9069923585</v>
      </c>
      <c r="L64" s="281">
        <f t="shared" si="2"/>
        <v>1</v>
      </c>
      <c r="N64" s="294">
        <v>28500</v>
      </c>
      <c r="O64" s="309">
        <v>0.92</v>
      </c>
    </row>
    <row r="65" spans="2:15" x14ac:dyDescent="0.15">
      <c r="B65" s="281">
        <v>58</v>
      </c>
      <c r="C65" s="294">
        <v>21283.555224205531</v>
      </c>
      <c r="D65" s="392">
        <v>6.2542715881862536</v>
      </c>
      <c r="E65" s="294">
        <v>21449.014550644002</v>
      </c>
      <c r="F65" s="272">
        <v>6.286702491523136</v>
      </c>
      <c r="G65" s="272">
        <v>165.45932643847118</v>
      </c>
      <c r="H65" s="277">
        <v>3.2430903336882366E-2</v>
      </c>
      <c r="J65" s="294">
        <f t="shared" si="0"/>
        <v>166344.59242138205</v>
      </c>
      <c r="K65" s="294">
        <f t="shared" si="1"/>
        <v>167152.06019505009</v>
      </c>
      <c r="L65" s="281">
        <f t="shared" si="2"/>
        <v>1</v>
      </c>
      <c r="N65" s="294">
        <v>29000</v>
      </c>
      <c r="O65" s="309">
        <v>0.92</v>
      </c>
    </row>
    <row r="66" spans="2:15" x14ac:dyDescent="0.15">
      <c r="B66" s="281">
        <v>59</v>
      </c>
      <c r="C66" s="294">
        <v>22600.652001318911</v>
      </c>
      <c r="D66" s="392">
        <v>6.1801139072564224</v>
      </c>
      <c r="E66" s="294">
        <v>22626.632915697432</v>
      </c>
      <c r="F66" s="272">
        <v>6.1514846248963453</v>
      </c>
      <c r="G66" s="272">
        <v>25.980914378520538</v>
      </c>
      <c r="H66" s="277">
        <v>-2.8629282360077113E-2</v>
      </c>
      <c r="J66" s="294">
        <f t="shared" si="0"/>
        <v>162802.76521637378</v>
      </c>
      <c r="K66" s="294">
        <f t="shared" si="1"/>
        <v>161917.90583119291</v>
      </c>
      <c r="L66" s="281">
        <f t="shared" si="2"/>
        <v>0</v>
      </c>
      <c r="N66" s="294">
        <v>29500</v>
      </c>
      <c r="O66" s="309">
        <v>0.92100000000000004</v>
      </c>
    </row>
    <row r="67" spans="2:15" x14ac:dyDescent="0.15">
      <c r="B67" s="281">
        <v>60</v>
      </c>
      <c r="C67" s="294">
        <v>22172.422775781848</v>
      </c>
      <c r="D67" s="392">
        <v>6.3671351124088895</v>
      </c>
      <c r="E67" s="294">
        <v>22490.899599314977</v>
      </c>
      <c r="F67" s="272">
        <v>6.4344973910094678</v>
      </c>
      <c r="G67" s="272">
        <v>318.47682353312848</v>
      </c>
      <c r="H67" s="277">
        <v>6.7362278600578307E-2</v>
      </c>
      <c r="J67" s="294">
        <f t="shared" si="0"/>
        <v>168841.63059648481</v>
      </c>
      <c r="K67" s="294">
        <f t="shared" si="1"/>
        <v>170544.02213096904</v>
      </c>
      <c r="L67" s="281">
        <f t="shared" si="2"/>
        <v>1</v>
      </c>
      <c r="N67" s="294">
        <v>30000</v>
      </c>
      <c r="O67" s="309">
        <v>0.92100000000000004</v>
      </c>
    </row>
    <row r="68" spans="2:15" x14ac:dyDescent="0.15">
      <c r="B68" s="281">
        <v>61</v>
      </c>
      <c r="C68" s="294">
        <v>21549.908234571707</v>
      </c>
      <c r="D68" s="392">
        <v>6.2168681467016125</v>
      </c>
      <c r="E68" s="294">
        <v>21700.366072617875</v>
      </c>
      <c r="F68" s="272">
        <v>6.2110776893670741</v>
      </c>
      <c r="G68" s="272">
        <v>150.45783804616804</v>
      </c>
      <c r="H68" s="277">
        <v>-5.7904573345384236E-3</v>
      </c>
      <c r="J68" s="294">
        <f t="shared" si="0"/>
        <v>164956.13616647664</v>
      </c>
      <c r="K68" s="294">
        <f t="shared" si="1"/>
        <v>164631.96460839434</v>
      </c>
      <c r="L68" s="281">
        <f t="shared" si="2"/>
        <v>0</v>
      </c>
    </row>
    <row r="69" spans="2:15" x14ac:dyDescent="0.15">
      <c r="B69" s="281">
        <v>62</v>
      </c>
      <c r="C69" s="294">
        <v>21666.880695802851</v>
      </c>
      <c r="D69" s="392">
        <v>6.2856678078944475</v>
      </c>
      <c r="E69" s="294">
        <v>21861.430657079211</v>
      </c>
      <c r="F69" s="272">
        <v>6.3179173047122443</v>
      </c>
      <c r="G69" s="272">
        <v>194.54996127635968</v>
      </c>
      <c r="H69" s="277">
        <v>3.2249496817796874E-2</v>
      </c>
      <c r="J69" s="294">
        <f t="shared" si="0"/>
        <v>166903.15354103057</v>
      </c>
      <c r="K69" s="294">
        <f t="shared" si="1"/>
        <v>167676.08848428811</v>
      </c>
      <c r="L69" s="281">
        <f t="shared" si="2"/>
        <v>1</v>
      </c>
    </row>
    <row r="70" spans="2:15" x14ac:dyDescent="0.15">
      <c r="B70" s="281">
        <v>63</v>
      </c>
      <c r="C70" s="294">
        <v>21138.205584042964</v>
      </c>
      <c r="D70" s="392">
        <v>6.3262106560141556</v>
      </c>
      <c r="E70" s="294">
        <v>21446.237464353773</v>
      </c>
      <c r="F70" s="272">
        <v>6.3989855944705498</v>
      </c>
      <c r="G70" s="272">
        <v>308.03188031080936</v>
      </c>
      <c r="H70" s="277">
        <v>7.2774938456394267E-2</v>
      </c>
      <c r="J70" s="294">
        <f t="shared" si="0"/>
        <v>168648.1140963817</v>
      </c>
      <c r="K70" s="294">
        <f t="shared" si="1"/>
        <v>170523.33036976273</v>
      </c>
      <c r="L70" s="281">
        <f t="shared" si="2"/>
        <v>1</v>
      </c>
    </row>
    <row r="71" spans="2:15" x14ac:dyDescent="0.15">
      <c r="B71" s="281">
        <v>64</v>
      </c>
      <c r="C71" s="294">
        <v>21388.716620730687</v>
      </c>
      <c r="D71" s="392">
        <v>6.3196736674693348</v>
      </c>
      <c r="E71" s="294">
        <v>21661.342213821859</v>
      </c>
      <c r="F71" s="272">
        <v>6.3697092643190203</v>
      </c>
      <c r="G71" s="272">
        <v>272.62559309117205</v>
      </c>
      <c r="H71" s="277">
        <v>5.0035596849685504E-2</v>
      </c>
      <c r="J71" s="294">
        <f t="shared" si="0"/>
        <v>168201.49340334936</v>
      </c>
      <c r="K71" s="294">
        <f t="shared" si="1"/>
        <v>169429.93571574875</v>
      </c>
      <c r="L71" s="281">
        <f t="shared" si="2"/>
        <v>1</v>
      </c>
    </row>
    <row r="72" spans="2:15" x14ac:dyDescent="0.15">
      <c r="B72" s="281">
        <v>65</v>
      </c>
      <c r="C72" s="294">
        <v>22685.433266284603</v>
      </c>
      <c r="D72" s="392">
        <v>6.257542623487077</v>
      </c>
      <c r="E72" s="294">
        <v>23043.945187048721</v>
      </c>
      <c r="F72" s="272">
        <v>6.2851109861419134</v>
      </c>
      <c r="G72" s="272">
        <v>358.51192076411826</v>
      </c>
      <c r="H72" s="277">
        <v>2.756836265483642E-2</v>
      </c>
      <c r="J72" s="294">
        <f t="shared" ref="J72:J135" si="3">(D72*wtp)-C72</f>
        <v>165040.8454383277</v>
      </c>
      <c r="K72" s="294">
        <f t="shared" ref="K72:K135" si="4">(F72*wtp)-E72</f>
        <v>165509.38439720869</v>
      </c>
      <c r="L72" s="281">
        <f t="shared" si="2"/>
        <v>1</v>
      </c>
    </row>
    <row r="73" spans="2:15" x14ac:dyDescent="0.15">
      <c r="B73" s="281">
        <v>66</v>
      </c>
      <c r="C73" s="294">
        <v>22015.695037064623</v>
      </c>
      <c r="D73" s="392">
        <v>6.2558391930909032</v>
      </c>
      <c r="E73" s="294">
        <v>22338.343461904537</v>
      </c>
      <c r="F73" s="272">
        <v>6.296977127275543</v>
      </c>
      <c r="G73" s="272">
        <v>322.64842483991379</v>
      </c>
      <c r="H73" s="277">
        <v>4.1137934184639846E-2</v>
      </c>
      <c r="J73" s="294">
        <f t="shared" si="3"/>
        <v>165659.48075566249</v>
      </c>
      <c r="K73" s="294">
        <f t="shared" si="4"/>
        <v>166570.97035636177</v>
      </c>
      <c r="L73" s="281">
        <f t="shared" ref="L73:L136" si="5">IF(K73&gt;J73,1,0)</f>
        <v>1</v>
      </c>
    </row>
    <row r="74" spans="2:15" x14ac:dyDescent="0.15">
      <c r="B74" s="281">
        <v>67</v>
      </c>
      <c r="C74" s="294">
        <v>21713.233850675526</v>
      </c>
      <c r="D74" s="392">
        <v>6.2421995234166134</v>
      </c>
      <c r="E74" s="294">
        <v>21946.900308515073</v>
      </c>
      <c r="F74" s="272">
        <v>6.2901812053616721</v>
      </c>
      <c r="G74" s="272">
        <v>233.66645783954664</v>
      </c>
      <c r="H74" s="277">
        <v>4.7981681945058696E-2</v>
      </c>
      <c r="J74" s="294">
        <f t="shared" si="3"/>
        <v>165552.75185182289</v>
      </c>
      <c r="K74" s="294">
        <f t="shared" si="4"/>
        <v>166758.5358523351</v>
      </c>
      <c r="L74" s="281">
        <f t="shared" si="5"/>
        <v>1</v>
      </c>
    </row>
    <row r="75" spans="2:15" x14ac:dyDescent="0.15">
      <c r="B75" s="281">
        <v>68</v>
      </c>
      <c r="C75" s="294">
        <v>21303.214694305181</v>
      </c>
      <c r="D75" s="392">
        <v>6.2393719864435626</v>
      </c>
      <c r="E75" s="294">
        <v>21592.390810900775</v>
      </c>
      <c r="F75" s="272">
        <v>6.2785587351064462</v>
      </c>
      <c r="G75" s="272">
        <v>289.17611659559407</v>
      </c>
      <c r="H75" s="277">
        <v>3.918674866288363E-2</v>
      </c>
      <c r="J75" s="294">
        <f t="shared" si="3"/>
        <v>165877.94489900171</v>
      </c>
      <c r="K75" s="294">
        <f t="shared" si="4"/>
        <v>166764.3712422926</v>
      </c>
      <c r="L75" s="281">
        <f t="shared" si="5"/>
        <v>1</v>
      </c>
    </row>
    <row r="76" spans="2:15" x14ac:dyDescent="0.15">
      <c r="B76" s="281">
        <v>69</v>
      </c>
      <c r="C76" s="294">
        <v>21032.20784008257</v>
      </c>
      <c r="D76" s="392">
        <v>6.2545999430078707</v>
      </c>
      <c r="E76" s="294">
        <v>21137.990113844189</v>
      </c>
      <c r="F76" s="272">
        <v>6.2769477722958769</v>
      </c>
      <c r="G76" s="272">
        <v>105.78227376161885</v>
      </c>
      <c r="H76" s="277">
        <v>2.234782928800616E-2</v>
      </c>
      <c r="J76" s="294">
        <f t="shared" si="3"/>
        <v>166605.79045015352</v>
      </c>
      <c r="K76" s="294">
        <f t="shared" si="4"/>
        <v>167170.44305503211</v>
      </c>
      <c r="L76" s="281">
        <f t="shared" si="5"/>
        <v>1</v>
      </c>
    </row>
    <row r="77" spans="2:15" x14ac:dyDescent="0.15">
      <c r="B77" s="281">
        <v>70</v>
      </c>
      <c r="C77" s="294">
        <v>20545.217803852367</v>
      </c>
      <c r="D77" s="392">
        <v>6.2358883947912256</v>
      </c>
      <c r="E77" s="294">
        <v>20703.051539512726</v>
      </c>
      <c r="F77" s="272">
        <v>6.261959817850407</v>
      </c>
      <c r="G77" s="272">
        <v>157.8337356603588</v>
      </c>
      <c r="H77" s="277">
        <v>2.607142305918142E-2</v>
      </c>
      <c r="J77" s="294">
        <f t="shared" si="3"/>
        <v>166531.43403988439</v>
      </c>
      <c r="K77" s="294">
        <f t="shared" si="4"/>
        <v>167155.74299599949</v>
      </c>
      <c r="L77" s="281">
        <f t="shared" si="5"/>
        <v>1</v>
      </c>
    </row>
    <row r="78" spans="2:15" x14ac:dyDescent="0.15">
      <c r="B78" s="281">
        <v>71</v>
      </c>
      <c r="C78" s="294">
        <v>21174.239566264852</v>
      </c>
      <c r="D78" s="392">
        <v>6.2996074713824548</v>
      </c>
      <c r="E78" s="294">
        <v>21474.194893800453</v>
      </c>
      <c r="F78" s="272">
        <v>6.3592335313468409</v>
      </c>
      <c r="G78" s="272">
        <v>299.9553275356011</v>
      </c>
      <c r="H78" s="277">
        <v>5.962605996438608E-2</v>
      </c>
      <c r="J78" s="294">
        <f t="shared" si="3"/>
        <v>167813.9845752088</v>
      </c>
      <c r="K78" s="294">
        <f t="shared" si="4"/>
        <v>169302.81104660477</v>
      </c>
      <c r="L78" s="281">
        <f t="shared" si="5"/>
        <v>1</v>
      </c>
    </row>
    <row r="79" spans="2:15" x14ac:dyDescent="0.15">
      <c r="B79" s="281">
        <v>72</v>
      </c>
      <c r="C79" s="294">
        <v>23036.76623554363</v>
      </c>
      <c r="D79" s="392">
        <v>6.2789213985283396</v>
      </c>
      <c r="E79" s="294">
        <v>23151.972029644694</v>
      </c>
      <c r="F79" s="272">
        <v>6.2854167667617693</v>
      </c>
      <c r="G79" s="272">
        <v>115.20579410106438</v>
      </c>
      <c r="H79" s="277">
        <v>6.4953682334296658E-3</v>
      </c>
      <c r="J79" s="294">
        <f t="shared" si="3"/>
        <v>165330.87572030656</v>
      </c>
      <c r="K79" s="294">
        <f t="shared" si="4"/>
        <v>165410.53097320837</v>
      </c>
      <c r="L79" s="281">
        <f t="shared" si="5"/>
        <v>1</v>
      </c>
    </row>
    <row r="80" spans="2:15" x14ac:dyDescent="0.15">
      <c r="B80" s="281">
        <v>73</v>
      </c>
      <c r="C80" s="294">
        <v>20132.746606998091</v>
      </c>
      <c r="D80" s="392">
        <v>6.3208641813700535</v>
      </c>
      <c r="E80" s="294">
        <v>20315.901323285227</v>
      </c>
      <c r="F80" s="272">
        <v>6.379795688778894</v>
      </c>
      <c r="G80" s="272">
        <v>183.15471628713567</v>
      </c>
      <c r="H80" s="277">
        <v>5.8931507408840567E-2</v>
      </c>
      <c r="J80" s="294">
        <f t="shared" si="3"/>
        <v>169493.17883410351</v>
      </c>
      <c r="K80" s="294">
        <f t="shared" si="4"/>
        <v>171077.96934008162</v>
      </c>
      <c r="L80" s="281">
        <f t="shared" si="5"/>
        <v>1</v>
      </c>
    </row>
    <row r="81" spans="2:12" x14ac:dyDescent="0.15">
      <c r="B81" s="281">
        <v>74</v>
      </c>
      <c r="C81" s="294">
        <v>21856.638819104646</v>
      </c>
      <c r="D81" s="392">
        <v>6.3619163016336033</v>
      </c>
      <c r="E81" s="294">
        <v>22071.322404977996</v>
      </c>
      <c r="F81" s="272">
        <v>6.3998571325153604</v>
      </c>
      <c r="G81" s="272">
        <v>214.68358587335024</v>
      </c>
      <c r="H81" s="277">
        <v>3.7940830881757037E-2</v>
      </c>
      <c r="J81" s="294">
        <f t="shared" si="3"/>
        <v>169000.85022990344</v>
      </c>
      <c r="K81" s="294">
        <f t="shared" si="4"/>
        <v>169924.39157048281</v>
      </c>
      <c r="L81" s="281">
        <f t="shared" si="5"/>
        <v>1</v>
      </c>
    </row>
    <row r="82" spans="2:12" x14ac:dyDescent="0.15">
      <c r="B82" s="281">
        <v>75</v>
      </c>
      <c r="C82" s="294">
        <v>21366.630738840428</v>
      </c>
      <c r="D82" s="392">
        <v>6.251470343028255</v>
      </c>
      <c r="E82" s="294">
        <v>21468.300634362484</v>
      </c>
      <c r="F82" s="272">
        <v>6.271613734372977</v>
      </c>
      <c r="G82" s="272">
        <v>101.66989552205632</v>
      </c>
      <c r="H82" s="277">
        <v>2.0143391344721984E-2</v>
      </c>
      <c r="J82" s="294">
        <f t="shared" si="3"/>
        <v>166177.47955200722</v>
      </c>
      <c r="K82" s="294">
        <f t="shared" si="4"/>
        <v>166680.11139682683</v>
      </c>
      <c r="L82" s="281">
        <f t="shared" si="5"/>
        <v>1</v>
      </c>
    </row>
    <row r="83" spans="2:12" x14ac:dyDescent="0.15">
      <c r="B83" s="281">
        <v>76</v>
      </c>
      <c r="C83" s="294">
        <v>21845.630920510859</v>
      </c>
      <c r="D83" s="392">
        <v>6.3230359558765636</v>
      </c>
      <c r="E83" s="294">
        <v>22201.109782711497</v>
      </c>
      <c r="F83" s="272">
        <v>6.3813676907034758</v>
      </c>
      <c r="G83" s="272">
        <v>355.4788622006381</v>
      </c>
      <c r="H83" s="277">
        <v>5.8331734826912118E-2</v>
      </c>
      <c r="J83" s="294">
        <f t="shared" si="3"/>
        <v>167845.44775578607</v>
      </c>
      <c r="K83" s="294">
        <f t="shared" si="4"/>
        <v>169239.92093839278</v>
      </c>
      <c r="L83" s="281">
        <f t="shared" si="5"/>
        <v>1</v>
      </c>
    </row>
    <row r="84" spans="2:12" x14ac:dyDescent="0.15">
      <c r="B84" s="281">
        <v>77</v>
      </c>
      <c r="C84" s="294">
        <v>21708.66866420627</v>
      </c>
      <c r="D84" s="392">
        <v>6.3059562113085228</v>
      </c>
      <c r="E84" s="294">
        <v>21905.842101847375</v>
      </c>
      <c r="F84" s="272">
        <v>6.3418460051791516</v>
      </c>
      <c r="G84" s="272">
        <v>197.1734376411041</v>
      </c>
      <c r="H84" s="277">
        <v>3.588979387062885E-2</v>
      </c>
      <c r="J84" s="294">
        <f t="shared" si="3"/>
        <v>167470.01767504943</v>
      </c>
      <c r="K84" s="294">
        <f t="shared" si="4"/>
        <v>168349.53805352718</v>
      </c>
      <c r="L84" s="281">
        <f t="shared" si="5"/>
        <v>1</v>
      </c>
    </row>
    <row r="85" spans="2:12" x14ac:dyDescent="0.15">
      <c r="B85" s="281">
        <v>78</v>
      </c>
      <c r="C85" s="294">
        <v>21871.399625920378</v>
      </c>
      <c r="D85" s="392">
        <v>6.2806660558405838</v>
      </c>
      <c r="E85" s="294">
        <v>22069.338132912737</v>
      </c>
      <c r="F85" s="272">
        <v>6.3143025000732882</v>
      </c>
      <c r="G85" s="272">
        <v>197.93850699235918</v>
      </c>
      <c r="H85" s="277">
        <v>3.3636444232704399E-2</v>
      </c>
      <c r="J85" s="294">
        <f t="shared" si="3"/>
        <v>166548.58204929714</v>
      </c>
      <c r="K85" s="294">
        <f t="shared" si="4"/>
        <v>167359.7368692859</v>
      </c>
      <c r="L85" s="281">
        <f t="shared" si="5"/>
        <v>1</v>
      </c>
    </row>
    <row r="86" spans="2:12" x14ac:dyDescent="0.15">
      <c r="B86" s="281">
        <v>79</v>
      </c>
      <c r="C86" s="294">
        <v>21253.21556631591</v>
      </c>
      <c r="D86" s="392">
        <v>6.2940732721957184</v>
      </c>
      <c r="E86" s="294">
        <v>21484.219214432775</v>
      </c>
      <c r="F86" s="272">
        <v>6.3409862324813622</v>
      </c>
      <c r="G86" s="272">
        <v>231.0036481168645</v>
      </c>
      <c r="H86" s="277">
        <v>4.6912960285643734E-2</v>
      </c>
      <c r="J86" s="294">
        <f t="shared" si="3"/>
        <v>167568.98259955563</v>
      </c>
      <c r="K86" s="294">
        <f t="shared" si="4"/>
        <v>168745.36776000808</v>
      </c>
      <c r="L86" s="281">
        <f t="shared" si="5"/>
        <v>1</v>
      </c>
    </row>
    <row r="87" spans="2:12" x14ac:dyDescent="0.15">
      <c r="B87" s="281">
        <v>80</v>
      </c>
      <c r="C87" s="294">
        <v>21870.224422744253</v>
      </c>
      <c r="D87" s="392">
        <v>6.1792551055158809</v>
      </c>
      <c r="E87" s="294">
        <v>22112.876972489787</v>
      </c>
      <c r="F87" s="272">
        <v>6.2477000302840375</v>
      </c>
      <c r="G87" s="272">
        <v>242.65254974553318</v>
      </c>
      <c r="H87" s="277">
        <v>6.8444924768156667E-2</v>
      </c>
      <c r="J87" s="294">
        <f t="shared" si="3"/>
        <v>163507.42874273218</v>
      </c>
      <c r="K87" s="294">
        <f t="shared" si="4"/>
        <v>165318.12393603133</v>
      </c>
      <c r="L87" s="281">
        <f t="shared" si="5"/>
        <v>1</v>
      </c>
    </row>
    <row r="88" spans="2:12" x14ac:dyDescent="0.15">
      <c r="B88" s="281">
        <v>81</v>
      </c>
      <c r="C88" s="294">
        <v>21287.613981105726</v>
      </c>
      <c r="D88" s="392">
        <v>6.3285211005701152</v>
      </c>
      <c r="E88" s="294">
        <v>21528.282700677082</v>
      </c>
      <c r="F88" s="272">
        <v>6.3679324035088554</v>
      </c>
      <c r="G88" s="272">
        <v>240.66871957135663</v>
      </c>
      <c r="H88" s="277">
        <v>3.9411302938740178E-2</v>
      </c>
      <c r="J88" s="294">
        <f t="shared" si="3"/>
        <v>168568.01903599771</v>
      </c>
      <c r="K88" s="294">
        <f t="shared" si="4"/>
        <v>169509.68940458857</v>
      </c>
      <c r="L88" s="281">
        <f t="shared" si="5"/>
        <v>1</v>
      </c>
    </row>
    <row r="89" spans="2:12" x14ac:dyDescent="0.15">
      <c r="B89" s="281">
        <v>82</v>
      </c>
      <c r="C89" s="294">
        <v>21142.992762123402</v>
      </c>
      <c r="D89" s="392">
        <v>6.2765926226025224</v>
      </c>
      <c r="E89" s="294">
        <v>21365.822184806413</v>
      </c>
      <c r="F89" s="272">
        <v>6.3070957193936144</v>
      </c>
      <c r="G89" s="272">
        <v>222.82942268301122</v>
      </c>
      <c r="H89" s="277">
        <v>3.0503096791091977E-2</v>
      </c>
      <c r="J89" s="294">
        <f t="shared" si="3"/>
        <v>167154.78591595226</v>
      </c>
      <c r="K89" s="294">
        <f t="shared" si="4"/>
        <v>167847.04939700203</v>
      </c>
      <c r="L89" s="281">
        <f t="shared" si="5"/>
        <v>1</v>
      </c>
    </row>
    <row r="90" spans="2:12" x14ac:dyDescent="0.15">
      <c r="B90" s="281">
        <v>83</v>
      </c>
      <c r="C90" s="294">
        <v>20278.453416021373</v>
      </c>
      <c r="D90" s="392">
        <v>6.2003723153748664</v>
      </c>
      <c r="E90" s="294">
        <v>20536.448570193741</v>
      </c>
      <c r="F90" s="272">
        <v>6.2744634802766139</v>
      </c>
      <c r="G90" s="272">
        <v>257.99515417236762</v>
      </c>
      <c r="H90" s="277">
        <v>7.4091164901747497E-2</v>
      </c>
      <c r="J90" s="294">
        <f t="shared" si="3"/>
        <v>165732.71604522463</v>
      </c>
      <c r="K90" s="294">
        <f t="shared" si="4"/>
        <v>167697.45583810465</v>
      </c>
      <c r="L90" s="281">
        <f t="shared" si="5"/>
        <v>1</v>
      </c>
    </row>
    <row r="91" spans="2:12" x14ac:dyDescent="0.15">
      <c r="B91" s="281">
        <v>84</v>
      </c>
      <c r="C91" s="294">
        <v>20342.015209470992</v>
      </c>
      <c r="D91" s="392">
        <v>6.1979414440127849</v>
      </c>
      <c r="E91" s="294">
        <v>20333.289288827324</v>
      </c>
      <c r="F91" s="272">
        <v>6.1408021570425841</v>
      </c>
      <c r="G91" s="272">
        <v>-8.7259206436683598</v>
      </c>
      <c r="H91" s="277">
        <v>-5.7139286970200764E-2</v>
      </c>
      <c r="J91" s="294">
        <f t="shared" si="3"/>
        <v>165596.22811091255</v>
      </c>
      <c r="K91" s="294">
        <f t="shared" si="4"/>
        <v>163890.77542245018</v>
      </c>
      <c r="L91" s="281">
        <f t="shared" si="5"/>
        <v>0</v>
      </c>
    </row>
    <row r="92" spans="2:12" x14ac:dyDescent="0.15">
      <c r="B92" s="281">
        <v>85</v>
      </c>
      <c r="C92" s="294">
        <v>20351.531764648909</v>
      </c>
      <c r="D92" s="392">
        <v>6.2335139680452558</v>
      </c>
      <c r="E92" s="294">
        <v>20586.866600651407</v>
      </c>
      <c r="F92" s="272">
        <v>6.2691931646449666</v>
      </c>
      <c r="G92" s="272">
        <v>235.33483600249747</v>
      </c>
      <c r="H92" s="277">
        <v>3.567919659971075E-2</v>
      </c>
      <c r="J92" s="294">
        <f t="shared" si="3"/>
        <v>166653.88727670876</v>
      </c>
      <c r="K92" s="294">
        <f t="shared" si="4"/>
        <v>167488.92833869759</v>
      </c>
      <c r="L92" s="281">
        <f t="shared" si="5"/>
        <v>1</v>
      </c>
    </row>
    <row r="93" spans="2:12" x14ac:dyDescent="0.15">
      <c r="B93" s="281">
        <v>86</v>
      </c>
      <c r="C93" s="294">
        <v>20966.44122678987</v>
      </c>
      <c r="D93" s="392">
        <v>6.3732118866798197</v>
      </c>
      <c r="E93" s="294">
        <v>21093.958680800024</v>
      </c>
      <c r="F93" s="272">
        <v>6.3868691501793453</v>
      </c>
      <c r="G93" s="272">
        <v>127.51745401015432</v>
      </c>
      <c r="H93" s="277">
        <v>1.3657263499525563E-2</v>
      </c>
      <c r="J93" s="294">
        <f t="shared" si="3"/>
        <v>170229.91537360472</v>
      </c>
      <c r="K93" s="294">
        <f t="shared" si="4"/>
        <v>170512.11582458034</v>
      </c>
      <c r="L93" s="281">
        <f t="shared" si="5"/>
        <v>1</v>
      </c>
    </row>
    <row r="94" spans="2:12" x14ac:dyDescent="0.15">
      <c r="B94" s="281">
        <v>87</v>
      </c>
      <c r="C94" s="294">
        <v>19936.068857753573</v>
      </c>
      <c r="D94" s="392">
        <v>6.3071575287736357</v>
      </c>
      <c r="E94" s="294">
        <v>20180.87808990054</v>
      </c>
      <c r="F94" s="272">
        <v>6.3422606209118131</v>
      </c>
      <c r="G94" s="272">
        <v>244.80923214696668</v>
      </c>
      <c r="H94" s="277">
        <v>3.5103092138177416E-2</v>
      </c>
      <c r="J94" s="294">
        <f t="shared" si="3"/>
        <v>169278.65700545552</v>
      </c>
      <c r="K94" s="294">
        <f t="shared" si="4"/>
        <v>170086.94053745386</v>
      </c>
      <c r="L94" s="281">
        <f t="shared" si="5"/>
        <v>1</v>
      </c>
    </row>
    <row r="95" spans="2:12" x14ac:dyDescent="0.15">
      <c r="B95" s="281">
        <v>88</v>
      </c>
      <c r="C95" s="294">
        <v>22705.400201188411</v>
      </c>
      <c r="D95" s="392">
        <v>6.2468039591042652</v>
      </c>
      <c r="E95" s="294">
        <v>22877.583298521608</v>
      </c>
      <c r="F95" s="272">
        <v>6.279173915503125</v>
      </c>
      <c r="G95" s="272">
        <v>172.1830973331962</v>
      </c>
      <c r="H95" s="277">
        <v>3.2369956398859756E-2</v>
      </c>
      <c r="J95" s="294">
        <f t="shared" si="3"/>
        <v>164698.71857193956</v>
      </c>
      <c r="K95" s="294">
        <f t="shared" si="4"/>
        <v>165497.63416657213</v>
      </c>
      <c r="L95" s="281">
        <f t="shared" si="5"/>
        <v>1</v>
      </c>
    </row>
    <row r="96" spans="2:12" x14ac:dyDescent="0.15">
      <c r="B96" s="281">
        <v>89</v>
      </c>
      <c r="C96" s="294">
        <v>21371.663961821287</v>
      </c>
      <c r="D96" s="392">
        <v>6.3305125850750219</v>
      </c>
      <c r="E96" s="294">
        <v>21606.993445833916</v>
      </c>
      <c r="F96" s="272">
        <v>6.3561918992603212</v>
      </c>
      <c r="G96" s="272">
        <v>235.32948401262911</v>
      </c>
      <c r="H96" s="277">
        <v>2.567931418529934E-2</v>
      </c>
      <c r="J96" s="294">
        <f t="shared" si="3"/>
        <v>168543.71359042937</v>
      </c>
      <c r="K96" s="294">
        <f t="shared" si="4"/>
        <v>169078.76353197574</v>
      </c>
      <c r="L96" s="281">
        <f t="shared" si="5"/>
        <v>1</v>
      </c>
    </row>
    <row r="97" spans="2:12" x14ac:dyDescent="0.15">
      <c r="B97" s="281">
        <v>90</v>
      </c>
      <c r="C97" s="294">
        <v>21716.084042617258</v>
      </c>
      <c r="D97" s="392">
        <v>6.24523387363271</v>
      </c>
      <c r="E97" s="294">
        <v>22012.67360239249</v>
      </c>
      <c r="F97" s="272">
        <v>6.3008220054012547</v>
      </c>
      <c r="G97" s="272">
        <v>296.58955977523146</v>
      </c>
      <c r="H97" s="277">
        <v>5.5588131768544713E-2</v>
      </c>
      <c r="J97" s="294">
        <f t="shared" si="3"/>
        <v>165640.93216636404</v>
      </c>
      <c r="K97" s="294">
        <f t="shared" si="4"/>
        <v>167011.98655964516</v>
      </c>
      <c r="L97" s="281">
        <f t="shared" si="5"/>
        <v>1</v>
      </c>
    </row>
    <row r="98" spans="2:12" x14ac:dyDescent="0.15">
      <c r="B98" s="281">
        <v>91</v>
      </c>
      <c r="C98" s="294">
        <v>22518.970284350085</v>
      </c>
      <c r="D98" s="392">
        <v>6.183477031796154</v>
      </c>
      <c r="E98" s="294">
        <v>22903.492197871499</v>
      </c>
      <c r="F98" s="272">
        <v>6.2227394148597961</v>
      </c>
      <c r="G98" s="272">
        <v>384.52191352141381</v>
      </c>
      <c r="H98" s="277">
        <v>3.9262383063642048E-2</v>
      </c>
      <c r="J98" s="294">
        <f t="shared" si="3"/>
        <v>162985.34066953452</v>
      </c>
      <c r="K98" s="294">
        <f t="shared" si="4"/>
        <v>163778.69024792238</v>
      </c>
      <c r="L98" s="281">
        <f t="shared" si="5"/>
        <v>1</v>
      </c>
    </row>
    <row r="99" spans="2:12" x14ac:dyDescent="0.15">
      <c r="B99" s="281">
        <v>92</v>
      </c>
      <c r="C99" s="294">
        <v>21995.688943915873</v>
      </c>
      <c r="D99" s="392">
        <v>6.3292076582710468</v>
      </c>
      <c r="E99" s="294">
        <v>22172.21141171093</v>
      </c>
      <c r="F99" s="272">
        <v>6.3630124647712316</v>
      </c>
      <c r="G99" s="272">
        <v>176.52246779505731</v>
      </c>
      <c r="H99" s="277">
        <v>3.3804806500184803E-2</v>
      </c>
      <c r="J99" s="294">
        <f t="shared" si="3"/>
        <v>167880.54080421553</v>
      </c>
      <c r="K99" s="294">
        <f t="shared" si="4"/>
        <v>168718.162531426</v>
      </c>
      <c r="L99" s="281">
        <f t="shared" si="5"/>
        <v>1</v>
      </c>
    </row>
    <row r="100" spans="2:12" x14ac:dyDescent="0.15">
      <c r="B100" s="281">
        <v>93</v>
      </c>
      <c r="C100" s="294">
        <v>20833.387401999345</v>
      </c>
      <c r="D100" s="392">
        <v>6.1848078663519699</v>
      </c>
      <c r="E100" s="294">
        <v>21001.309781916661</v>
      </c>
      <c r="F100" s="272">
        <v>6.1917381270501251</v>
      </c>
      <c r="G100" s="272">
        <v>167.92237991731599</v>
      </c>
      <c r="H100" s="277">
        <v>6.9302606981551662E-3</v>
      </c>
      <c r="J100" s="294">
        <f t="shared" si="3"/>
        <v>164710.84858855975</v>
      </c>
      <c r="K100" s="294">
        <f t="shared" si="4"/>
        <v>164750.83402958707</v>
      </c>
      <c r="L100" s="281">
        <f t="shared" si="5"/>
        <v>1</v>
      </c>
    </row>
    <row r="101" spans="2:12" x14ac:dyDescent="0.15">
      <c r="B101" s="281">
        <v>94</v>
      </c>
      <c r="C101" s="294">
        <v>20549.484160119253</v>
      </c>
      <c r="D101" s="392">
        <v>6.3023129644094018</v>
      </c>
      <c r="E101" s="294">
        <v>20538.117546195648</v>
      </c>
      <c r="F101" s="272">
        <v>6.2787287025739271</v>
      </c>
      <c r="G101" s="272">
        <v>-11.366613923604746</v>
      </c>
      <c r="H101" s="277">
        <v>-2.3584261835474685E-2</v>
      </c>
      <c r="J101" s="294">
        <f t="shared" si="3"/>
        <v>168519.90477216279</v>
      </c>
      <c r="K101" s="294">
        <f t="shared" si="4"/>
        <v>167823.74353102216</v>
      </c>
      <c r="L101" s="281">
        <f t="shared" si="5"/>
        <v>0</v>
      </c>
    </row>
    <row r="102" spans="2:12" x14ac:dyDescent="0.15">
      <c r="B102" s="281">
        <v>95</v>
      </c>
      <c r="C102" s="294">
        <v>23091.511911430218</v>
      </c>
      <c r="D102" s="392">
        <v>6.2169191820389109</v>
      </c>
      <c r="E102" s="294">
        <v>23268.220719850644</v>
      </c>
      <c r="F102" s="272">
        <v>6.2391319761358828</v>
      </c>
      <c r="G102" s="272">
        <v>176.70880842042607</v>
      </c>
      <c r="H102" s="277">
        <v>2.2212794096971855E-2</v>
      </c>
      <c r="J102" s="294">
        <f t="shared" si="3"/>
        <v>163416.0635497371</v>
      </c>
      <c r="K102" s="294">
        <f t="shared" si="4"/>
        <v>163905.73856422585</v>
      </c>
      <c r="L102" s="281">
        <f t="shared" si="5"/>
        <v>1</v>
      </c>
    </row>
    <row r="103" spans="2:12" x14ac:dyDescent="0.15">
      <c r="B103" s="281">
        <v>96</v>
      </c>
      <c r="C103" s="294">
        <v>22243.293972619533</v>
      </c>
      <c r="D103" s="392">
        <v>6.2578577351832676</v>
      </c>
      <c r="E103" s="294">
        <v>22534.941508076925</v>
      </c>
      <c r="F103" s="272">
        <v>6.3130346782750015</v>
      </c>
      <c r="G103" s="272">
        <v>291.64753545739222</v>
      </c>
      <c r="H103" s="277">
        <v>5.5176943091733932E-2</v>
      </c>
      <c r="J103" s="294">
        <f t="shared" si="3"/>
        <v>165492.43808287848</v>
      </c>
      <c r="K103" s="294">
        <f t="shared" si="4"/>
        <v>166856.0988401731</v>
      </c>
      <c r="L103" s="281">
        <f t="shared" si="5"/>
        <v>1</v>
      </c>
    </row>
    <row r="104" spans="2:12" x14ac:dyDescent="0.15">
      <c r="B104" s="281">
        <v>97</v>
      </c>
      <c r="C104" s="294">
        <v>22034.65742538885</v>
      </c>
      <c r="D104" s="392">
        <v>6.3372115723860478</v>
      </c>
      <c r="E104" s="294">
        <v>22310.641424750185</v>
      </c>
      <c r="F104" s="272">
        <v>6.3633974920523348</v>
      </c>
      <c r="G104" s="272">
        <v>275.98399936133501</v>
      </c>
      <c r="H104" s="277">
        <v>2.6185919666287027E-2</v>
      </c>
      <c r="J104" s="294">
        <f t="shared" si="3"/>
        <v>168081.6897461926</v>
      </c>
      <c r="K104" s="294">
        <f t="shared" si="4"/>
        <v>168591.28333681988</v>
      </c>
      <c r="L104" s="281">
        <f t="shared" si="5"/>
        <v>1</v>
      </c>
    </row>
    <row r="105" spans="2:12" x14ac:dyDescent="0.15">
      <c r="B105" s="281">
        <v>98</v>
      </c>
      <c r="C105" s="294">
        <v>22015.827233316406</v>
      </c>
      <c r="D105" s="392">
        <v>6.2597787283199393</v>
      </c>
      <c r="E105" s="294">
        <v>22045.693570896779</v>
      </c>
      <c r="F105" s="272">
        <v>6.2296719210166369</v>
      </c>
      <c r="G105" s="272">
        <v>29.866337580373511</v>
      </c>
      <c r="H105" s="277">
        <v>-3.0106807303302396E-2</v>
      </c>
      <c r="J105" s="294">
        <f t="shared" si="3"/>
        <v>165777.53461628177</v>
      </c>
      <c r="K105" s="294">
        <f t="shared" si="4"/>
        <v>164844.46405960232</v>
      </c>
      <c r="L105" s="281">
        <f t="shared" si="5"/>
        <v>0</v>
      </c>
    </row>
    <row r="106" spans="2:12" x14ac:dyDescent="0.15">
      <c r="B106" s="281">
        <v>99</v>
      </c>
      <c r="C106" s="294">
        <v>21956.461020338775</v>
      </c>
      <c r="D106" s="392">
        <v>6.1822077939436504</v>
      </c>
      <c r="E106" s="294">
        <v>22226.530863367898</v>
      </c>
      <c r="F106" s="272">
        <v>6.2478046886718221</v>
      </c>
      <c r="G106" s="272">
        <v>270.06984302912315</v>
      </c>
      <c r="H106" s="277">
        <v>6.5596894728171762E-2</v>
      </c>
      <c r="J106" s="294">
        <f t="shared" si="3"/>
        <v>163509.77279797071</v>
      </c>
      <c r="K106" s="294">
        <f t="shared" si="4"/>
        <v>165207.60979678677</v>
      </c>
      <c r="L106" s="281">
        <f t="shared" si="5"/>
        <v>1</v>
      </c>
    </row>
    <row r="107" spans="2:12" x14ac:dyDescent="0.15">
      <c r="B107" s="281">
        <v>100</v>
      </c>
      <c r="C107" s="294">
        <v>23031.535129505275</v>
      </c>
      <c r="D107" s="392">
        <v>6.2948365444829051</v>
      </c>
      <c r="E107" s="294">
        <v>23311.042080661482</v>
      </c>
      <c r="F107" s="272">
        <v>6.3341491032522752</v>
      </c>
      <c r="G107" s="272">
        <v>279.50695115620692</v>
      </c>
      <c r="H107" s="277">
        <v>3.9312558769370121E-2</v>
      </c>
      <c r="J107" s="294">
        <f t="shared" si="3"/>
        <v>165813.56120498187</v>
      </c>
      <c r="K107" s="294">
        <f t="shared" si="4"/>
        <v>166713.43101690678</v>
      </c>
      <c r="L107" s="281">
        <f t="shared" si="5"/>
        <v>1</v>
      </c>
    </row>
    <row r="108" spans="2:12" x14ac:dyDescent="0.15">
      <c r="B108" s="281">
        <v>101</v>
      </c>
      <c r="C108" s="294">
        <v>21996.035911067851</v>
      </c>
      <c r="D108" s="392">
        <v>6.2557467809660476</v>
      </c>
      <c r="E108" s="294">
        <v>22260.214175042413</v>
      </c>
      <c r="F108" s="272">
        <v>6.3070057218412927</v>
      </c>
      <c r="G108" s="272">
        <v>264.17826397456156</v>
      </c>
      <c r="H108" s="277">
        <v>5.1258940875245074E-2</v>
      </c>
      <c r="J108" s="294">
        <f t="shared" si="3"/>
        <v>165676.36751791358</v>
      </c>
      <c r="K108" s="294">
        <f t="shared" si="4"/>
        <v>166949.95748019638</v>
      </c>
      <c r="L108" s="281">
        <f t="shared" si="5"/>
        <v>1</v>
      </c>
    </row>
    <row r="109" spans="2:12" x14ac:dyDescent="0.15">
      <c r="B109" s="281">
        <v>102</v>
      </c>
      <c r="C109" s="294">
        <v>20126.383251558749</v>
      </c>
      <c r="D109" s="392">
        <v>6.1905405325526397</v>
      </c>
      <c r="E109" s="294">
        <v>20327.649967541238</v>
      </c>
      <c r="F109" s="272">
        <v>6.2336537511899914</v>
      </c>
      <c r="G109" s="272">
        <v>201.26671598248868</v>
      </c>
      <c r="H109" s="277">
        <v>4.3113218637351736E-2</v>
      </c>
      <c r="J109" s="294">
        <f t="shared" si="3"/>
        <v>165589.83272502045</v>
      </c>
      <c r="K109" s="294">
        <f t="shared" si="4"/>
        <v>166681.96256815849</v>
      </c>
      <c r="L109" s="281">
        <f t="shared" si="5"/>
        <v>1</v>
      </c>
    </row>
    <row r="110" spans="2:12" x14ac:dyDescent="0.15">
      <c r="B110" s="281">
        <v>103</v>
      </c>
      <c r="C110" s="294">
        <v>20683.509205057198</v>
      </c>
      <c r="D110" s="392">
        <v>6.2602923314611791</v>
      </c>
      <c r="E110" s="294">
        <v>20883.967595891623</v>
      </c>
      <c r="F110" s="272">
        <v>6.2701664116981082</v>
      </c>
      <c r="G110" s="272">
        <v>200.45839083442479</v>
      </c>
      <c r="H110" s="277">
        <v>9.8740802369290392E-3</v>
      </c>
      <c r="J110" s="294">
        <f t="shared" si="3"/>
        <v>167125.26073877819</v>
      </c>
      <c r="K110" s="294">
        <f t="shared" si="4"/>
        <v>167221.02475505162</v>
      </c>
      <c r="L110" s="281">
        <f t="shared" si="5"/>
        <v>1</v>
      </c>
    </row>
    <row r="111" spans="2:12" x14ac:dyDescent="0.15">
      <c r="B111" s="281">
        <v>104</v>
      </c>
      <c r="C111" s="294">
        <v>23015.895083120515</v>
      </c>
      <c r="D111" s="392">
        <v>6.2145404683242971</v>
      </c>
      <c r="E111" s="294">
        <v>23336.480863480432</v>
      </c>
      <c r="F111" s="272">
        <v>6.2443019273167755</v>
      </c>
      <c r="G111" s="272">
        <v>320.58578035991741</v>
      </c>
      <c r="H111" s="277">
        <v>2.9761458992478396E-2</v>
      </c>
      <c r="J111" s="294">
        <f t="shared" si="3"/>
        <v>163420.31896660838</v>
      </c>
      <c r="K111" s="294">
        <f t="shared" si="4"/>
        <v>163992.57695602285</v>
      </c>
      <c r="L111" s="281">
        <f t="shared" si="5"/>
        <v>1</v>
      </c>
    </row>
    <row r="112" spans="2:12" x14ac:dyDescent="0.15">
      <c r="B112" s="281">
        <v>105</v>
      </c>
      <c r="C112" s="294">
        <v>20875.391476054629</v>
      </c>
      <c r="D112" s="392">
        <v>6.1996185474971686</v>
      </c>
      <c r="E112" s="294">
        <v>21179.590464420937</v>
      </c>
      <c r="F112" s="272">
        <v>6.2635448012243931</v>
      </c>
      <c r="G112" s="272">
        <v>304.19898836630819</v>
      </c>
      <c r="H112" s="277">
        <v>6.3926253727224491E-2</v>
      </c>
      <c r="J112" s="294">
        <f t="shared" si="3"/>
        <v>165113.16494886045</v>
      </c>
      <c r="K112" s="294">
        <f t="shared" si="4"/>
        <v>166726.75357231084</v>
      </c>
      <c r="L112" s="281">
        <f t="shared" si="5"/>
        <v>1</v>
      </c>
    </row>
    <row r="113" spans="2:12" x14ac:dyDescent="0.15">
      <c r="B113" s="281">
        <v>106</v>
      </c>
      <c r="C113" s="294">
        <v>21265.826837167868</v>
      </c>
      <c r="D113" s="392">
        <v>6.2814488751799624</v>
      </c>
      <c r="E113" s="294">
        <v>21468.179893410728</v>
      </c>
      <c r="F113" s="272">
        <v>6.3147149342329341</v>
      </c>
      <c r="G113" s="272">
        <v>202.35305624286048</v>
      </c>
      <c r="H113" s="277">
        <v>3.3266059052971642E-2</v>
      </c>
      <c r="J113" s="294">
        <f t="shared" si="3"/>
        <v>167177.639418231</v>
      </c>
      <c r="K113" s="294">
        <f t="shared" si="4"/>
        <v>167973.26813357728</v>
      </c>
      <c r="L113" s="281">
        <f t="shared" si="5"/>
        <v>1</v>
      </c>
    </row>
    <row r="114" spans="2:12" x14ac:dyDescent="0.15">
      <c r="B114" s="281">
        <v>107</v>
      </c>
      <c r="C114" s="294">
        <v>20701.424708285671</v>
      </c>
      <c r="D114" s="392">
        <v>6.1795095160647557</v>
      </c>
      <c r="E114" s="294">
        <v>20888.627276848594</v>
      </c>
      <c r="F114" s="272">
        <v>6.1743050767902572</v>
      </c>
      <c r="G114" s="272">
        <v>187.20256856292326</v>
      </c>
      <c r="H114" s="277">
        <v>-5.2044392744985402E-3</v>
      </c>
      <c r="J114" s="294">
        <f t="shared" si="3"/>
        <v>164683.86077365701</v>
      </c>
      <c r="K114" s="294">
        <f t="shared" si="4"/>
        <v>164340.52502685913</v>
      </c>
      <c r="L114" s="281">
        <f t="shared" si="5"/>
        <v>0</v>
      </c>
    </row>
    <row r="115" spans="2:12" x14ac:dyDescent="0.15">
      <c r="B115" s="281">
        <v>108</v>
      </c>
      <c r="C115" s="294">
        <v>22122.434976298744</v>
      </c>
      <c r="D115" s="392">
        <v>6.084724787452882</v>
      </c>
      <c r="E115" s="294">
        <v>22293.776110070175</v>
      </c>
      <c r="F115" s="272">
        <v>6.1327242346431952</v>
      </c>
      <c r="G115" s="272">
        <v>171.34113377143149</v>
      </c>
      <c r="H115" s="277">
        <v>4.7999447190313127E-2</v>
      </c>
      <c r="J115" s="294">
        <f t="shared" si="3"/>
        <v>160419.30864728772</v>
      </c>
      <c r="K115" s="294">
        <f t="shared" si="4"/>
        <v>161687.95092922568</v>
      </c>
      <c r="L115" s="281">
        <f t="shared" si="5"/>
        <v>1</v>
      </c>
    </row>
    <row r="116" spans="2:12" x14ac:dyDescent="0.15">
      <c r="B116" s="281">
        <v>109</v>
      </c>
      <c r="C116" s="294">
        <v>22472.682398229499</v>
      </c>
      <c r="D116" s="392">
        <v>6.1867544561094139</v>
      </c>
      <c r="E116" s="294">
        <v>22668.294280746442</v>
      </c>
      <c r="F116" s="272">
        <v>6.2196484084679913</v>
      </c>
      <c r="G116" s="272">
        <v>195.6118825169433</v>
      </c>
      <c r="H116" s="277">
        <v>3.2893952358577394E-2</v>
      </c>
      <c r="J116" s="294">
        <f t="shared" si="3"/>
        <v>163129.95128505293</v>
      </c>
      <c r="K116" s="294">
        <f t="shared" si="4"/>
        <v>163921.15797329327</v>
      </c>
      <c r="L116" s="281">
        <f t="shared" si="5"/>
        <v>1</v>
      </c>
    </row>
    <row r="117" spans="2:12" x14ac:dyDescent="0.15">
      <c r="B117" s="281">
        <v>110</v>
      </c>
      <c r="C117" s="294">
        <v>21593.101449013186</v>
      </c>
      <c r="D117" s="392">
        <v>6.2866772764373531</v>
      </c>
      <c r="E117" s="294">
        <v>21884.493781977253</v>
      </c>
      <c r="F117" s="272">
        <v>6.3168052136986574</v>
      </c>
      <c r="G117" s="272">
        <v>291.39233296406746</v>
      </c>
      <c r="H117" s="277">
        <v>3.0127937261304361E-2</v>
      </c>
      <c r="J117" s="294">
        <f t="shared" si="3"/>
        <v>167007.2168441074</v>
      </c>
      <c r="K117" s="294">
        <f t="shared" si="4"/>
        <v>167619.66262898248</v>
      </c>
      <c r="L117" s="281">
        <f t="shared" si="5"/>
        <v>1</v>
      </c>
    </row>
    <row r="118" spans="2:12" x14ac:dyDescent="0.15">
      <c r="B118" s="281">
        <v>111</v>
      </c>
      <c r="C118" s="294">
        <v>20703.828365196823</v>
      </c>
      <c r="D118" s="392">
        <v>6.3679970817310521</v>
      </c>
      <c r="E118" s="294">
        <v>20862.503172856894</v>
      </c>
      <c r="F118" s="272">
        <v>6.4077714765475289</v>
      </c>
      <c r="G118" s="272">
        <v>158.67480766007066</v>
      </c>
      <c r="H118" s="277">
        <v>3.9774394816476821E-2</v>
      </c>
      <c r="J118" s="294">
        <f t="shared" si="3"/>
        <v>170336.08408673474</v>
      </c>
      <c r="K118" s="294">
        <f t="shared" si="4"/>
        <v>171370.64112356896</v>
      </c>
      <c r="L118" s="281">
        <f t="shared" si="5"/>
        <v>1</v>
      </c>
    </row>
    <row r="119" spans="2:12" x14ac:dyDescent="0.15">
      <c r="B119" s="281">
        <v>112</v>
      </c>
      <c r="C119" s="294">
        <v>20498.070641798517</v>
      </c>
      <c r="D119" s="392">
        <v>6.2658746119959048</v>
      </c>
      <c r="E119" s="294">
        <v>20772.486933018172</v>
      </c>
      <c r="F119" s="272">
        <v>6.3177498309392108</v>
      </c>
      <c r="G119" s="272">
        <v>274.41629121965525</v>
      </c>
      <c r="H119" s="277">
        <v>5.1875218943306045E-2</v>
      </c>
      <c r="J119" s="294">
        <f t="shared" si="3"/>
        <v>167478.16771807862</v>
      </c>
      <c r="K119" s="294">
        <f t="shared" si="4"/>
        <v>168760.00799515814</v>
      </c>
      <c r="L119" s="281">
        <f t="shared" si="5"/>
        <v>1</v>
      </c>
    </row>
    <row r="120" spans="2:12" x14ac:dyDescent="0.15">
      <c r="B120" s="281">
        <v>113</v>
      </c>
      <c r="C120" s="294">
        <v>20382.694788758938</v>
      </c>
      <c r="D120" s="392">
        <v>6.3073720258348498</v>
      </c>
      <c r="E120" s="294">
        <v>20515.519987694362</v>
      </c>
      <c r="F120" s="272">
        <v>6.3388362000688101</v>
      </c>
      <c r="G120" s="272">
        <v>132.82519893542485</v>
      </c>
      <c r="H120" s="277">
        <v>3.1464174233960307E-2</v>
      </c>
      <c r="J120" s="294">
        <f t="shared" si="3"/>
        <v>168838.46598628655</v>
      </c>
      <c r="K120" s="294">
        <f t="shared" si="4"/>
        <v>169649.56601436995</v>
      </c>
      <c r="L120" s="281">
        <f t="shared" si="5"/>
        <v>1</v>
      </c>
    </row>
    <row r="121" spans="2:12" x14ac:dyDescent="0.15">
      <c r="B121" s="281">
        <v>114</v>
      </c>
      <c r="C121" s="294">
        <v>22708.747235287075</v>
      </c>
      <c r="D121" s="392">
        <v>6.1719036806204599</v>
      </c>
      <c r="E121" s="294">
        <v>22925.610924300549</v>
      </c>
      <c r="F121" s="272">
        <v>6.2128513176584681</v>
      </c>
      <c r="G121" s="272">
        <v>216.86368901347305</v>
      </c>
      <c r="H121" s="277">
        <v>4.0947637038008189E-2</v>
      </c>
      <c r="J121" s="294">
        <f t="shared" si="3"/>
        <v>162448.36318332673</v>
      </c>
      <c r="K121" s="294">
        <f t="shared" si="4"/>
        <v>163459.92860545352</v>
      </c>
      <c r="L121" s="281">
        <f t="shared" si="5"/>
        <v>1</v>
      </c>
    </row>
    <row r="122" spans="2:12" x14ac:dyDescent="0.15">
      <c r="B122" s="281">
        <v>115</v>
      </c>
      <c r="C122" s="294">
        <v>22195.285680314682</v>
      </c>
      <c r="D122" s="392">
        <v>6.2984163060849161</v>
      </c>
      <c r="E122" s="294">
        <v>22341.460585948909</v>
      </c>
      <c r="F122" s="272">
        <v>6.3341729876932966</v>
      </c>
      <c r="G122" s="272">
        <v>146.17490563422689</v>
      </c>
      <c r="H122" s="277">
        <v>3.5756681608380525E-2</v>
      </c>
      <c r="J122" s="294">
        <f t="shared" si="3"/>
        <v>166757.20350223282</v>
      </c>
      <c r="K122" s="294">
        <f t="shared" si="4"/>
        <v>167683.72904484998</v>
      </c>
      <c r="L122" s="281">
        <f t="shared" si="5"/>
        <v>1</v>
      </c>
    </row>
    <row r="123" spans="2:12" x14ac:dyDescent="0.15">
      <c r="B123" s="281">
        <v>116</v>
      </c>
      <c r="C123" s="294">
        <v>20586.577067472113</v>
      </c>
      <c r="D123" s="392">
        <v>6.3554207113455128</v>
      </c>
      <c r="E123" s="294">
        <v>20789.813865454824</v>
      </c>
      <c r="F123" s="272">
        <v>6.3883443035388972</v>
      </c>
      <c r="G123" s="272">
        <v>203.23679798271041</v>
      </c>
      <c r="H123" s="277">
        <v>3.2923592193384366E-2</v>
      </c>
      <c r="J123" s="294">
        <f t="shared" si="3"/>
        <v>170076.04427289328</v>
      </c>
      <c r="K123" s="294">
        <f t="shared" si="4"/>
        <v>170860.51524071209</v>
      </c>
      <c r="L123" s="281">
        <f t="shared" si="5"/>
        <v>1</v>
      </c>
    </row>
    <row r="124" spans="2:12" x14ac:dyDescent="0.15">
      <c r="B124" s="281">
        <v>117</v>
      </c>
      <c r="C124" s="294">
        <v>20607.315334044379</v>
      </c>
      <c r="D124" s="392">
        <v>6.2469831675241174</v>
      </c>
      <c r="E124" s="294">
        <v>20781.358637145462</v>
      </c>
      <c r="F124" s="272">
        <v>6.2901887914440149</v>
      </c>
      <c r="G124" s="272">
        <v>174.04330310108344</v>
      </c>
      <c r="H124" s="277">
        <v>4.3205623919897462E-2</v>
      </c>
      <c r="J124" s="294">
        <f t="shared" si="3"/>
        <v>166802.17969167916</v>
      </c>
      <c r="K124" s="294">
        <f t="shared" si="4"/>
        <v>167924.30510617499</v>
      </c>
      <c r="L124" s="281">
        <f t="shared" si="5"/>
        <v>1</v>
      </c>
    </row>
    <row r="125" spans="2:12" x14ac:dyDescent="0.15">
      <c r="B125" s="281">
        <v>118</v>
      </c>
      <c r="C125" s="294">
        <v>22082.642843025751</v>
      </c>
      <c r="D125" s="392">
        <v>6.2512424624459939</v>
      </c>
      <c r="E125" s="294">
        <v>22191.689526877897</v>
      </c>
      <c r="F125" s="272">
        <v>6.2597465007426907</v>
      </c>
      <c r="G125" s="272">
        <v>109.04668385214609</v>
      </c>
      <c r="H125" s="277">
        <v>8.5040382966967698E-3</v>
      </c>
      <c r="J125" s="294">
        <f t="shared" si="3"/>
        <v>165454.63103035407</v>
      </c>
      <c r="K125" s="294">
        <f t="shared" si="4"/>
        <v>165600.70549540283</v>
      </c>
      <c r="L125" s="281">
        <f t="shared" si="5"/>
        <v>1</v>
      </c>
    </row>
    <row r="126" spans="2:12" x14ac:dyDescent="0.15">
      <c r="B126" s="281">
        <v>119</v>
      </c>
      <c r="C126" s="294">
        <v>21500.276661176344</v>
      </c>
      <c r="D126" s="392">
        <v>6.369973135845278</v>
      </c>
      <c r="E126" s="294">
        <v>21685.444608795849</v>
      </c>
      <c r="F126" s="272">
        <v>6.3862539174168633</v>
      </c>
      <c r="G126" s="272">
        <v>185.16794761950587</v>
      </c>
      <c r="H126" s="277">
        <v>1.6280781571585301E-2</v>
      </c>
      <c r="J126" s="294">
        <f t="shared" si="3"/>
        <v>169598.91741418198</v>
      </c>
      <c r="K126" s="294">
        <f t="shared" si="4"/>
        <v>169902.17291371006</v>
      </c>
      <c r="L126" s="281">
        <f t="shared" si="5"/>
        <v>1</v>
      </c>
    </row>
    <row r="127" spans="2:12" x14ac:dyDescent="0.15">
      <c r="B127" s="281">
        <v>120</v>
      </c>
      <c r="C127" s="294">
        <v>20207.410260568056</v>
      </c>
      <c r="D127" s="392">
        <v>6.3164781074969545</v>
      </c>
      <c r="E127" s="294">
        <v>20372.887518076204</v>
      </c>
      <c r="F127" s="272">
        <v>6.3608291434279431</v>
      </c>
      <c r="G127" s="272">
        <v>165.47725750814789</v>
      </c>
      <c r="H127" s="277">
        <v>4.4351035930988658E-2</v>
      </c>
      <c r="J127" s="294">
        <f t="shared" si="3"/>
        <v>169286.93296434058</v>
      </c>
      <c r="K127" s="294">
        <f t="shared" si="4"/>
        <v>170451.98678476209</v>
      </c>
      <c r="L127" s="281">
        <f t="shared" si="5"/>
        <v>1</v>
      </c>
    </row>
    <row r="128" spans="2:12" x14ac:dyDescent="0.15">
      <c r="B128" s="281">
        <v>121</v>
      </c>
      <c r="C128" s="294">
        <v>22105.864788421466</v>
      </c>
      <c r="D128" s="392">
        <v>6.1858779215066919</v>
      </c>
      <c r="E128" s="294">
        <v>22371.260397408842</v>
      </c>
      <c r="F128" s="272">
        <v>6.2089255120114117</v>
      </c>
      <c r="G128" s="272">
        <v>265.39560898737545</v>
      </c>
      <c r="H128" s="277">
        <v>2.3047590504719828E-2</v>
      </c>
      <c r="J128" s="294">
        <f t="shared" si="3"/>
        <v>163470.47285677929</v>
      </c>
      <c r="K128" s="294">
        <f t="shared" si="4"/>
        <v>163896.50496293348</v>
      </c>
      <c r="L128" s="281">
        <f t="shared" si="5"/>
        <v>1</v>
      </c>
    </row>
    <row r="129" spans="2:12" x14ac:dyDescent="0.15">
      <c r="B129" s="281">
        <v>122</v>
      </c>
      <c r="C129" s="294">
        <v>21544.561210747255</v>
      </c>
      <c r="D129" s="392">
        <v>6.2511297052104799</v>
      </c>
      <c r="E129" s="294">
        <v>21896.808054273504</v>
      </c>
      <c r="F129" s="272">
        <v>6.2802728755361459</v>
      </c>
      <c r="G129" s="272">
        <v>352.24684352624899</v>
      </c>
      <c r="H129" s="277">
        <v>2.9143170325665935E-2</v>
      </c>
      <c r="J129" s="294">
        <f t="shared" si="3"/>
        <v>165989.32994556715</v>
      </c>
      <c r="K129" s="294">
        <f t="shared" si="4"/>
        <v>166511.37821181086</v>
      </c>
      <c r="L129" s="281">
        <f t="shared" si="5"/>
        <v>1</v>
      </c>
    </row>
    <row r="130" spans="2:12" x14ac:dyDescent="0.15">
      <c r="B130" s="281">
        <v>123</v>
      </c>
      <c r="C130" s="294">
        <v>20781.229536091836</v>
      </c>
      <c r="D130" s="392">
        <v>6.2735026800722249</v>
      </c>
      <c r="E130" s="294">
        <v>21045.458917859571</v>
      </c>
      <c r="F130" s="272">
        <v>6.3504102962539122</v>
      </c>
      <c r="G130" s="272">
        <v>264.22938176773459</v>
      </c>
      <c r="H130" s="277">
        <v>7.6907616181687288E-2</v>
      </c>
      <c r="J130" s="294">
        <f t="shared" si="3"/>
        <v>167423.85086607491</v>
      </c>
      <c r="K130" s="294">
        <f t="shared" si="4"/>
        <v>169466.84996975781</v>
      </c>
      <c r="L130" s="281">
        <f t="shared" si="5"/>
        <v>1</v>
      </c>
    </row>
    <row r="131" spans="2:12" x14ac:dyDescent="0.15">
      <c r="B131" s="281">
        <v>124</v>
      </c>
      <c r="C131" s="294">
        <v>22243.512436141289</v>
      </c>
      <c r="D131" s="392">
        <v>6.2575386015203076</v>
      </c>
      <c r="E131" s="294">
        <v>22456.157610235958</v>
      </c>
      <c r="F131" s="272">
        <v>6.3099603145473511</v>
      </c>
      <c r="G131" s="272">
        <v>212.64517409466862</v>
      </c>
      <c r="H131" s="277">
        <v>5.2421713027043459E-2</v>
      </c>
      <c r="J131" s="294">
        <f t="shared" si="3"/>
        <v>165482.64560946793</v>
      </c>
      <c r="K131" s="294">
        <f t="shared" si="4"/>
        <v>166842.65182618456</v>
      </c>
      <c r="L131" s="281">
        <f t="shared" si="5"/>
        <v>1</v>
      </c>
    </row>
    <row r="132" spans="2:12" x14ac:dyDescent="0.15">
      <c r="B132" s="281">
        <v>125</v>
      </c>
      <c r="C132" s="294">
        <v>20919.886940314602</v>
      </c>
      <c r="D132" s="392">
        <v>6.3300384030191426</v>
      </c>
      <c r="E132" s="294">
        <v>21189.645168701449</v>
      </c>
      <c r="F132" s="272">
        <v>6.3679907235635813</v>
      </c>
      <c r="G132" s="272">
        <v>269.75822838684689</v>
      </c>
      <c r="H132" s="277">
        <v>3.7952320544438756E-2</v>
      </c>
      <c r="J132" s="294">
        <f t="shared" si="3"/>
        <v>168981.26515025966</v>
      </c>
      <c r="K132" s="294">
        <f t="shared" si="4"/>
        <v>169850.07653820599</v>
      </c>
      <c r="L132" s="281">
        <f t="shared" si="5"/>
        <v>1</v>
      </c>
    </row>
    <row r="133" spans="2:12" x14ac:dyDescent="0.15">
      <c r="B133" s="281">
        <v>126</v>
      </c>
      <c r="C133" s="294">
        <v>21530.70889980111</v>
      </c>
      <c r="D133" s="392">
        <v>6.2146813852126446</v>
      </c>
      <c r="E133" s="294">
        <v>21726.665439743265</v>
      </c>
      <c r="F133" s="272">
        <v>6.2391914942685274</v>
      </c>
      <c r="G133" s="272">
        <v>195.95653994215536</v>
      </c>
      <c r="H133" s="277">
        <v>2.4510109055882801E-2</v>
      </c>
      <c r="J133" s="294">
        <f t="shared" si="3"/>
        <v>164909.73265657824</v>
      </c>
      <c r="K133" s="294">
        <f t="shared" si="4"/>
        <v>165449.07938831256</v>
      </c>
      <c r="L133" s="281">
        <f t="shared" si="5"/>
        <v>1</v>
      </c>
    </row>
    <row r="134" spans="2:12" x14ac:dyDescent="0.15">
      <c r="B134" s="281">
        <v>127</v>
      </c>
      <c r="C134" s="294">
        <v>22177.919156628992</v>
      </c>
      <c r="D134" s="392">
        <v>6.2503545040726642</v>
      </c>
      <c r="E134" s="294">
        <v>22340.115175489802</v>
      </c>
      <c r="F134" s="272">
        <v>6.2885426412727465</v>
      </c>
      <c r="G134" s="272">
        <v>162.19601886081</v>
      </c>
      <c r="H134" s="277">
        <v>3.8188137200082295E-2</v>
      </c>
      <c r="J134" s="294">
        <f t="shared" si="3"/>
        <v>165332.71596555095</v>
      </c>
      <c r="K134" s="294">
        <f t="shared" si="4"/>
        <v>166316.16406269258</v>
      </c>
      <c r="L134" s="281">
        <f t="shared" si="5"/>
        <v>1</v>
      </c>
    </row>
    <row r="135" spans="2:12" x14ac:dyDescent="0.15">
      <c r="B135" s="281">
        <v>128</v>
      </c>
      <c r="C135" s="294">
        <v>21202.525104563207</v>
      </c>
      <c r="D135" s="392">
        <v>6.1689729332913554</v>
      </c>
      <c r="E135" s="294">
        <v>21458.484488050555</v>
      </c>
      <c r="F135" s="272">
        <v>6.2275695407105758</v>
      </c>
      <c r="G135" s="272">
        <v>255.95938348734853</v>
      </c>
      <c r="H135" s="277">
        <v>5.8596607419220348E-2</v>
      </c>
      <c r="J135" s="294">
        <f t="shared" si="3"/>
        <v>163866.66289417745</v>
      </c>
      <c r="K135" s="294">
        <f t="shared" si="4"/>
        <v>165368.60173326673</v>
      </c>
      <c r="L135" s="281">
        <f t="shared" si="5"/>
        <v>1</v>
      </c>
    </row>
    <row r="136" spans="2:12" x14ac:dyDescent="0.15">
      <c r="B136" s="281">
        <v>129</v>
      </c>
      <c r="C136" s="294">
        <v>22169.416845853288</v>
      </c>
      <c r="D136" s="392">
        <v>6.24182334270066</v>
      </c>
      <c r="E136" s="294">
        <v>22319.010907880751</v>
      </c>
      <c r="F136" s="272">
        <v>6.2747237915408327</v>
      </c>
      <c r="G136" s="272">
        <v>149.59406202746322</v>
      </c>
      <c r="H136" s="277">
        <v>3.2900448840172736E-2</v>
      </c>
      <c r="J136" s="294">
        <f t="shared" ref="J136:J199" si="6">(D136*wtp)-C136</f>
        <v>165085.28343516649</v>
      </c>
      <c r="K136" s="294">
        <f t="shared" ref="K136:K199" si="7">(F136*wtp)-E136</f>
        <v>165922.70283834424</v>
      </c>
      <c r="L136" s="281">
        <f t="shared" si="5"/>
        <v>1</v>
      </c>
    </row>
    <row r="137" spans="2:12" x14ac:dyDescent="0.15">
      <c r="B137" s="281">
        <v>130</v>
      </c>
      <c r="C137" s="294">
        <v>22241.641626388555</v>
      </c>
      <c r="D137" s="392">
        <v>6.3304105965185498</v>
      </c>
      <c r="E137" s="294">
        <v>22437.410653124054</v>
      </c>
      <c r="F137" s="272">
        <v>6.3540194567145356</v>
      </c>
      <c r="G137" s="272">
        <v>195.76902673549921</v>
      </c>
      <c r="H137" s="277">
        <v>2.3608860195985848E-2</v>
      </c>
      <c r="J137" s="294">
        <f t="shared" si="6"/>
        <v>167670.67626916792</v>
      </c>
      <c r="K137" s="294">
        <f t="shared" si="7"/>
        <v>168183.17304831202</v>
      </c>
      <c r="L137" s="281">
        <f t="shared" ref="L137:L200" si="8">IF(K137&gt;J137,1,0)</f>
        <v>1</v>
      </c>
    </row>
    <row r="138" spans="2:12" x14ac:dyDescent="0.15">
      <c r="B138" s="281">
        <v>131</v>
      </c>
      <c r="C138" s="294">
        <v>21157.024677021891</v>
      </c>
      <c r="D138" s="392">
        <v>6.238530233927805</v>
      </c>
      <c r="E138" s="294">
        <v>21346.789435855502</v>
      </c>
      <c r="F138" s="272">
        <v>6.2509748589776875</v>
      </c>
      <c r="G138" s="272">
        <v>189.76475883361127</v>
      </c>
      <c r="H138" s="277">
        <v>1.2444625049882418E-2</v>
      </c>
      <c r="J138" s="294">
        <f t="shared" si="6"/>
        <v>165998.88234081227</v>
      </c>
      <c r="K138" s="294">
        <f t="shared" si="7"/>
        <v>166182.45633347513</v>
      </c>
      <c r="L138" s="281">
        <f t="shared" si="8"/>
        <v>1</v>
      </c>
    </row>
    <row r="139" spans="2:12" x14ac:dyDescent="0.15">
      <c r="B139" s="281">
        <v>132</v>
      </c>
      <c r="C139" s="294">
        <v>21494.860762801531</v>
      </c>
      <c r="D139" s="392">
        <v>6.2965155128276606</v>
      </c>
      <c r="E139" s="294">
        <v>21657.97139936492</v>
      </c>
      <c r="F139" s="272">
        <v>6.3273570678889559</v>
      </c>
      <c r="G139" s="272">
        <v>163.11063656338956</v>
      </c>
      <c r="H139" s="277">
        <v>3.0841555061295267E-2</v>
      </c>
      <c r="J139" s="294">
        <f t="shared" si="6"/>
        <v>167400.6046220283</v>
      </c>
      <c r="K139" s="294">
        <f t="shared" si="7"/>
        <v>168162.74063730374</v>
      </c>
      <c r="L139" s="281">
        <f t="shared" si="8"/>
        <v>1</v>
      </c>
    </row>
    <row r="140" spans="2:12" x14ac:dyDescent="0.15">
      <c r="B140" s="281">
        <v>133</v>
      </c>
      <c r="C140" s="294">
        <v>22405.080917735719</v>
      </c>
      <c r="D140" s="392">
        <v>6.1956928139541851</v>
      </c>
      <c r="E140" s="294">
        <v>22624.31216385934</v>
      </c>
      <c r="F140" s="272">
        <v>6.2414260303230558</v>
      </c>
      <c r="G140" s="272">
        <v>219.23124612362153</v>
      </c>
      <c r="H140" s="277">
        <v>4.5733216368870622E-2</v>
      </c>
      <c r="J140" s="294">
        <f t="shared" si="6"/>
        <v>163465.70350088982</v>
      </c>
      <c r="K140" s="294">
        <f t="shared" si="7"/>
        <v>164618.46874583233</v>
      </c>
      <c r="L140" s="281">
        <f t="shared" si="8"/>
        <v>1</v>
      </c>
    </row>
    <row r="141" spans="2:12" x14ac:dyDescent="0.15">
      <c r="B141" s="281">
        <v>134</v>
      </c>
      <c r="C141" s="294">
        <v>22819.578462115984</v>
      </c>
      <c r="D141" s="392">
        <v>6.3549271103036888</v>
      </c>
      <c r="E141" s="294">
        <v>23110.600123492739</v>
      </c>
      <c r="F141" s="272">
        <v>6.3968624838475359</v>
      </c>
      <c r="G141" s="272">
        <v>291.02166137675522</v>
      </c>
      <c r="H141" s="277">
        <v>4.1935373543847021E-2</v>
      </c>
      <c r="J141" s="294">
        <f t="shared" si="6"/>
        <v>167828.23484699469</v>
      </c>
      <c r="K141" s="294">
        <f t="shared" si="7"/>
        <v>168795.27439193334</v>
      </c>
      <c r="L141" s="281">
        <f t="shared" si="8"/>
        <v>1</v>
      </c>
    </row>
    <row r="142" spans="2:12" x14ac:dyDescent="0.15">
      <c r="B142" s="281">
        <v>135</v>
      </c>
      <c r="C142" s="294">
        <v>20887.176168274251</v>
      </c>
      <c r="D142" s="392">
        <v>6.2929433937605666</v>
      </c>
      <c r="E142" s="294">
        <v>21126.308726488187</v>
      </c>
      <c r="F142" s="272">
        <v>6.3269044541332669</v>
      </c>
      <c r="G142" s="272">
        <v>239.13255821393614</v>
      </c>
      <c r="H142" s="277">
        <v>3.3961060372700302E-2</v>
      </c>
      <c r="J142" s="294">
        <f t="shared" si="6"/>
        <v>167901.12564454274</v>
      </c>
      <c r="K142" s="294">
        <f t="shared" si="7"/>
        <v>168680.82489750982</v>
      </c>
      <c r="L142" s="281">
        <f t="shared" si="8"/>
        <v>1</v>
      </c>
    </row>
    <row r="143" spans="2:12" x14ac:dyDescent="0.15">
      <c r="B143" s="281">
        <v>136</v>
      </c>
      <c r="C143" s="294">
        <v>21641.331927670373</v>
      </c>
      <c r="D143" s="392">
        <v>6.3624114443681021</v>
      </c>
      <c r="E143" s="294">
        <v>21803.319447167385</v>
      </c>
      <c r="F143" s="272">
        <v>6.3826699050889326</v>
      </c>
      <c r="G143" s="272">
        <v>161.98751949701182</v>
      </c>
      <c r="H143" s="277">
        <v>2.0258460720830485E-2</v>
      </c>
      <c r="J143" s="294">
        <f t="shared" si="6"/>
        <v>169231.01140337269</v>
      </c>
      <c r="K143" s="294">
        <f t="shared" si="7"/>
        <v>169676.77770550057</v>
      </c>
      <c r="L143" s="281">
        <f t="shared" si="8"/>
        <v>1</v>
      </c>
    </row>
    <row r="144" spans="2:12" x14ac:dyDescent="0.15">
      <c r="B144" s="281">
        <v>137</v>
      </c>
      <c r="C144" s="294">
        <v>21594.782976438371</v>
      </c>
      <c r="D144" s="392">
        <v>6.3133467694657996</v>
      </c>
      <c r="E144" s="294">
        <v>21777.920726696935</v>
      </c>
      <c r="F144" s="272">
        <v>6.3464676996647835</v>
      </c>
      <c r="G144" s="272">
        <v>183.13775025856376</v>
      </c>
      <c r="H144" s="277">
        <v>3.3120930198983878E-2</v>
      </c>
      <c r="J144" s="294">
        <f t="shared" si="6"/>
        <v>167805.62010753562</v>
      </c>
      <c r="K144" s="294">
        <f t="shared" si="7"/>
        <v>168616.11026324658</v>
      </c>
      <c r="L144" s="281">
        <f t="shared" si="8"/>
        <v>1</v>
      </c>
    </row>
    <row r="145" spans="2:12" x14ac:dyDescent="0.15">
      <c r="B145" s="281">
        <v>138</v>
      </c>
      <c r="C145" s="294">
        <v>21251.228889787348</v>
      </c>
      <c r="D145" s="392">
        <v>6.1509622893762348</v>
      </c>
      <c r="E145" s="294">
        <v>21404.921799091884</v>
      </c>
      <c r="F145" s="272">
        <v>6.1765703786556454</v>
      </c>
      <c r="G145" s="272">
        <v>153.69290930453644</v>
      </c>
      <c r="H145" s="277">
        <v>2.5608089279410606E-2</v>
      </c>
      <c r="J145" s="294">
        <f t="shared" si="6"/>
        <v>163277.63979149971</v>
      </c>
      <c r="K145" s="294">
        <f t="shared" si="7"/>
        <v>163892.18956057748</v>
      </c>
      <c r="L145" s="281">
        <f t="shared" si="8"/>
        <v>1</v>
      </c>
    </row>
    <row r="146" spans="2:12" x14ac:dyDescent="0.15">
      <c r="B146" s="281">
        <v>139</v>
      </c>
      <c r="C146" s="294">
        <v>20336.435065114245</v>
      </c>
      <c r="D146" s="392">
        <v>6.2644990012618322</v>
      </c>
      <c r="E146" s="294">
        <v>20659.21408846846</v>
      </c>
      <c r="F146" s="272">
        <v>6.2919128402760425</v>
      </c>
      <c r="G146" s="272">
        <v>322.77902335421459</v>
      </c>
      <c r="H146" s="277">
        <v>2.7413839014210239E-2</v>
      </c>
      <c r="J146" s="294">
        <f t="shared" si="6"/>
        <v>167598.53497274074</v>
      </c>
      <c r="K146" s="294">
        <f t="shared" si="7"/>
        <v>168098.17111981282</v>
      </c>
      <c r="L146" s="281">
        <f t="shared" si="8"/>
        <v>1</v>
      </c>
    </row>
    <row r="147" spans="2:12" x14ac:dyDescent="0.15">
      <c r="B147" s="281">
        <v>140</v>
      </c>
      <c r="C147" s="294">
        <v>22153.418666556703</v>
      </c>
      <c r="D147" s="392">
        <v>6.352052774885423</v>
      </c>
      <c r="E147" s="294">
        <v>22363.231216317654</v>
      </c>
      <c r="F147" s="272">
        <v>6.3653711342554162</v>
      </c>
      <c r="G147" s="272">
        <v>209.81254976095079</v>
      </c>
      <c r="H147" s="277">
        <v>1.331835936999326E-2</v>
      </c>
      <c r="J147" s="294">
        <f t="shared" si="6"/>
        <v>168408.16458000598</v>
      </c>
      <c r="K147" s="294">
        <f t="shared" si="7"/>
        <v>168597.90281134483</v>
      </c>
      <c r="L147" s="281">
        <f t="shared" si="8"/>
        <v>1</v>
      </c>
    </row>
    <row r="148" spans="2:12" x14ac:dyDescent="0.15">
      <c r="B148" s="281">
        <v>141</v>
      </c>
      <c r="C148" s="294">
        <v>20559.142198101883</v>
      </c>
      <c r="D148" s="392">
        <v>6.1387058799125285</v>
      </c>
      <c r="E148" s="294">
        <v>20855.92953602759</v>
      </c>
      <c r="F148" s="272">
        <v>6.1855737867337641</v>
      </c>
      <c r="G148" s="272">
        <v>296.78733792570711</v>
      </c>
      <c r="H148" s="277">
        <v>4.686790682123565E-2</v>
      </c>
      <c r="J148" s="294">
        <f t="shared" si="6"/>
        <v>163602.03419927397</v>
      </c>
      <c r="K148" s="294">
        <f t="shared" si="7"/>
        <v>164711.28406598532</v>
      </c>
      <c r="L148" s="281">
        <f t="shared" si="8"/>
        <v>1</v>
      </c>
    </row>
    <row r="149" spans="2:12" x14ac:dyDescent="0.15">
      <c r="B149" s="281">
        <v>142</v>
      </c>
      <c r="C149" s="294">
        <v>23085.875653605974</v>
      </c>
      <c r="D149" s="392">
        <v>6.3338210007138622</v>
      </c>
      <c r="E149" s="294">
        <v>23251.719320059579</v>
      </c>
      <c r="F149" s="272">
        <v>6.3375209535585286</v>
      </c>
      <c r="G149" s="272">
        <v>165.84366645360569</v>
      </c>
      <c r="H149" s="277">
        <v>3.6999528446663987E-3</v>
      </c>
      <c r="J149" s="294">
        <f t="shared" si="6"/>
        <v>166928.75436780989</v>
      </c>
      <c r="K149" s="294">
        <f t="shared" si="7"/>
        <v>166873.90928669629</v>
      </c>
      <c r="L149" s="281">
        <f t="shared" si="8"/>
        <v>0</v>
      </c>
    </row>
    <row r="150" spans="2:12" x14ac:dyDescent="0.15">
      <c r="B150" s="281">
        <v>143</v>
      </c>
      <c r="C150" s="294">
        <v>21820.842949383936</v>
      </c>
      <c r="D150" s="392">
        <v>6.2262162510493084</v>
      </c>
      <c r="E150" s="294">
        <v>21904.111194510504</v>
      </c>
      <c r="F150" s="272">
        <v>6.2413746694972074</v>
      </c>
      <c r="G150" s="272">
        <v>83.268245126568218</v>
      </c>
      <c r="H150" s="277">
        <v>1.5158418447899003E-2</v>
      </c>
      <c r="J150" s="294">
        <f t="shared" si="6"/>
        <v>164965.64458209532</v>
      </c>
      <c r="K150" s="294">
        <f t="shared" si="7"/>
        <v>165337.12889040573</v>
      </c>
      <c r="L150" s="281">
        <f t="shared" si="8"/>
        <v>1</v>
      </c>
    </row>
    <row r="151" spans="2:12" x14ac:dyDescent="0.15">
      <c r="B151" s="281">
        <v>144</v>
      </c>
      <c r="C151" s="294">
        <v>21673.987177326122</v>
      </c>
      <c r="D151" s="392">
        <v>6.1997390474502483</v>
      </c>
      <c r="E151" s="294">
        <v>21718.203948350911</v>
      </c>
      <c r="F151" s="272">
        <v>6.1766571647679767</v>
      </c>
      <c r="G151" s="272">
        <v>44.216771024788613</v>
      </c>
      <c r="H151" s="277">
        <v>-2.3081882682271626E-2</v>
      </c>
      <c r="J151" s="294">
        <f t="shared" si="6"/>
        <v>164318.18424618134</v>
      </c>
      <c r="K151" s="294">
        <f t="shared" si="7"/>
        <v>163581.51099468837</v>
      </c>
      <c r="L151" s="281">
        <f t="shared" si="8"/>
        <v>0</v>
      </c>
    </row>
    <row r="152" spans="2:12" x14ac:dyDescent="0.15">
      <c r="B152" s="281">
        <v>145</v>
      </c>
      <c r="C152" s="294">
        <v>23625.351400198582</v>
      </c>
      <c r="D152" s="392">
        <v>6.1735399262025306</v>
      </c>
      <c r="E152" s="294">
        <v>23862.494498380081</v>
      </c>
      <c r="F152" s="272">
        <v>6.2297640296863843</v>
      </c>
      <c r="G152" s="272">
        <v>237.14309818149923</v>
      </c>
      <c r="H152" s="277">
        <v>5.622410348385376E-2</v>
      </c>
      <c r="J152" s="294">
        <f t="shared" si="6"/>
        <v>161580.84638587732</v>
      </c>
      <c r="K152" s="294">
        <f t="shared" si="7"/>
        <v>163030.42639221146</v>
      </c>
      <c r="L152" s="281">
        <f t="shared" si="8"/>
        <v>1</v>
      </c>
    </row>
    <row r="153" spans="2:12" x14ac:dyDescent="0.15">
      <c r="B153" s="281">
        <v>146</v>
      </c>
      <c r="C153" s="294">
        <v>22546.312839590217</v>
      </c>
      <c r="D153" s="392">
        <v>6.318523629877868</v>
      </c>
      <c r="E153" s="294">
        <v>22808.361114124062</v>
      </c>
      <c r="F153" s="272">
        <v>6.3670305572391985</v>
      </c>
      <c r="G153" s="272">
        <v>262.04827453384496</v>
      </c>
      <c r="H153" s="277">
        <v>4.8506927361330554E-2</v>
      </c>
      <c r="J153" s="294">
        <f t="shared" si="6"/>
        <v>167009.39605674581</v>
      </c>
      <c r="K153" s="294">
        <f t="shared" si="7"/>
        <v>168202.55560305188</v>
      </c>
      <c r="L153" s="281">
        <f t="shared" si="8"/>
        <v>1</v>
      </c>
    </row>
    <row r="154" spans="2:12" x14ac:dyDescent="0.15">
      <c r="B154" s="281">
        <v>147</v>
      </c>
      <c r="C154" s="294">
        <v>20631.757892105172</v>
      </c>
      <c r="D154" s="392">
        <v>6.272272510853381</v>
      </c>
      <c r="E154" s="294">
        <v>20740.074372780811</v>
      </c>
      <c r="F154" s="272">
        <v>6.2602713879273981</v>
      </c>
      <c r="G154" s="272">
        <v>108.31648067563947</v>
      </c>
      <c r="H154" s="277">
        <v>-1.2001122925982877E-2</v>
      </c>
      <c r="J154" s="294">
        <f t="shared" si="6"/>
        <v>167536.41743349624</v>
      </c>
      <c r="K154" s="294">
        <f t="shared" si="7"/>
        <v>167068.06726504114</v>
      </c>
      <c r="L154" s="281">
        <f t="shared" si="8"/>
        <v>0</v>
      </c>
    </row>
    <row r="155" spans="2:12" x14ac:dyDescent="0.15">
      <c r="B155" s="281">
        <v>148</v>
      </c>
      <c r="C155" s="294">
        <v>21855.727813899732</v>
      </c>
      <c r="D155" s="392">
        <v>6.2940133748645737</v>
      </c>
      <c r="E155" s="294">
        <v>22067.483348847389</v>
      </c>
      <c r="F155" s="272">
        <v>6.3087831008887871</v>
      </c>
      <c r="G155" s="272">
        <v>211.755534947657</v>
      </c>
      <c r="H155" s="277">
        <v>1.4769726024213448E-2</v>
      </c>
      <c r="J155" s="294">
        <f t="shared" si="6"/>
        <v>166964.6734320375</v>
      </c>
      <c r="K155" s="294">
        <f t="shared" si="7"/>
        <v>167196.00967781621</v>
      </c>
      <c r="L155" s="281">
        <f t="shared" si="8"/>
        <v>1</v>
      </c>
    </row>
    <row r="156" spans="2:12" x14ac:dyDescent="0.15">
      <c r="B156" s="281">
        <v>149</v>
      </c>
      <c r="C156" s="294">
        <v>21054.067871218413</v>
      </c>
      <c r="D156" s="392">
        <v>6.2567860858725286</v>
      </c>
      <c r="E156" s="294">
        <v>21324.541731379402</v>
      </c>
      <c r="F156" s="272">
        <v>6.2945087092712155</v>
      </c>
      <c r="G156" s="272">
        <v>270.47386016098972</v>
      </c>
      <c r="H156" s="277">
        <v>3.7722623398686927E-2</v>
      </c>
      <c r="J156" s="294">
        <f t="shared" si="6"/>
        <v>166649.51470495746</v>
      </c>
      <c r="K156" s="294">
        <f t="shared" si="7"/>
        <v>167510.71954675706</v>
      </c>
      <c r="L156" s="281">
        <f t="shared" si="8"/>
        <v>1</v>
      </c>
    </row>
    <row r="157" spans="2:12" x14ac:dyDescent="0.15">
      <c r="B157" s="281">
        <v>150</v>
      </c>
      <c r="C157" s="294">
        <v>20936.080626860898</v>
      </c>
      <c r="D157" s="392">
        <v>6.3438657274398755</v>
      </c>
      <c r="E157" s="294">
        <v>21209.365810115316</v>
      </c>
      <c r="F157" s="272">
        <v>6.3759107189268249</v>
      </c>
      <c r="G157" s="272">
        <v>273.28518325441837</v>
      </c>
      <c r="H157" s="277">
        <v>3.2044991486949392E-2</v>
      </c>
      <c r="J157" s="294">
        <f t="shared" si="6"/>
        <v>169379.89119633537</v>
      </c>
      <c r="K157" s="294">
        <f t="shared" si="7"/>
        <v>170067.95575768943</v>
      </c>
      <c r="L157" s="281">
        <f t="shared" si="8"/>
        <v>1</v>
      </c>
    </row>
    <row r="158" spans="2:12" x14ac:dyDescent="0.15">
      <c r="B158" s="281">
        <v>151</v>
      </c>
      <c r="C158" s="294">
        <v>21422.604550662272</v>
      </c>
      <c r="D158" s="392">
        <v>6.2407376796996017</v>
      </c>
      <c r="E158" s="294">
        <v>21617.810177477866</v>
      </c>
      <c r="F158" s="272">
        <v>6.2938238765279904</v>
      </c>
      <c r="G158" s="272">
        <v>195.20562681559386</v>
      </c>
      <c r="H158" s="277">
        <v>5.3086196828388665E-2</v>
      </c>
      <c r="J158" s="294">
        <f t="shared" si="6"/>
        <v>165799.52584032578</v>
      </c>
      <c r="K158" s="294">
        <f t="shared" si="7"/>
        <v>167196.90611836186</v>
      </c>
      <c r="L158" s="281">
        <f t="shared" si="8"/>
        <v>1</v>
      </c>
    </row>
    <row r="159" spans="2:12" x14ac:dyDescent="0.15">
      <c r="B159" s="281">
        <v>152</v>
      </c>
      <c r="C159" s="294">
        <v>21957.684866050877</v>
      </c>
      <c r="D159" s="392">
        <v>6.2439350801178533</v>
      </c>
      <c r="E159" s="294">
        <v>22118.020536285941</v>
      </c>
      <c r="F159" s="272">
        <v>6.2922619325544433</v>
      </c>
      <c r="G159" s="272">
        <v>160.33567023506475</v>
      </c>
      <c r="H159" s="277">
        <v>4.8326852436590073E-2</v>
      </c>
      <c r="J159" s="294">
        <f t="shared" si="6"/>
        <v>165360.36753748474</v>
      </c>
      <c r="K159" s="294">
        <f t="shared" si="7"/>
        <v>166649.83744034736</v>
      </c>
      <c r="L159" s="281">
        <f t="shared" si="8"/>
        <v>1</v>
      </c>
    </row>
    <row r="160" spans="2:12" x14ac:dyDescent="0.15">
      <c r="B160" s="281">
        <v>153</v>
      </c>
      <c r="C160" s="294">
        <v>22950.402859547343</v>
      </c>
      <c r="D160" s="392">
        <v>6.2813846434378213</v>
      </c>
      <c r="E160" s="294">
        <v>23153.740469313092</v>
      </c>
      <c r="F160" s="272">
        <v>6.3174128696178116</v>
      </c>
      <c r="G160" s="272">
        <v>203.33760976574922</v>
      </c>
      <c r="H160" s="277">
        <v>3.6028226179990241E-2</v>
      </c>
      <c r="J160" s="294">
        <f t="shared" si="6"/>
        <v>165491.13644358728</v>
      </c>
      <c r="K160" s="294">
        <f t="shared" si="7"/>
        <v>166368.64561922126</v>
      </c>
      <c r="L160" s="281">
        <f t="shared" si="8"/>
        <v>1</v>
      </c>
    </row>
    <row r="161" spans="2:12" x14ac:dyDescent="0.15">
      <c r="B161" s="281">
        <v>154</v>
      </c>
      <c r="C161" s="294">
        <v>21062.569234659215</v>
      </c>
      <c r="D161" s="392">
        <v>6.2659404447929132</v>
      </c>
      <c r="E161" s="294">
        <v>21360.330493227986</v>
      </c>
      <c r="F161" s="272">
        <v>6.3312914341128854</v>
      </c>
      <c r="G161" s="272">
        <v>297.76125856877115</v>
      </c>
      <c r="H161" s="277">
        <v>6.5350989319972186E-2</v>
      </c>
      <c r="J161" s="294">
        <f t="shared" si="6"/>
        <v>166915.64410912816</v>
      </c>
      <c r="K161" s="294">
        <f t="shared" si="7"/>
        <v>168578.41253015859</v>
      </c>
      <c r="L161" s="281">
        <f t="shared" si="8"/>
        <v>1</v>
      </c>
    </row>
    <row r="162" spans="2:12" x14ac:dyDescent="0.15">
      <c r="B162" s="281">
        <v>155</v>
      </c>
      <c r="C162" s="294">
        <v>21553.582657012212</v>
      </c>
      <c r="D162" s="392">
        <v>6.2795993116062823</v>
      </c>
      <c r="E162" s="294">
        <v>21732.561833616041</v>
      </c>
      <c r="F162" s="272">
        <v>6.2870477509789993</v>
      </c>
      <c r="G162" s="272">
        <v>178.97917660382882</v>
      </c>
      <c r="H162" s="277">
        <v>7.4484393727169973E-3</v>
      </c>
      <c r="J162" s="294">
        <f t="shared" si="6"/>
        <v>166834.39669117625</v>
      </c>
      <c r="K162" s="294">
        <f t="shared" si="7"/>
        <v>166878.87069575395</v>
      </c>
      <c r="L162" s="281">
        <f t="shared" si="8"/>
        <v>1</v>
      </c>
    </row>
    <row r="163" spans="2:12" x14ac:dyDescent="0.15">
      <c r="B163" s="281">
        <v>156</v>
      </c>
      <c r="C163" s="294">
        <v>19937.146960147445</v>
      </c>
      <c r="D163" s="392">
        <v>6.3533907563488023</v>
      </c>
      <c r="E163" s="294">
        <v>20142.688057526499</v>
      </c>
      <c r="F163" s="272">
        <v>6.4150025852493586</v>
      </c>
      <c r="G163" s="272">
        <v>205.5410973790531</v>
      </c>
      <c r="H163" s="277">
        <v>6.1611828900556276E-2</v>
      </c>
      <c r="J163" s="294">
        <f t="shared" si="6"/>
        <v>170664.57573031663</v>
      </c>
      <c r="K163" s="294">
        <f t="shared" si="7"/>
        <v>172307.38949995424</v>
      </c>
      <c r="L163" s="281">
        <f t="shared" si="8"/>
        <v>1</v>
      </c>
    </row>
    <row r="164" spans="2:12" x14ac:dyDescent="0.15">
      <c r="B164" s="281">
        <v>157</v>
      </c>
      <c r="C164" s="294">
        <v>21583.551909294325</v>
      </c>
      <c r="D164" s="392">
        <v>6.2565872328129091</v>
      </c>
      <c r="E164" s="294">
        <v>21859.551513488739</v>
      </c>
      <c r="F164" s="272">
        <v>6.3134262455155676</v>
      </c>
      <c r="G164" s="272">
        <v>275.99960419441413</v>
      </c>
      <c r="H164" s="277">
        <v>5.6839012702658565E-2</v>
      </c>
      <c r="J164" s="294">
        <f t="shared" si="6"/>
        <v>166114.06507509295</v>
      </c>
      <c r="K164" s="294">
        <f t="shared" si="7"/>
        <v>167543.2358519783</v>
      </c>
      <c r="L164" s="281">
        <f t="shared" si="8"/>
        <v>1</v>
      </c>
    </row>
    <row r="165" spans="2:12" x14ac:dyDescent="0.15">
      <c r="B165" s="281">
        <v>158</v>
      </c>
      <c r="C165" s="294">
        <v>22277.623149554929</v>
      </c>
      <c r="D165" s="392">
        <v>6.3091690824572879</v>
      </c>
      <c r="E165" s="294">
        <v>22682.576546887383</v>
      </c>
      <c r="F165" s="272">
        <v>6.3557978400938744</v>
      </c>
      <c r="G165" s="272">
        <v>404.95339733245419</v>
      </c>
      <c r="H165" s="277">
        <v>4.6628757636586471E-2</v>
      </c>
      <c r="J165" s="294">
        <f t="shared" si="6"/>
        <v>166997.44932416372</v>
      </c>
      <c r="K165" s="294">
        <f t="shared" si="7"/>
        <v>167991.35865592887</v>
      </c>
      <c r="L165" s="281">
        <f t="shared" si="8"/>
        <v>1</v>
      </c>
    </row>
    <row r="166" spans="2:12" x14ac:dyDescent="0.15">
      <c r="B166" s="281">
        <v>159</v>
      </c>
      <c r="C166" s="294">
        <v>19762.009732515813</v>
      </c>
      <c r="D166" s="392">
        <v>6.307287264263997</v>
      </c>
      <c r="E166" s="294">
        <v>20021.839121405428</v>
      </c>
      <c r="F166" s="272">
        <v>6.3419509514185295</v>
      </c>
      <c r="G166" s="272">
        <v>259.82938888961507</v>
      </c>
      <c r="H166" s="277">
        <v>3.4663687154532496E-2</v>
      </c>
      <c r="J166" s="294">
        <f t="shared" si="6"/>
        <v>169456.60819540409</v>
      </c>
      <c r="K166" s="294">
        <f t="shared" si="7"/>
        <v>170236.68942115048</v>
      </c>
      <c r="L166" s="281">
        <f t="shared" si="8"/>
        <v>1</v>
      </c>
    </row>
    <row r="167" spans="2:12" x14ac:dyDescent="0.15">
      <c r="B167" s="281">
        <v>160</v>
      </c>
      <c r="C167" s="294">
        <v>22006.520815126842</v>
      </c>
      <c r="D167" s="392">
        <v>6.2406390369524107</v>
      </c>
      <c r="E167" s="294">
        <v>22070.332900167181</v>
      </c>
      <c r="F167" s="272">
        <v>6.2527288853566345</v>
      </c>
      <c r="G167" s="272">
        <v>63.812085040339298</v>
      </c>
      <c r="H167" s="277">
        <v>1.208984840422378E-2</v>
      </c>
      <c r="J167" s="294">
        <f t="shared" si="6"/>
        <v>165212.65029344551</v>
      </c>
      <c r="K167" s="294">
        <f t="shared" si="7"/>
        <v>165511.53366053186</v>
      </c>
      <c r="L167" s="281">
        <f t="shared" si="8"/>
        <v>1</v>
      </c>
    </row>
    <row r="168" spans="2:12" x14ac:dyDescent="0.15">
      <c r="B168" s="281">
        <v>161</v>
      </c>
      <c r="C168" s="294">
        <v>21912.535541858888</v>
      </c>
      <c r="D168" s="392">
        <v>6.1978797553153209</v>
      </c>
      <c r="E168" s="294">
        <v>22249.425956393712</v>
      </c>
      <c r="F168" s="272">
        <v>6.2424460948632818</v>
      </c>
      <c r="G168" s="272">
        <v>336.89041453482423</v>
      </c>
      <c r="H168" s="277">
        <v>4.4566339547960965E-2</v>
      </c>
      <c r="J168" s="294">
        <f t="shared" si="6"/>
        <v>164023.85711760074</v>
      </c>
      <c r="K168" s="294">
        <f t="shared" si="7"/>
        <v>165023.95688950474</v>
      </c>
      <c r="L168" s="281">
        <f t="shared" si="8"/>
        <v>1</v>
      </c>
    </row>
    <row r="169" spans="2:12" x14ac:dyDescent="0.15">
      <c r="B169" s="281">
        <v>162</v>
      </c>
      <c r="C169" s="294">
        <v>20775.038281411507</v>
      </c>
      <c r="D169" s="392">
        <v>6.2129561091720875</v>
      </c>
      <c r="E169" s="294">
        <v>20926.754023351546</v>
      </c>
      <c r="F169" s="272">
        <v>6.2432580293705655</v>
      </c>
      <c r="G169" s="272">
        <v>151.71574194003915</v>
      </c>
      <c r="H169" s="277">
        <v>3.0301920198477994E-2</v>
      </c>
      <c r="J169" s="294">
        <f t="shared" si="6"/>
        <v>165613.64499375111</v>
      </c>
      <c r="K169" s="294">
        <f t="shared" si="7"/>
        <v>166370.98685776541</v>
      </c>
      <c r="L169" s="281">
        <f t="shared" si="8"/>
        <v>1</v>
      </c>
    </row>
    <row r="170" spans="2:12" x14ac:dyDescent="0.15">
      <c r="B170" s="281">
        <v>163</v>
      </c>
      <c r="C170" s="294">
        <v>20898.5467033526</v>
      </c>
      <c r="D170" s="392">
        <v>6.3398022333525867</v>
      </c>
      <c r="E170" s="294">
        <v>21036.10578484404</v>
      </c>
      <c r="F170" s="272">
        <v>6.3426794199641447</v>
      </c>
      <c r="G170" s="272">
        <v>137.55908149143943</v>
      </c>
      <c r="H170" s="277">
        <v>2.8771866115580025E-3</v>
      </c>
      <c r="J170" s="294">
        <f t="shared" si="6"/>
        <v>169295.52029722501</v>
      </c>
      <c r="K170" s="294">
        <f t="shared" si="7"/>
        <v>169244.27681408031</v>
      </c>
      <c r="L170" s="281">
        <f t="shared" si="8"/>
        <v>0</v>
      </c>
    </row>
    <row r="171" spans="2:12" x14ac:dyDescent="0.15">
      <c r="B171" s="281">
        <v>164</v>
      </c>
      <c r="C171" s="294">
        <v>21726.269008557079</v>
      </c>
      <c r="D171" s="392">
        <v>6.2920191507461309</v>
      </c>
      <c r="E171" s="294">
        <v>21817.86691446335</v>
      </c>
      <c r="F171" s="272">
        <v>6.2877779385970047</v>
      </c>
      <c r="G171" s="272">
        <v>91.597905906270171</v>
      </c>
      <c r="H171" s="277">
        <v>-4.2412121491262056E-3</v>
      </c>
      <c r="J171" s="294">
        <f t="shared" si="6"/>
        <v>167034.30551382684</v>
      </c>
      <c r="K171" s="294">
        <f t="shared" si="7"/>
        <v>166815.47124344681</v>
      </c>
      <c r="L171" s="281">
        <f t="shared" si="8"/>
        <v>0</v>
      </c>
    </row>
    <row r="172" spans="2:12" x14ac:dyDescent="0.15">
      <c r="B172" s="281">
        <v>165</v>
      </c>
      <c r="C172" s="294">
        <v>20028.833492522419</v>
      </c>
      <c r="D172" s="392">
        <v>6.357677809320454</v>
      </c>
      <c r="E172" s="294">
        <v>20169.693613161195</v>
      </c>
      <c r="F172" s="272">
        <v>6.3854798498915271</v>
      </c>
      <c r="G172" s="272">
        <v>140.8601206387757</v>
      </c>
      <c r="H172" s="277">
        <v>2.780204057107305E-2</v>
      </c>
      <c r="J172" s="294">
        <f t="shared" si="6"/>
        <v>170701.50078709121</v>
      </c>
      <c r="K172" s="294">
        <f t="shared" si="7"/>
        <v>171394.70188358461</v>
      </c>
      <c r="L172" s="281">
        <f t="shared" si="8"/>
        <v>1</v>
      </c>
    </row>
    <row r="173" spans="2:12" x14ac:dyDescent="0.15">
      <c r="B173" s="281">
        <v>166</v>
      </c>
      <c r="C173" s="294">
        <v>20771.2735230129</v>
      </c>
      <c r="D173" s="392">
        <v>6.183615056578482</v>
      </c>
      <c r="E173" s="294">
        <v>20854.772010273737</v>
      </c>
      <c r="F173" s="272">
        <v>6.1899273043079965</v>
      </c>
      <c r="G173" s="272">
        <v>83.498487260836555</v>
      </c>
      <c r="H173" s="277">
        <v>6.3122477295145529E-3</v>
      </c>
      <c r="J173" s="294">
        <f t="shared" si="6"/>
        <v>164737.17817434156</v>
      </c>
      <c r="K173" s="294">
        <f t="shared" si="7"/>
        <v>164843.04711896615</v>
      </c>
      <c r="L173" s="281">
        <f t="shared" si="8"/>
        <v>1</v>
      </c>
    </row>
    <row r="174" spans="2:12" x14ac:dyDescent="0.15">
      <c r="B174" s="281">
        <v>167</v>
      </c>
      <c r="C174" s="294">
        <v>21353.282520302044</v>
      </c>
      <c r="D174" s="392">
        <v>6.2280090532259935</v>
      </c>
      <c r="E174" s="294">
        <v>21447.02207728384</v>
      </c>
      <c r="F174" s="272">
        <v>6.2345766603298607</v>
      </c>
      <c r="G174" s="272">
        <v>93.739556981796341</v>
      </c>
      <c r="H174" s="277">
        <v>6.567607103867168E-3</v>
      </c>
      <c r="J174" s="294">
        <f t="shared" si="6"/>
        <v>165486.98907647777</v>
      </c>
      <c r="K174" s="294">
        <f t="shared" si="7"/>
        <v>165590.27773261198</v>
      </c>
      <c r="L174" s="281">
        <f t="shared" si="8"/>
        <v>1</v>
      </c>
    </row>
    <row r="175" spans="2:12" x14ac:dyDescent="0.15">
      <c r="B175" s="281">
        <v>168</v>
      </c>
      <c r="C175" s="294">
        <v>21638.494667711755</v>
      </c>
      <c r="D175" s="392">
        <v>6.2776577601827723</v>
      </c>
      <c r="E175" s="294">
        <v>21908.150177791831</v>
      </c>
      <c r="F175" s="272">
        <v>6.3125105779895598</v>
      </c>
      <c r="G175" s="272">
        <v>269.65551008007606</v>
      </c>
      <c r="H175" s="277">
        <v>3.4852817806787506E-2</v>
      </c>
      <c r="J175" s="294">
        <f t="shared" si="6"/>
        <v>166691.2381377714</v>
      </c>
      <c r="K175" s="294">
        <f t="shared" si="7"/>
        <v>167467.16716189496</v>
      </c>
      <c r="L175" s="281">
        <f t="shared" si="8"/>
        <v>1</v>
      </c>
    </row>
    <row r="176" spans="2:12" x14ac:dyDescent="0.15">
      <c r="B176" s="281">
        <v>169</v>
      </c>
      <c r="C176" s="294">
        <v>21237.11061415782</v>
      </c>
      <c r="D176" s="392">
        <v>6.2964808870115592</v>
      </c>
      <c r="E176" s="294">
        <v>21403.920972695054</v>
      </c>
      <c r="F176" s="272">
        <v>6.3409440042463379</v>
      </c>
      <c r="G176" s="272">
        <v>166.8103585372337</v>
      </c>
      <c r="H176" s="277">
        <v>4.4463117234778693E-2</v>
      </c>
      <c r="J176" s="294">
        <f t="shared" si="6"/>
        <v>167657.31599618896</v>
      </c>
      <c r="K176" s="294">
        <f t="shared" si="7"/>
        <v>168824.39915469507</v>
      </c>
      <c r="L176" s="281">
        <f t="shared" si="8"/>
        <v>1</v>
      </c>
    </row>
    <row r="177" spans="2:12" x14ac:dyDescent="0.15">
      <c r="B177" s="281">
        <v>170</v>
      </c>
      <c r="C177" s="294">
        <v>21731.788371284023</v>
      </c>
      <c r="D177" s="392">
        <v>6.3133959890871099</v>
      </c>
      <c r="E177" s="294">
        <v>22033.869315645166</v>
      </c>
      <c r="F177" s="272">
        <v>6.3734501023775589</v>
      </c>
      <c r="G177" s="272">
        <v>302.08094436114334</v>
      </c>
      <c r="H177" s="277">
        <v>6.0054113290449074E-2</v>
      </c>
      <c r="J177" s="294">
        <f t="shared" si="6"/>
        <v>167670.09130132926</v>
      </c>
      <c r="K177" s="294">
        <f t="shared" si="7"/>
        <v>169169.6337556816</v>
      </c>
      <c r="L177" s="281">
        <f t="shared" si="8"/>
        <v>1</v>
      </c>
    </row>
    <row r="178" spans="2:12" x14ac:dyDescent="0.15">
      <c r="B178" s="281">
        <v>171</v>
      </c>
      <c r="C178" s="294">
        <v>21165.917108330716</v>
      </c>
      <c r="D178" s="392">
        <v>6.3600719627754874</v>
      </c>
      <c r="E178" s="294">
        <v>21353.562568005422</v>
      </c>
      <c r="F178" s="272">
        <v>6.4097954456652291</v>
      </c>
      <c r="G178" s="272">
        <v>187.64545967470622</v>
      </c>
      <c r="H178" s="277">
        <v>4.972348288974171E-2</v>
      </c>
      <c r="J178" s="294">
        <f t="shared" si="6"/>
        <v>169636.24177493388</v>
      </c>
      <c r="K178" s="294">
        <f t="shared" si="7"/>
        <v>170940.30080195144</v>
      </c>
      <c r="L178" s="281">
        <f t="shared" si="8"/>
        <v>1</v>
      </c>
    </row>
    <row r="179" spans="2:12" x14ac:dyDescent="0.15">
      <c r="B179" s="281">
        <v>172</v>
      </c>
      <c r="C179" s="294">
        <v>21190.602384966955</v>
      </c>
      <c r="D179" s="392">
        <v>6.3580963684197034</v>
      </c>
      <c r="E179" s="294">
        <v>21384.566497084117</v>
      </c>
      <c r="F179" s="272">
        <v>6.3959908306544744</v>
      </c>
      <c r="G179" s="272">
        <v>193.96411211716259</v>
      </c>
      <c r="H179" s="277">
        <v>3.7894462234770998E-2</v>
      </c>
      <c r="J179" s="294">
        <f t="shared" si="6"/>
        <v>169552.28866762415</v>
      </c>
      <c r="K179" s="294">
        <f t="shared" si="7"/>
        <v>170495.15842255013</v>
      </c>
      <c r="L179" s="281">
        <f t="shared" si="8"/>
        <v>1</v>
      </c>
    </row>
    <row r="180" spans="2:12" x14ac:dyDescent="0.15">
      <c r="B180" s="281">
        <v>173</v>
      </c>
      <c r="C180" s="294">
        <v>21839.905756652504</v>
      </c>
      <c r="D180" s="392">
        <v>6.3142445144463357</v>
      </c>
      <c r="E180" s="294">
        <v>21954.432501621079</v>
      </c>
      <c r="F180" s="272">
        <v>6.3469693168588428</v>
      </c>
      <c r="G180" s="272">
        <v>114.52674496857435</v>
      </c>
      <c r="H180" s="277">
        <v>3.2724802412507081E-2</v>
      </c>
      <c r="J180" s="294">
        <f t="shared" si="6"/>
        <v>167587.42967673758</v>
      </c>
      <c r="K180" s="294">
        <f t="shared" si="7"/>
        <v>168454.64700414421</v>
      </c>
      <c r="L180" s="281">
        <f t="shared" si="8"/>
        <v>1</v>
      </c>
    </row>
    <row r="181" spans="2:12" x14ac:dyDescent="0.15">
      <c r="B181" s="281">
        <v>174</v>
      </c>
      <c r="C181" s="294">
        <v>23744.567649421781</v>
      </c>
      <c r="D181" s="392">
        <v>6.2303798298309223</v>
      </c>
      <c r="E181" s="294">
        <v>23844.469368817376</v>
      </c>
      <c r="F181" s="272">
        <v>6.2324238648326729</v>
      </c>
      <c r="G181" s="272">
        <v>99.901719395595137</v>
      </c>
      <c r="H181" s="277">
        <v>2.0440350017505438E-3</v>
      </c>
      <c r="J181" s="294">
        <f t="shared" si="6"/>
        <v>163166.82724550591</v>
      </c>
      <c r="K181" s="294">
        <f t="shared" si="7"/>
        <v>163128.24657616281</v>
      </c>
      <c r="L181" s="281">
        <f t="shared" si="8"/>
        <v>0</v>
      </c>
    </row>
    <row r="182" spans="2:12" x14ac:dyDescent="0.15">
      <c r="B182" s="281">
        <v>175</v>
      </c>
      <c r="C182" s="294">
        <v>21899.707211543409</v>
      </c>
      <c r="D182" s="392">
        <v>6.258470800934421</v>
      </c>
      <c r="E182" s="294">
        <v>22113.712184959877</v>
      </c>
      <c r="F182" s="272">
        <v>6.2924397297000176</v>
      </c>
      <c r="G182" s="272">
        <v>214.00497341646769</v>
      </c>
      <c r="H182" s="277">
        <v>3.3968928765596651E-2</v>
      </c>
      <c r="J182" s="294">
        <f t="shared" si="6"/>
        <v>165854.41681648922</v>
      </c>
      <c r="K182" s="294">
        <f t="shared" si="7"/>
        <v>166659.47970604064</v>
      </c>
      <c r="L182" s="281">
        <f t="shared" si="8"/>
        <v>1</v>
      </c>
    </row>
    <row r="183" spans="2:12" x14ac:dyDescent="0.15">
      <c r="B183" s="281">
        <v>176</v>
      </c>
      <c r="C183" s="294">
        <v>22217.112923492918</v>
      </c>
      <c r="D183" s="392">
        <v>6.1252962762311762</v>
      </c>
      <c r="E183" s="294">
        <v>22483.31100719871</v>
      </c>
      <c r="F183" s="272">
        <v>6.1774552077140648</v>
      </c>
      <c r="G183" s="272">
        <v>266.19808370579267</v>
      </c>
      <c r="H183" s="277">
        <v>5.2158931482888526E-2</v>
      </c>
      <c r="J183" s="294">
        <f t="shared" si="6"/>
        <v>161541.77536344237</v>
      </c>
      <c r="K183" s="294">
        <f t="shared" si="7"/>
        <v>162840.34522422325</v>
      </c>
      <c r="L183" s="281">
        <f t="shared" si="8"/>
        <v>1</v>
      </c>
    </row>
    <row r="184" spans="2:12" x14ac:dyDescent="0.15">
      <c r="B184" s="281">
        <v>177</v>
      </c>
      <c r="C184" s="294">
        <v>21580.864228219925</v>
      </c>
      <c r="D184" s="392">
        <v>6.175467856119095</v>
      </c>
      <c r="E184" s="294">
        <v>21832.453605661536</v>
      </c>
      <c r="F184" s="272">
        <v>6.2271851902024409</v>
      </c>
      <c r="G184" s="272">
        <v>251.58937744161085</v>
      </c>
      <c r="H184" s="277">
        <v>5.1717334083345889E-2</v>
      </c>
      <c r="J184" s="294">
        <f t="shared" si="6"/>
        <v>163683.17145535292</v>
      </c>
      <c r="K184" s="294">
        <f t="shared" si="7"/>
        <v>164983.10210041169</v>
      </c>
      <c r="L184" s="281">
        <f t="shared" si="8"/>
        <v>1</v>
      </c>
    </row>
    <row r="185" spans="2:12" x14ac:dyDescent="0.15">
      <c r="B185" s="281">
        <v>178</v>
      </c>
      <c r="C185" s="294">
        <v>21089.829532556796</v>
      </c>
      <c r="D185" s="392">
        <v>6.2328263881608184</v>
      </c>
      <c r="E185" s="294">
        <v>21167.238380269453</v>
      </c>
      <c r="F185" s="272">
        <v>6.2416859375443074</v>
      </c>
      <c r="G185" s="272">
        <v>77.408847712657007</v>
      </c>
      <c r="H185" s="277">
        <v>8.8595493834890959E-3</v>
      </c>
      <c r="J185" s="294">
        <f t="shared" si="6"/>
        <v>165894.96211226776</v>
      </c>
      <c r="K185" s="294">
        <f t="shared" si="7"/>
        <v>166083.33974605979</v>
      </c>
      <c r="L185" s="281">
        <f t="shared" si="8"/>
        <v>1</v>
      </c>
    </row>
    <row r="186" spans="2:12" x14ac:dyDescent="0.15">
      <c r="B186" s="281">
        <v>179</v>
      </c>
      <c r="C186" s="294">
        <v>20941.938198991462</v>
      </c>
      <c r="D186" s="392">
        <v>6.2666667951216617</v>
      </c>
      <c r="E186" s="294">
        <v>21236.850228641939</v>
      </c>
      <c r="F186" s="272">
        <v>6.3158387618386902</v>
      </c>
      <c r="G186" s="272">
        <v>294.91202965047705</v>
      </c>
      <c r="H186" s="277">
        <v>4.9171966717028504E-2</v>
      </c>
      <c r="J186" s="294">
        <f t="shared" si="6"/>
        <v>167058.06565465839</v>
      </c>
      <c r="K186" s="294">
        <f t="shared" si="7"/>
        <v>168238.31262651877</v>
      </c>
      <c r="L186" s="281">
        <f t="shared" si="8"/>
        <v>1</v>
      </c>
    </row>
    <row r="187" spans="2:12" x14ac:dyDescent="0.15">
      <c r="B187" s="281">
        <v>180</v>
      </c>
      <c r="C187" s="294">
        <v>20081.059626046077</v>
      </c>
      <c r="D187" s="392">
        <v>6.2508419386717851</v>
      </c>
      <c r="E187" s="294">
        <v>20282.773094777596</v>
      </c>
      <c r="F187" s="272">
        <v>6.3204070542679478</v>
      </c>
      <c r="G187" s="272">
        <v>201.71346873151924</v>
      </c>
      <c r="H187" s="277">
        <v>6.9565115596162741E-2</v>
      </c>
      <c r="J187" s="294">
        <f t="shared" si="6"/>
        <v>167444.19853410748</v>
      </c>
      <c r="K187" s="294">
        <f t="shared" si="7"/>
        <v>169329.43853326084</v>
      </c>
      <c r="L187" s="281">
        <f t="shared" si="8"/>
        <v>1</v>
      </c>
    </row>
    <row r="188" spans="2:12" x14ac:dyDescent="0.15">
      <c r="B188" s="281">
        <v>181</v>
      </c>
      <c r="C188" s="294">
        <v>21050.092848189834</v>
      </c>
      <c r="D188" s="392">
        <v>6.3048214476989504</v>
      </c>
      <c r="E188" s="294">
        <v>21263.159773605075</v>
      </c>
      <c r="F188" s="272">
        <v>6.3460139618821234</v>
      </c>
      <c r="G188" s="272">
        <v>213.06692541524171</v>
      </c>
      <c r="H188" s="277">
        <v>4.1192514183173046E-2</v>
      </c>
      <c r="J188" s="294">
        <f t="shared" si="6"/>
        <v>168094.55058277867</v>
      </c>
      <c r="K188" s="294">
        <f t="shared" si="7"/>
        <v>169117.25908285863</v>
      </c>
      <c r="L188" s="281">
        <f t="shared" si="8"/>
        <v>1</v>
      </c>
    </row>
    <row r="189" spans="2:12" x14ac:dyDescent="0.15">
      <c r="B189" s="281">
        <v>182</v>
      </c>
      <c r="C189" s="294">
        <v>22334.890244052051</v>
      </c>
      <c r="D189" s="392">
        <v>6.077503394681945</v>
      </c>
      <c r="E189" s="294">
        <v>22483.224843786971</v>
      </c>
      <c r="F189" s="272">
        <v>6.1097815898407273</v>
      </c>
      <c r="G189" s="272">
        <v>148.33459973492063</v>
      </c>
      <c r="H189" s="277">
        <v>3.2278195158782275E-2</v>
      </c>
      <c r="J189" s="294">
        <f t="shared" si="6"/>
        <v>159990.2115964063</v>
      </c>
      <c r="K189" s="294">
        <f t="shared" si="7"/>
        <v>160810.22285143484</v>
      </c>
      <c r="L189" s="281">
        <f t="shared" si="8"/>
        <v>1</v>
      </c>
    </row>
    <row r="190" spans="2:12" x14ac:dyDescent="0.15">
      <c r="B190" s="281">
        <v>183</v>
      </c>
      <c r="C190" s="294">
        <v>20809.543457390693</v>
      </c>
      <c r="D190" s="392">
        <v>6.0703085498031184</v>
      </c>
      <c r="E190" s="294">
        <v>21134.55403996534</v>
      </c>
      <c r="F190" s="272">
        <v>6.1430454238586725</v>
      </c>
      <c r="G190" s="272">
        <v>325.01058257464683</v>
      </c>
      <c r="H190" s="277">
        <v>7.2736874055554068E-2</v>
      </c>
      <c r="J190" s="294">
        <f t="shared" si="6"/>
        <v>161299.71303670286</v>
      </c>
      <c r="K190" s="294">
        <f t="shared" si="7"/>
        <v>163156.80867579486</v>
      </c>
      <c r="L190" s="281">
        <f t="shared" si="8"/>
        <v>1</v>
      </c>
    </row>
    <row r="191" spans="2:12" x14ac:dyDescent="0.15">
      <c r="B191" s="281">
        <v>184</v>
      </c>
      <c r="C191" s="294">
        <v>22224.414688485835</v>
      </c>
      <c r="D191" s="392">
        <v>6.223613613227414</v>
      </c>
      <c r="E191" s="294">
        <v>22520.472078388761</v>
      </c>
      <c r="F191" s="272">
        <v>6.2964996417576407</v>
      </c>
      <c r="G191" s="272">
        <v>296.05738990292593</v>
      </c>
      <c r="H191" s="277">
        <v>7.2886028530226632E-2</v>
      </c>
      <c r="J191" s="294">
        <f t="shared" si="6"/>
        <v>164483.99370833661</v>
      </c>
      <c r="K191" s="294">
        <f t="shared" si="7"/>
        <v>166374.51717434046</v>
      </c>
      <c r="L191" s="281">
        <f t="shared" si="8"/>
        <v>1</v>
      </c>
    </row>
    <row r="192" spans="2:12" x14ac:dyDescent="0.15">
      <c r="B192" s="281">
        <v>185</v>
      </c>
      <c r="C192" s="294">
        <v>21839.239848472404</v>
      </c>
      <c r="D192" s="392">
        <v>6.2806526507912741</v>
      </c>
      <c r="E192" s="294">
        <v>22071.484836880481</v>
      </c>
      <c r="F192" s="272">
        <v>6.3353597510684558</v>
      </c>
      <c r="G192" s="272">
        <v>232.24498840807792</v>
      </c>
      <c r="H192" s="277">
        <v>5.4707100277181731E-2</v>
      </c>
      <c r="J192" s="294">
        <f t="shared" si="6"/>
        <v>166580.3396752658</v>
      </c>
      <c r="K192" s="294">
        <f t="shared" si="7"/>
        <v>167989.30769517319</v>
      </c>
      <c r="L192" s="281">
        <f t="shared" si="8"/>
        <v>1</v>
      </c>
    </row>
    <row r="193" spans="2:12" x14ac:dyDescent="0.15">
      <c r="B193" s="281">
        <v>186</v>
      </c>
      <c r="C193" s="294">
        <v>22688.788120848571</v>
      </c>
      <c r="D193" s="392">
        <v>6.1967656609469008</v>
      </c>
      <c r="E193" s="294">
        <v>22956.078300265966</v>
      </c>
      <c r="F193" s="272">
        <v>6.229060030469789</v>
      </c>
      <c r="G193" s="272">
        <v>267.29017941739585</v>
      </c>
      <c r="H193" s="277">
        <v>3.2294369522888111E-2</v>
      </c>
      <c r="J193" s="294">
        <f t="shared" si="6"/>
        <v>163214.18170755845</v>
      </c>
      <c r="K193" s="294">
        <f t="shared" si="7"/>
        <v>163915.7226138277</v>
      </c>
      <c r="L193" s="281">
        <f t="shared" si="8"/>
        <v>1</v>
      </c>
    </row>
    <row r="194" spans="2:12" x14ac:dyDescent="0.15">
      <c r="B194" s="281">
        <v>187</v>
      </c>
      <c r="C194" s="294">
        <v>21030.178488462989</v>
      </c>
      <c r="D194" s="392">
        <v>6.1458857684975712</v>
      </c>
      <c r="E194" s="294">
        <v>21340.430420743294</v>
      </c>
      <c r="F194" s="272">
        <v>6.1685075532268607</v>
      </c>
      <c r="G194" s="272">
        <v>310.25193228030548</v>
      </c>
      <c r="H194" s="277">
        <v>2.2621784729289551E-2</v>
      </c>
      <c r="J194" s="294">
        <f t="shared" si="6"/>
        <v>163346.39456646415</v>
      </c>
      <c r="K194" s="294">
        <f t="shared" si="7"/>
        <v>163714.79617606252</v>
      </c>
      <c r="L194" s="281">
        <f t="shared" si="8"/>
        <v>1</v>
      </c>
    </row>
    <row r="195" spans="2:12" x14ac:dyDescent="0.15">
      <c r="B195" s="281">
        <v>188</v>
      </c>
      <c r="C195" s="294">
        <v>21575.77366561718</v>
      </c>
      <c r="D195" s="392">
        <v>6.2976417465312107</v>
      </c>
      <c r="E195" s="294">
        <v>21617.108132751433</v>
      </c>
      <c r="F195" s="272">
        <v>6.2905327932125115</v>
      </c>
      <c r="G195" s="272">
        <v>41.334467134252918</v>
      </c>
      <c r="H195" s="277">
        <v>-7.1089533186992071E-3</v>
      </c>
      <c r="J195" s="294">
        <f t="shared" si="6"/>
        <v>167353.47873031913</v>
      </c>
      <c r="K195" s="294">
        <f t="shared" si="7"/>
        <v>167098.87566362391</v>
      </c>
      <c r="L195" s="281">
        <f t="shared" si="8"/>
        <v>0</v>
      </c>
    </row>
    <row r="196" spans="2:12" x14ac:dyDescent="0.15">
      <c r="B196" s="281">
        <v>189</v>
      </c>
      <c r="C196" s="294">
        <v>22025.770751441309</v>
      </c>
      <c r="D196" s="392">
        <v>6.3227448591378526</v>
      </c>
      <c r="E196" s="294">
        <v>22228.534282956596</v>
      </c>
      <c r="F196" s="272">
        <v>6.3517429533114225</v>
      </c>
      <c r="G196" s="272">
        <v>202.76353151528747</v>
      </c>
      <c r="H196" s="277">
        <v>2.899809417356991E-2</v>
      </c>
      <c r="J196" s="294">
        <f t="shared" si="6"/>
        <v>167656.57502269428</v>
      </c>
      <c r="K196" s="294">
        <f t="shared" si="7"/>
        <v>168323.75431638607</v>
      </c>
      <c r="L196" s="281">
        <f t="shared" si="8"/>
        <v>1</v>
      </c>
    </row>
    <row r="197" spans="2:12" x14ac:dyDescent="0.15">
      <c r="B197" s="281">
        <v>190</v>
      </c>
      <c r="C197" s="294">
        <v>21188.543989687707</v>
      </c>
      <c r="D197" s="392">
        <v>6.2626080606990584</v>
      </c>
      <c r="E197" s="294">
        <v>21481.531953413018</v>
      </c>
      <c r="F197" s="272">
        <v>6.3323763604160082</v>
      </c>
      <c r="G197" s="272">
        <v>292.98796372531069</v>
      </c>
      <c r="H197" s="277">
        <v>6.9768299716949755E-2</v>
      </c>
      <c r="J197" s="294">
        <f t="shared" si="6"/>
        <v>166689.69783128402</v>
      </c>
      <c r="K197" s="294">
        <f t="shared" si="7"/>
        <v>168489.75885906722</v>
      </c>
      <c r="L197" s="281">
        <f t="shared" si="8"/>
        <v>1</v>
      </c>
    </row>
    <row r="198" spans="2:12" x14ac:dyDescent="0.15">
      <c r="B198" s="281">
        <v>191</v>
      </c>
      <c r="C198" s="294">
        <v>21066.693838769068</v>
      </c>
      <c r="D198" s="392">
        <v>6.1577103665069748</v>
      </c>
      <c r="E198" s="294">
        <v>21200.60672373261</v>
      </c>
      <c r="F198" s="272">
        <v>6.1738545542548051</v>
      </c>
      <c r="G198" s="272">
        <v>133.91288496354173</v>
      </c>
      <c r="H198" s="277">
        <v>1.614418774783033E-2</v>
      </c>
      <c r="J198" s="294">
        <f t="shared" si="6"/>
        <v>163664.61715644016</v>
      </c>
      <c r="K198" s="294">
        <f t="shared" si="7"/>
        <v>164015.02990391155</v>
      </c>
      <c r="L198" s="281">
        <f t="shared" si="8"/>
        <v>1</v>
      </c>
    </row>
    <row r="199" spans="2:12" x14ac:dyDescent="0.15">
      <c r="B199" s="281">
        <v>192</v>
      </c>
      <c r="C199" s="294">
        <v>21272.006541591436</v>
      </c>
      <c r="D199" s="392">
        <v>6.3431892051103143</v>
      </c>
      <c r="E199" s="294">
        <v>21365.073822218055</v>
      </c>
      <c r="F199" s="272">
        <v>6.3622541993029387</v>
      </c>
      <c r="G199" s="272">
        <v>93.067280626619322</v>
      </c>
      <c r="H199" s="277">
        <v>1.9064994192624418E-2</v>
      </c>
      <c r="J199" s="294">
        <f t="shared" si="6"/>
        <v>169023.66961171801</v>
      </c>
      <c r="K199" s="294">
        <f t="shared" si="7"/>
        <v>169502.55215687011</v>
      </c>
      <c r="L199" s="281">
        <f t="shared" si="8"/>
        <v>1</v>
      </c>
    </row>
    <row r="200" spans="2:12" x14ac:dyDescent="0.15">
      <c r="B200" s="281">
        <v>193</v>
      </c>
      <c r="C200" s="294">
        <v>20641.733761630469</v>
      </c>
      <c r="D200" s="392">
        <v>6.2124179227452236</v>
      </c>
      <c r="E200" s="294">
        <v>20740.393171345302</v>
      </c>
      <c r="F200" s="272">
        <v>6.211082139757</v>
      </c>
      <c r="G200" s="272">
        <v>98.6594097148336</v>
      </c>
      <c r="H200" s="277">
        <v>-1.3357829882236771E-3</v>
      </c>
      <c r="J200" s="294">
        <f t="shared" ref="J200:J263" si="9">(D200*wtp)-C200</f>
        <v>165730.80392072626</v>
      </c>
      <c r="K200" s="294">
        <f t="shared" ref="K200:K263" si="10">(F200*wtp)-E200</f>
        <v>165592.07102136471</v>
      </c>
      <c r="L200" s="281">
        <f t="shared" si="8"/>
        <v>0</v>
      </c>
    </row>
    <row r="201" spans="2:12" x14ac:dyDescent="0.15">
      <c r="B201" s="281">
        <v>194</v>
      </c>
      <c r="C201" s="294">
        <v>22984.626550471781</v>
      </c>
      <c r="D201" s="392">
        <v>6.2361343951526118</v>
      </c>
      <c r="E201" s="294">
        <v>23207.120953077247</v>
      </c>
      <c r="F201" s="272">
        <v>6.2934413284376225</v>
      </c>
      <c r="G201" s="272">
        <v>222.49440260546544</v>
      </c>
      <c r="H201" s="277">
        <v>5.7306933285010686E-2</v>
      </c>
      <c r="J201" s="294">
        <f t="shared" si="9"/>
        <v>164099.40530410656</v>
      </c>
      <c r="K201" s="294">
        <f t="shared" si="10"/>
        <v>165596.11890005143</v>
      </c>
      <c r="L201" s="281">
        <f t="shared" ref="L201:L264" si="11">IF(K201&gt;J201,1,0)</f>
        <v>1</v>
      </c>
    </row>
    <row r="202" spans="2:12" x14ac:dyDescent="0.15">
      <c r="B202" s="281">
        <v>195</v>
      </c>
      <c r="C202" s="294">
        <v>21821.600007487505</v>
      </c>
      <c r="D202" s="392">
        <v>6.2163675559593843</v>
      </c>
      <c r="E202" s="294">
        <v>22089.379810814811</v>
      </c>
      <c r="F202" s="272">
        <v>6.2672869948394023</v>
      </c>
      <c r="G202" s="272">
        <v>267.77980332730658</v>
      </c>
      <c r="H202" s="277">
        <v>5.0919438880018042E-2</v>
      </c>
      <c r="J202" s="294">
        <f t="shared" si="9"/>
        <v>164669.42667129403</v>
      </c>
      <c r="K202" s="294">
        <f t="shared" si="10"/>
        <v>165929.23003436727</v>
      </c>
      <c r="L202" s="281">
        <f t="shared" si="11"/>
        <v>1</v>
      </c>
    </row>
    <row r="203" spans="2:12" x14ac:dyDescent="0.15">
      <c r="B203" s="281">
        <v>196</v>
      </c>
      <c r="C203" s="294">
        <v>22649.099677597194</v>
      </c>
      <c r="D203" s="392">
        <v>6.2511092797330763</v>
      </c>
      <c r="E203" s="294">
        <v>23039.32093061864</v>
      </c>
      <c r="F203" s="272">
        <v>6.2887602172226904</v>
      </c>
      <c r="G203" s="272">
        <v>390.22125302144559</v>
      </c>
      <c r="H203" s="277">
        <v>3.7650937489614122E-2</v>
      </c>
      <c r="J203" s="294">
        <f t="shared" si="9"/>
        <v>164884.17871439509</v>
      </c>
      <c r="K203" s="294">
        <f t="shared" si="10"/>
        <v>165623.48558606207</v>
      </c>
      <c r="L203" s="281">
        <f t="shared" si="11"/>
        <v>1</v>
      </c>
    </row>
    <row r="204" spans="2:12" x14ac:dyDescent="0.15">
      <c r="B204" s="281">
        <v>197</v>
      </c>
      <c r="C204" s="294">
        <v>21672.822454133449</v>
      </c>
      <c r="D204" s="392">
        <v>6.3191602839279915</v>
      </c>
      <c r="E204" s="294">
        <v>22004.507450105812</v>
      </c>
      <c r="F204" s="272">
        <v>6.3979789352889851</v>
      </c>
      <c r="G204" s="272">
        <v>331.68499597236223</v>
      </c>
      <c r="H204" s="277">
        <v>7.8818651360993641E-2</v>
      </c>
      <c r="J204" s="294">
        <f t="shared" si="9"/>
        <v>167901.98606370628</v>
      </c>
      <c r="K204" s="294">
        <f t="shared" si="10"/>
        <v>169934.86060856376</v>
      </c>
      <c r="L204" s="281">
        <f t="shared" si="11"/>
        <v>1</v>
      </c>
    </row>
    <row r="205" spans="2:12" x14ac:dyDescent="0.15">
      <c r="B205" s="281">
        <v>198</v>
      </c>
      <c r="C205" s="294">
        <v>21107.534534712144</v>
      </c>
      <c r="D205" s="392">
        <v>6.1002315234850686</v>
      </c>
      <c r="E205" s="294">
        <v>21383.05107276237</v>
      </c>
      <c r="F205" s="272">
        <v>6.1577258020516545</v>
      </c>
      <c r="G205" s="272">
        <v>275.51653805022579</v>
      </c>
      <c r="H205" s="277">
        <v>5.7494278566585955E-2</v>
      </c>
      <c r="J205" s="294">
        <f t="shared" si="9"/>
        <v>161899.41116983991</v>
      </c>
      <c r="K205" s="294">
        <f t="shared" si="10"/>
        <v>163348.72298878725</v>
      </c>
      <c r="L205" s="281">
        <f t="shared" si="11"/>
        <v>1</v>
      </c>
    </row>
    <row r="206" spans="2:12" x14ac:dyDescent="0.15">
      <c r="B206" s="281">
        <v>199</v>
      </c>
      <c r="C206" s="294">
        <v>20813.550321195809</v>
      </c>
      <c r="D206" s="392">
        <v>6.3165896041081329</v>
      </c>
      <c r="E206" s="294">
        <v>21045.681407818174</v>
      </c>
      <c r="F206" s="272">
        <v>6.3321371669909112</v>
      </c>
      <c r="G206" s="272">
        <v>232.13108662236482</v>
      </c>
      <c r="H206" s="277">
        <v>1.5547562882778365E-2</v>
      </c>
      <c r="J206" s="294">
        <f t="shared" si="9"/>
        <v>168684.13780204818</v>
      </c>
      <c r="K206" s="294">
        <f t="shared" si="10"/>
        <v>168918.43360190917</v>
      </c>
      <c r="L206" s="281">
        <f t="shared" si="11"/>
        <v>1</v>
      </c>
    </row>
    <row r="207" spans="2:12" x14ac:dyDescent="0.15">
      <c r="B207" s="281">
        <v>200</v>
      </c>
      <c r="C207" s="294">
        <v>20670.798185651507</v>
      </c>
      <c r="D207" s="392">
        <v>6.3501524764987414</v>
      </c>
      <c r="E207" s="294">
        <v>21026.1241792488</v>
      </c>
      <c r="F207" s="272">
        <v>6.4238744635371621</v>
      </c>
      <c r="G207" s="272">
        <v>355.32599359729284</v>
      </c>
      <c r="H207" s="277">
        <v>7.37219870384207E-2</v>
      </c>
      <c r="J207" s="294">
        <f t="shared" si="9"/>
        <v>169833.77610931074</v>
      </c>
      <c r="K207" s="294">
        <f t="shared" si="10"/>
        <v>171690.10972686607</v>
      </c>
      <c r="L207" s="281">
        <f t="shared" si="11"/>
        <v>1</v>
      </c>
    </row>
    <row r="208" spans="2:12" x14ac:dyDescent="0.15">
      <c r="B208" s="281">
        <v>201</v>
      </c>
      <c r="C208" s="294">
        <v>22046.894716887069</v>
      </c>
      <c r="D208" s="392">
        <v>6.2663420209438412</v>
      </c>
      <c r="E208" s="294">
        <v>22167.143244188846</v>
      </c>
      <c r="F208" s="272">
        <v>6.2832857391900543</v>
      </c>
      <c r="G208" s="272">
        <v>120.24852730177736</v>
      </c>
      <c r="H208" s="277">
        <v>1.6943718246213102E-2</v>
      </c>
      <c r="J208" s="294">
        <f t="shared" si="9"/>
        <v>165943.36591142818</v>
      </c>
      <c r="K208" s="294">
        <f t="shared" si="10"/>
        <v>166331.42893151275</v>
      </c>
      <c r="L208" s="281">
        <f t="shared" si="11"/>
        <v>1</v>
      </c>
    </row>
    <row r="209" spans="2:12" x14ac:dyDescent="0.15">
      <c r="B209" s="281">
        <v>202</v>
      </c>
      <c r="C209" s="294">
        <v>21259.088380619483</v>
      </c>
      <c r="D209" s="392">
        <v>6.1765753111324582</v>
      </c>
      <c r="E209" s="294">
        <v>21329.421565793553</v>
      </c>
      <c r="F209" s="272">
        <v>6.1669452623129484</v>
      </c>
      <c r="G209" s="272">
        <v>70.333185174069513</v>
      </c>
      <c r="H209" s="277">
        <v>-9.6300488195097955E-3</v>
      </c>
      <c r="J209" s="294">
        <f t="shared" si="9"/>
        <v>164038.17095335427</v>
      </c>
      <c r="K209" s="294">
        <f t="shared" si="10"/>
        <v>163678.93630359491</v>
      </c>
      <c r="L209" s="281">
        <f t="shared" si="11"/>
        <v>0</v>
      </c>
    </row>
    <row r="210" spans="2:12" x14ac:dyDescent="0.15">
      <c r="B210" s="281">
        <v>203</v>
      </c>
      <c r="C210" s="294">
        <v>24111.867835106994</v>
      </c>
      <c r="D210" s="392">
        <v>6.091129706775547</v>
      </c>
      <c r="E210" s="294">
        <v>24312.582071963316</v>
      </c>
      <c r="F210" s="272">
        <v>6.145030189296266</v>
      </c>
      <c r="G210" s="272">
        <v>200.7142368563218</v>
      </c>
      <c r="H210" s="277">
        <v>5.3900482520718995E-2</v>
      </c>
      <c r="J210" s="294">
        <f t="shared" si="9"/>
        <v>158622.02336815943</v>
      </c>
      <c r="K210" s="294">
        <f t="shared" si="10"/>
        <v>160038.32360692465</v>
      </c>
      <c r="L210" s="281">
        <f t="shared" si="11"/>
        <v>1</v>
      </c>
    </row>
    <row r="211" spans="2:12" x14ac:dyDescent="0.15">
      <c r="B211" s="281">
        <v>204</v>
      </c>
      <c r="C211" s="294">
        <v>21722.956863671836</v>
      </c>
      <c r="D211" s="392">
        <v>6.1183199212562913</v>
      </c>
      <c r="E211" s="294">
        <v>21887.485456374598</v>
      </c>
      <c r="F211" s="272">
        <v>6.1488804770410761</v>
      </c>
      <c r="G211" s="272">
        <v>164.52859270276167</v>
      </c>
      <c r="H211" s="277">
        <v>3.0560555784784782E-2</v>
      </c>
      <c r="J211" s="294">
        <f t="shared" si="9"/>
        <v>161826.64077401691</v>
      </c>
      <c r="K211" s="294">
        <f t="shared" si="10"/>
        <v>162578.92885485769</v>
      </c>
      <c r="L211" s="281">
        <f t="shared" si="11"/>
        <v>1</v>
      </c>
    </row>
    <row r="212" spans="2:12" x14ac:dyDescent="0.15">
      <c r="B212" s="281">
        <v>205</v>
      </c>
      <c r="C212" s="294">
        <v>21181.281832207205</v>
      </c>
      <c r="D212" s="392">
        <v>6.1923878138794359</v>
      </c>
      <c r="E212" s="294">
        <v>21401.575291751869</v>
      </c>
      <c r="F212" s="272">
        <v>6.2336724247737809</v>
      </c>
      <c r="G212" s="272">
        <v>220.29345954466407</v>
      </c>
      <c r="H212" s="277">
        <v>4.1284610894344986E-2</v>
      </c>
      <c r="J212" s="294">
        <f t="shared" si="9"/>
        <v>164590.35258417588</v>
      </c>
      <c r="K212" s="294">
        <f t="shared" si="10"/>
        <v>165608.59745146154</v>
      </c>
      <c r="L212" s="281">
        <f t="shared" si="11"/>
        <v>1</v>
      </c>
    </row>
    <row r="213" spans="2:12" x14ac:dyDescent="0.15">
      <c r="B213" s="281">
        <v>206</v>
      </c>
      <c r="C213" s="294">
        <v>21279.997493482464</v>
      </c>
      <c r="D213" s="392">
        <v>6.2899285952161286</v>
      </c>
      <c r="E213" s="294">
        <v>21527.655574558175</v>
      </c>
      <c r="F213" s="272">
        <v>6.3386211743323537</v>
      </c>
      <c r="G213" s="272">
        <v>247.65808107571138</v>
      </c>
      <c r="H213" s="277">
        <v>4.8692579116225154E-2</v>
      </c>
      <c r="J213" s="294">
        <f t="shared" si="9"/>
        <v>167417.86036300141</v>
      </c>
      <c r="K213" s="294">
        <f t="shared" si="10"/>
        <v>168630.97965541243</v>
      </c>
      <c r="L213" s="281">
        <f t="shared" si="11"/>
        <v>1</v>
      </c>
    </row>
    <row r="214" spans="2:12" x14ac:dyDescent="0.15">
      <c r="B214" s="281">
        <v>207</v>
      </c>
      <c r="C214" s="294">
        <v>20329.215711557019</v>
      </c>
      <c r="D214" s="392">
        <v>6.2499447775111232</v>
      </c>
      <c r="E214" s="294">
        <v>20566.72131859306</v>
      </c>
      <c r="F214" s="272">
        <v>6.2764167510061686</v>
      </c>
      <c r="G214" s="272">
        <v>237.5056070360406</v>
      </c>
      <c r="H214" s="277">
        <v>2.6471973495045376E-2</v>
      </c>
      <c r="J214" s="294">
        <f t="shared" si="9"/>
        <v>167169.12761377668</v>
      </c>
      <c r="K214" s="294">
        <f t="shared" si="10"/>
        <v>167725.78121159202</v>
      </c>
      <c r="L214" s="281">
        <f t="shared" si="11"/>
        <v>1</v>
      </c>
    </row>
    <row r="215" spans="2:12" x14ac:dyDescent="0.15">
      <c r="B215" s="281">
        <v>208</v>
      </c>
      <c r="C215" s="294">
        <v>22314.824985886658</v>
      </c>
      <c r="D215" s="392">
        <v>6.268591488360685</v>
      </c>
      <c r="E215" s="294">
        <v>22405.106419107793</v>
      </c>
      <c r="F215" s="272">
        <v>6.253694218224255</v>
      </c>
      <c r="G215" s="272">
        <v>90.281433221134648</v>
      </c>
      <c r="H215" s="277">
        <v>-1.4897270136430052E-2</v>
      </c>
      <c r="J215" s="294">
        <f t="shared" si="9"/>
        <v>165742.9196649339</v>
      </c>
      <c r="K215" s="294">
        <f t="shared" si="10"/>
        <v>165205.72012761986</v>
      </c>
      <c r="L215" s="281">
        <f t="shared" si="11"/>
        <v>0</v>
      </c>
    </row>
    <row r="216" spans="2:12" x14ac:dyDescent="0.15">
      <c r="B216" s="281">
        <v>209</v>
      </c>
      <c r="C216" s="294">
        <v>21517.779725297631</v>
      </c>
      <c r="D216" s="392">
        <v>6.2354611770489061</v>
      </c>
      <c r="E216" s="294">
        <v>21703.786226040102</v>
      </c>
      <c r="F216" s="272">
        <v>6.2722577223140421</v>
      </c>
      <c r="G216" s="272">
        <v>186.00650074247096</v>
      </c>
      <c r="H216" s="277">
        <v>3.6796545265135983E-2</v>
      </c>
      <c r="J216" s="294">
        <f t="shared" si="9"/>
        <v>165546.05558616953</v>
      </c>
      <c r="K216" s="294">
        <f t="shared" si="10"/>
        <v>166463.94544338115</v>
      </c>
      <c r="L216" s="281">
        <f t="shared" si="11"/>
        <v>1</v>
      </c>
    </row>
    <row r="217" spans="2:12" x14ac:dyDescent="0.15">
      <c r="B217" s="281">
        <v>210</v>
      </c>
      <c r="C217" s="294">
        <v>21112.284971792389</v>
      </c>
      <c r="D217" s="392">
        <v>6.3150383467540543</v>
      </c>
      <c r="E217" s="294">
        <v>21282.322739065799</v>
      </c>
      <c r="F217" s="272">
        <v>6.3323831808571107</v>
      </c>
      <c r="G217" s="272">
        <v>170.03776727341028</v>
      </c>
      <c r="H217" s="277">
        <v>1.7344834103056428E-2</v>
      </c>
      <c r="J217" s="294">
        <f t="shared" si="9"/>
        <v>168338.86543082923</v>
      </c>
      <c r="K217" s="294">
        <f t="shared" si="10"/>
        <v>168689.17268664754</v>
      </c>
      <c r="L217" s="281">
        <f t="shared" si="11"/>
        <v>1</v>
      </c>
    </row>
    <row r="218" spans="2:12" x14ac:dyDescent="0.15">
      <c r="B218" s="281">
        <v>211</v>
      </c>
      <c r="C218" s="294">
        <v>21643.756045320108</v>
      </c>
      <c r="D218" s="392">
        <v>6.3101230071599161</v>
      </c>
      <c r="E218" s="294">
        <v>21739.67340582965</v>
      </c>
      <c r="F218" s="272">
        <v>6.3244442098299745</v>
      </c>
      <c r="G218" s="272">
        <v>95.91736050954205</v>
      </c>
      <c r="H218" s="277">
        <v>1.4321202670058319E-2</v>
      </c>
      <c r="J218" s="294">
        <f t="shared" si="9"/>
        <v>167659.93416947738</v>
      </c>
      <c r="K218" s="294">
        <f t="shared" si="10"/>
        <v>167993.65288906958</v>
      </c>
      <c r="L218" s="281">
        <f t="shared" si="11"/>
        <v>1</v>
      </c>
    </row>
    <row r="219" spans="2:12" x14ac:dyDescent="0.15">
      <c r="B219" s="281">
        <v>212</v>
      </c>
      <c r="C219" s="294">
        <v>20931.452950935749</v>
      </c>
      <c r="D219" s="392">
        <v>6.1108542320382968</v>
      </c>
      <c r="E219" s="294">
        <v>21239.207441026891</v>
      </c>
      <c r="F219" s="272">
        <v>6.1684987438689332</v>
      </c>
      <c r="G219" s="272">
        <v>307.75449009114163</v>
      </c>
      <c r="H219" s="277">
        <v>5.7644511830636347E-2</v>
      </c>
      <c r="J219" s="294">
        <f t="shared" si="9"/>
        <v>162394.17401021314</v>
      </c>
      <c r="K219" s="294">
        <f t="shared" si="10"/>
        <v>163815.75487504111</v>
      </c>
      <c r="L219" s="281">
        <f t="shared" si="11"/>
        <v>1</v>
      </c>
    </row>
    <row r="220" spans="2:12" x14ac:dyDescent="0.15">
      <c r="B220" s="281">
        <v>213</v>
      </c>
      <c r="C220" s="294">
        <v>21206.153498989839</v>
      </c>
      <c r="D220" s="392">
        <v>6.235650450985899</v>
      </c>
      <c r="E220" s="294">
        <v>21381.689200736131</v>
      </c>
      <c r="F220" s="272">
        <v>6.2571186502739033</v>
      </c>
      <c r="G220" s="272">
        <v>175.53570174629203</v>
      </c>
      <c r="H220" s="277">
        <v>2.1468199288004364E-2</v>
      </c>
      <c r="J220" s="294">
        <f t="shared" si="9"/>
        <v>165863.36003058712</v>
      </c>
      <c r="K220" s="294">
        <f t="shared" si="10"/>
        <v>166331.87030748097</v>
      </c>
      <c r="L220" s="281">
        <f t="shared" si="11"/>
        <v>1</v>
      </c>
    </row>
    <row r="221" spans="2:12" x14ac:dyDescent="0.15">
      <c r="B221" s="281">
        <v>214</v>
      </c>
      <c r="C221" s="294">
        <v>21993.249080025238</v>
      </c>
      <c r="D221" s="392">
        <v>6.2523818114659884</v>
      </c>
      <c r="E221" s="294">
        <v>22290.372919126072</v>
      </c>
      <c r="F221" s="272">
        <v>6.2944812853582661</v>
      </c>
      <c r="G221" s="272">
        <v>297.12383910083372</v>
      </c>
      <c r="H221" s="277">
        <v>4.209947389227775E-2</v>
      </c>
      <c r="J221" s="294">
        <f t="shared" si="9"/>
        <v>165578.20526395441</v>
      </c>
      <c r="K221" s="294">
        <f t="shared" si="10"/>
        <v>166544.06564162191</v>
      </c>
      <c r="L221" s="281">
        <f t="shared" si="11"/>
        <v>1</v>
      </c>
    </row>
    <row r="222" spans="2:12" x14ac:dyDescent="0.15">
      <c r="B222" s="281">
        <v>215</v>
      </c>
      <c r="C222" s="294">
        <v>22097.398305898441</v>
      </c>
      <c r="D222" s="392">
        <v>6.1979159195440872</v>
      </c>
      <c r="E222" s="294">
        <v>22403.391011662807</v>
      </c>
      <c r="F222" s="272">
        <v>6.2445728896514519</v>
      </c>
      <c r="G222" s="272">
        <v>305.99270576436538</v>
      </c>
      <c r="H222" s="277">
        <v>4.6656970107364693E-2</v>
      </c>
      <c r="J222" s="294">
        <f t="shared" si="9"/>
        <v>163840.07928042416</v>
      </c>
      <c r="K222" s="294">
        <f t="shared" si="10"/>
        <v>164933.79567788076</v>
      </c>
      <c r="L222" s="281">
        <f t="shared" si="11"/>
        <v>1</v>
      </c>
    </row>
    <row r="223" spans="2:12" x14ac:dyDescent="0.15">
      <c r="B223" s="281">
        <v>216</v>
      </c>
      <c r="C223" s="294">
        <v>21006.497905540084</v>
      </c>
      <c r="D223" s="392">
        <v>6.3447809549272733</v>
      </c>
      <c r="E223" s="294">
        <v>21295.737569892612</v>
      </c>
      <c r="F223" s="272">
        <v>6.3784981823904756</v>
      </c>
      <c r="G223" s="272">
        <v>289.23966435252805</v>
      </c>
      <c r="H223" s="277">
        <v>3.3717227463202271E-2</v>
      </c>
      <c r="J223" s="294">
        <f t="shared" si="9"/>
        <v>169336.93074227811</v>
      </c>
      <c r="K223" s="294">
        <f t="shared" si="10"/>
        <v>170059.20790182168</v>
      </c>
      <c r="L223" s="281">
        <f t="shared" si="11"/>
        <v>1</v>
      </c>
    </row>
    <row r="224" spans="2:12" x14ac:dyDescent="0.15">
      <c r="B224" s="281">
        <v>217</v>
      </c>
      <c r="C224" s="294">
        <v>21859.971774686564</v>
      </c>
      <c r="D224" s="392">
        <v>6.2358508273512943</v>
      </c>
      <c r="E224" s="294">
        <v>22185.427759436643</v>
      </c>
      <c r="F224" s="272">
        <v>6.2876695069710085</v>
      </c>
      <c r="G224" s="272">
        <v>325.45598475007864</v>
      </c>
      <c r="H224" s="277">
        <v>5.1818679619714203E-2</v>
      </c>
      <c r="J224" s="294">
        <f t="shared" si="9"/>
        <v>165215.55304585226</v>
      </c>
      <c r="K224" s="294">
        <f t="shared" si="10"/>
        <v>166444.65744969359</v>
      </c>
      <c r="L224" s="281">
        <f t="shared" si="11"/>
        <v>1</v>
      </c>
    </row>
    <row r="225" spans="2:12" x14ac:dyDescent="0.15">
      <c r="B225" s="281">
        <v>218</v>
      </c>
      <c r="C225" s="294">
        <v>22180.911630113354</v>
      </c>
      <c r="D225" s="392">
        <v>6.2113635902594506</v>
      </c>
      <c r="E225" s="294">
        <v>22392.062029828052</v>
      </c>
      <c r="F225" s="272">
        <v>6.2530078002608951</v>
      </c>
      <c r="G225" s="272">
        <v>211.15039971469741</v>
      </c>
      <c r="H225" s="277">
        <v>4.164421000144447E-2</v>
      </c>
      <c r="J225" s="294">
        <f t="shared" si="9"/>
        <v>164159.99607767016</v>
      </c>
      <c r="K225" s="294">
        <f t="shared" si="10"/>
        <v>165198.17197799881</v>
      </c>
      <c r="L225" s="281">
        <f t="shared" si="11"/>
        <v>1</v>
      </c>
    </row>
    <row r="226" spans="2:12" x14ac:dyDescent="0.15">
      <c r="B226" s="281">
        <v>219</v>
      </c>
      <c r="C226" s="294">
        <v>21319.074241908522</v>
      </c>
      <c r="D226" s="392">
        <v>6.2884567466914207</v>
      </c>
      <c r="E226" s="294">
        <v>21515.054962110014</v>
      </c>
      <c r="F226" s="272">
        <v>6.2918693314989405</v>
      </c>
      <c r="G226" s="272">
        <v>195.98072020149266</v>
      </c>
      <c r="H226" s="277">
        <v>3.412584807519714E-3</v>
      </c>
      <c r="J226" s="294">
        <f t="shared" si="9"/>
        <v>167334.62815883409</v>
      </c>
      <c r="K226" s="294">
        <f t="shared" si="10"/>
        <v>167241.02498285822</v>
      </c>
      <c r="L226" s="281">
        <f t="shared" si="11"/>
        <v>0</v>
      </c>
    </row>
    <row r="227" spans="2:12" x14ac:dyDescent="0.15">
      <c r="B227" s="281">
        <v>220</v>
      </c>
      <c r="C227" s="294">
        <v>22263.148519554215</v>
      </c>
      <c r="D227" s="392">
        <v>6.3006743585240876</v>
      </c>
      <c r="E227" s="294">
        <v>22491.827417367138</v>
      </c>
      <c r="F227" s="272">
        <v>6.3558923325610683</v>
      </c>
      <c r="G227" s="272">
        <v>228.67889781292251</v>
      </c>
      <c r="H227" s="277">
        <v>5.5217974036980699E-2</v>
      </c>
      <c r="J227" s="294">
        <f t="shared" si="9"/>
        <v>166757.08223616841</v>
      </c>
      <c r="K227" s="294">
        <f t="shared" si="10"/>
        <v>168184.94255946492</v>
      </c>
      <c r="L227" s="281">
        <f t="shared" si="11"/>
        <v>1</v>
      </c>
    </row>
    <row r="228" spans="2:12" x14ac:dyDescent="0.15">
      <c r="B228" s="281">
        <v>221</v>
      </c>
      <c r="C228" s="294">
        <v>21917.499130529079</v>
      </c>
      <c r="D228" s="392">
        <v>6.2698620151690516</v>
      </c>
      <c r="E228" s="294">
        <v>22036.171976169477</v>
      </c>
      <c r="F228" s="272">
        <v>6.3002824541381255</v>
      </c>
      <c r="G228" s="272">
        <v>118.67284564039801</v>
      </c>
      <c r="H228" s="277">
        <v>3.0420438969073871E-2</v>
      </c>
      <c r="J228" s="294">
        <f t="shared" si="9"/>
        <v>166178.36132454246</v>
      </c>
      <c r="K228" s="294">
        <f t="shared" si="10"/>
        <v>166972.30164797429</v>
      </c>
      <c r="L228" s="281">
        <f t="shared" si="11"/>
        <v>1</v>
      </c>
    </row>
    <row r="229" spans="2:12" x14ac:dyDescent="0.15">
      <c r="B229" s="281">
        <v>222</v>
      </c>
      <c r="C229" s="294">
        <v>20114.04720763618</v>
      </c>
      <c r="D229" s="392">
        <v>6.2697537388992002</v>
      </c>
      <c r="E229" s="294">
        <v>20261.804417423056</v>
      </c>
      <c r="F229" s="272">
        <v>6.3030847921248379</v>
      </c>
      <c r="G229" s="272">
        <v>147.75720978687605</v>
      </c>
      <c r="H229" s="277">
        <v>3.3331053225637675E-2</v>
      </c>
      <c r="J229" s="294">
        <f t="shared" si="9"/>
        <v>167978.56495933983</v>
      </c>
      <c r="K229" s="294">
        <f t="shared" si="10"/>
        <v>168830.73934632208</v>
      </c>
      <c r="L229" s="281">
        <f t="shared" si="11"/>
        <v>1</v>
      </c>
    </row>
    <row r="230" spans="2:12" x14ac:dyDescent="0.15">
      <c r="B230" s="281">
        <v>223</v>
      </c>
      <c r="C230" s="294">
        <v>21735.609889318246</v>
      </c>
      <c r="D230" s="392">
        <v>6.4001722367375509</v>
      </c>
      <c r="E230" s="294">
        <v>21936.299792204754</v>
      </c>
      <c r="F230" s="272">
        <v>6.4474929627848496</v>
      </c>
      <c r="G230" s="272">
        <v>200.68990288650821</v>
      </c>
      <c r="H230" s="277">
        <v>4.7320726047298756E-2</v>
      </c>
      <c r="J230" s="294">
        <f t="shared" si="9"/>
        <v>170269.55721280829</v>
      </c>
      <c r="K230" s="294">
        <f t="shared" si="10"/>
        <v>171488.48909134074</v>
      </c>
      <c r="L230" s="281">
        <f t="shared" si="11"/>
        <v>1</v>
      </c>
    </row>
    <row r="231" spans="2:12" x14ac:dyDescent="0.15">
      <c r="B231" s="281">
        <v>224</v>
      </c>
      <c r="C231" s="294">
        <v>21585.24721762117</v>
      </c>
      <c r="D231" s="392">
        <v>6.2878232864876882</v>
      </c>
      <c r="E231" s="294">
        <v>21804.728902472456</v>
      </c>
      <c r="F231" s="272">
        <v>6.3616167324268593</v>
      </c>
      <c r="G231" s="272">
        <v>219.48168485128554</v>
      </c>
      <c r="H231" s="277">
        <v>7.3793445939171143E-2</v>
      </c>
      <c r="J231" s="294">
        <f t="shared" si="9"/>
        <v>167049.45137700948</v>
      </c>
      <c r="K231" s="294">
        <f t="shared" si="10"/>
        <v>169043.77307033332</v>
      </c>
      <c r="L231" s="281">
        <f t="shared" si="11"/>
        <v>1</v>
      </c>
    </row>
    <row r="232" spans="2:12" x14ac:dyDescent="0.15">
      <c r="B232" s="281">
        <v>225</v>
      </c>
      <c r="C232" s="294">
        <v>20381.622507689761</v>
      </c>
      <c r="D232" s="392">
        <v>6.1555384624340288</v>
      </c>
      <c r="E232" s="294">
        <v>20560.2535647357</v>
      </c>
      <c r="F232" s="272">
        <v>6.2070087821035873</v>
      </c>
      <c r="G232" s="272">
        <v>178.63105704593909</v>
      </c>
      <c r="H232" s="277">
        <v>5.1470319669558506E-2</v>
      </c>
      <c r="J232" s="294">
        <f t="shared" si="9"/>
        <v>164284.53136533112</v>
      </c>
      <c r="K232" s="294">
        <f t="shared" si="10"/>
        <v>165650.00989837191</v>
      </c>
      <c r="L232" s="281">
        <f t="shared" si="11"/>
        <v>1</v>
      </c>
    </row>
    <row r="233" spans="2:12" x14ac:dyDescent="0.15">
      <c r="B233" s="281">
        <v>226</v>
      </c>
      <c r="C233" s="294">
        <v>21273.100143991182</v>
      </c>
      <c r="D233" s="392">
        <v>6.2854282528028786</v>
      </c>
      <c r="E233" s="294">
        <v>21401.314586518813</v>
      </c>
      <c r="F233" s="272">
        <v>6.3014983025306659</v>
      </c>
      <c r="G233" s="272">
        <v>128.21444252763104</v>
      </c>
      <c r="H233" s="277">
        <v>1.607004972778725E-2</v>
      </c>
      <c r="J233" s="294">
        <f t="shared" si="9"/>
        <v>167289.74744009518</v>
      </c>
      <c r="K233" s="294">
        <f t="shared" si="10"/>
        <v>167643.63448940119</v>
      </c>
      <c r="L233" s="281">
        <f t="shared" si="11"/>
        <v>1</v>
      </c>
    </row>
    <row r="234" spans="2:12" x14ac:dyDescent="0.15">
      <c r="B234" s="281">
        <v>227</v>
      </c>
      <c r="C234" s="294">
        <v>20982.525973201831</v>
      </c>
      <c r="D234" s="392">
        <v>6.3122510746654301</v>
      </c>
      <c r="E234" s="294">
        <v>21224.618002925054</v>
      </c>
      <c r="F234" s="272">
        <v>6.3495937353574234</v>
      </c>
      <c r="G234" s="272">
        <v>242.09202972322237</v>
      </c>
      <c r="H234" s="277">
        <v>3.7342660691993323E-2</v>
      </c>
      <c r="J234" s="294">
        <f t="shared" si="9"/>
        <v>168385.00626676105</v>
      </c>
      <c r="K234" s="294">
        <f t="shared" si="10"/>
        <v>169263.19405779766</v>
      </c>
      <c r="L234" s="281">
        <f t="shared" si="11"/>
        <v>1</v>
      </c>
    </row>
    <row r="235" spans="2:12" x14ac:dyDescent="0.15">
      <c r="B235" s="281">
        <v>228</v>
      </c>
      <c r="C235" s="294">
        <v>22273.744422020296</v>
      </c>
      <c r="D235" s="392">
        <v>6.2072869318025878</v>
      </c>
      <c r="E235" s="294">
        <v>22560.723788219781</v>
      </c>
      <c r="F235" s="272">
        <v>6.2670663548120924</v>
      </c>
      <c r="G235" s="272">
        <v>286.9793661994845</v>
      </c>
      <c r="H235" s="277">
        <v>5.9779423009504562E-2</v>
      </c>
      <c r="J235" s="294">
        <f t="shared" si="9"/>
        <v>163944.86353205732</v>
      </c>
      <c r="K235" s="294">
        <f t="shared" si="10"/>
        <v>165451.26685614302</v>
      </c>
      <c r="L235" s="281">
        <f t="shared" si="11"/>
        <v>1</v>
      </c>
    </row>
    <row r="236" spans="2:12" x14ac:dyDescent="0.15">
      <c r="B236" s="281">
        <v>229</v>
      </c>
      <c r="C236" s="294">
        <v>21351.042227998376</v>
      </c>
      <c r="D236" s="392">
        <v>6.329167743910463</v>
      </c>
      <c r="E236" s="294">
        <v>21472.786738362331</v>
      </c>
      <c r="F236" s="272">
        <v>6.3439177045154755</v>
      </c>
      <c r="G236" s="272">
        <v>121.74451036395476</v>
      </c>
      <c r="H236" s="277">
        <v>1.4749960605012546E-2</v>
      </c>
      <c r="J236" s="294">
        <f t="shared" si="9"/>
        <v>168523.99008931551</v>
      </c>
      <c r="K236" s="294">
        <f t="shared" si="10"/>
        <v>168844.74439710192</v>
      </c>
      <c r="L236" s="281">
        <f t="shared" si="11"/>
        <v>1</v>
      </c>
    </row>
    <row r="237" spans="2:12" x14ac:dyDescent="0.15">
      <c r="B237" s="281">
        <v>230</v>
      </c>
      <c r="C237" s="294">
        <v>19671.694459277467</v>
      </c>
      <c r="D237" s="392">
        <v>6.2565626594185488</v>
      </c>
      <c r="E237" s="294">
        <v>19910.86584842559</v>
      </c>
      <c r="F237" s="272">
        <v>6.3153446060799601</v>
      </c>
      <c r="G237" s="272">
        <v>239.17138914812313</v>
      </c>
      <c r="H237" s="277">
        <v>5.8781946661411233E-2</v>
      </c>
      <c r="J237" s="294">
        <f t="shared" si="9"/>
        <v>168025.185323279</v>
      </c>
      <c r="K237" s="294">
        <f t="shared" si="10"/>
        <v>169549.47233397319</v>
      </c>
      <c r="L237" s="281">
        <f t="shared" si="11"/>
        <v>1</v>
      </c>
    </row>
    <row r="238" spans="2:12" x14ac:dyDescent="0.15">
      <c r="B238" s="281">
        <v>231</v>
      </c>
      <c r="C238" s="294">
        <v>21547.573850771634</v>
      </c>
      <c r="D238" s="392">
        <v>6.264812414590331</v>
      </c>
      <c r="E238" s="294">
        <v>21842.916652949029</v>
      </c>
      <c r="F238" s="272">
        <v>6.2814813304630093</v>
      </c>
      <c r="G238" s="272">
        <v>295.34280217739433</v>
      </c>
      <c r="H238" s="277">
        <v>1.6668915872678269E-2</v>
      </c>
      <c r="J238" s="294">
        <f t="shared" si="9"/>
        <v>166396.7985869383</v>
      </c>
      <c r="K238" s="294">
        <f t="shared" si="10"/>
        <v>166601.52326094123</v>
      </c>
      <c r="L238" s="281">
        <f t="shared" si="11"/>
        <v>1</v>
      </c>
    </row>
    <row r="239" spans="2:12" x14ac:dyDescent="0.15">
      <c r="B239" s="281">
        <v>232</v>
      </c>
      <c r="C239" s="294">
        <v>21847.350501972196</v>
      </c>
      <c r="D239" s="392">
        <v>6.1677030311759511</v>
      </c>
      <c r="E239" s="294">
        <v>21997.4186210482</v>
      </c>
      <c r="F239" s="272">
        <v>6.187933351779499</v>
      </c>
      <c r="G239" s="272">
        <v>150.06811907600422</v>
      </c>
      <c r="H239" s="277">
        <v>2.0230320603547902E-2</v>
      </c>
      <c r="J239" s="294">
        <f t="shared" si="9"/>
        <v>163183.74043330635</v>
      </c>
      <c r="K239" s="294">
        <f t="shared" si="10"/>
        <v>163640.58193233679</v>
      </c>
      <c r="L239" s="281">
        <f t="shared" si="11"/>
        <v>1</v>
      </c>
    </row>
    <row r="240" spans="2:12" x14ac:dyDescent="0.15">
      <c r="B240" s="281">
        <v>233</v>
      </c>
      <c r="C240" s="294">
        <v>21776.010033115243</v>
      </c>
      <c r="D240" s="392">
        <v>6.1843542883090104</v>
      </c>
      <c r="E240" s="294">
        <v>22114.865583323481</v>
      </c>
      <c r="F240" s="272">
        <v>6.2381151917176823</v>
      </c>
      <c r="G240" s="272">
        <v>338.85555020823813</v>
      </c>
      <c r="H240" s="277">
        <v>5.3760903408671901E-2</v>
      </c>
      <c r="J240" s="294">
        <f t="shared" si="9"/>
        <v>163754.61861615506</v>
      </c>
      <c r="K240" s="294">
        <f t="shared" si="10"/>
        <v>165028.59016820701</v>
      </c>
      <c r="L240" s="281">
        <f t="shared" si="11"/>
        <v>1</v>
      </c>
    </row>
    <row r="241" spans="2:12" x14ac:dyDescent="0.15">
      <c r="B241" s="281">
        <v>234</v>
      </c>
      <c r="C241" s="294">
        <v>21930.203001375783</v>
      </c>
      <c r="D241" s="392">
        <v>6.2918123764003226</v>
      </c>
      <c r="E241" s="294">
        <v>22091.842331768705</v>
      </c>
      <c r="F241" s="272">
        <v>6.3041633879234684</v>
      </c>
      <c r="G241" s="272">
        <v>161.63933039292169</v>
      </c>
      <c r="H241" s="277">
        <v>1.2351011523145772E-2</v>
      </c>
      <c r="J241" s="294">
        <f t="shared" si="9"/>
        <v>166824.16829063391</v>
      </c>
      <c r="K241" s="294">
        <f t="shared" si="10"/>
        <v>167033.05930593534</v>
      </c>
      <c r="L241" s="281">
        <f t="shared" si="11"/>
        <v>1</v>
      </c>
    </row>
    <row r="242" spans="2:12" x14ac:dyDescent="0.15">
      <c r="B242" s="281">
        <v>235</v>
      </c>
      <c r="C242" s="294">
        <v>21464.668231889045</v>
      </c>
      <c r="D242" s="392">
        <v>6.2682320630547279</v>
      </c>
      <c r="E242" s="294">
        <v>21692.822641109924</v>
      </c>
      <c r="F242" s="272">
        <v>6.2729032827007654</v>
      </c>
      <c r="G242" s="272">
        <v>228.15440922087873</v>
      </c>
      <c r="H242" s="277">
        <v>4.67121964603745E-3</v>
      </c>
      <c r="J242" s="294">
        <f t="shared" si="9"/>
        <v>166582.29365975279</v>
      </c>
      <c r="K242" s="294">
        <f t="shared" si="10"/>
        <v>166494.27583991303</v>
      </c>
      <c r="L242" s="281">
        <f t="shared" si="11"/>
        <v>0</v>
      </c>
    </row>
    <row r="243" spans="2:12" x14ac:dyDescent="0.15">
      <c r="B243" s="281">
        <v>236</v>
      </c>
      <c r="C243" s="294">
        <v>21127.800770255832</v>
      </c>
      <c r="D243" s="392">
        <v>6.2811539784196189</v>
      </c>
      <c r="E243" s="294">
        <v>21377.353840820248</v>
      </c>
      <c r="F243" s="272">
        <v>6.3065902435692731</v>
      </c>
      <c r="G243" s="272">
        <v>249.55307056441598</v>
      </c>
      <c r="H243" s="277">
        <v>2.5436265149654247E-2</v>
      </c>
      <c r="J243" s="294">
        <f t="shared" si="9"/>
        <v>167306.81858233275</v>
      </c>
      <c r="K243" s="294">
        <f t="shared" si="10"/>
        <v>167820.35346625795</v>
      </c>
      <c r="L243" s="281">
        <f t="shared" si="11"/>
        <v>1</v>
      </c>
    </row>
    <row r="244" spans="2:12" x14ac:dyDescent="0.15">
      <c r="B244" s="281">
        <v>237</v>
      </c>
      <c r="C244" s="294">
        <v>21546.526885048723</v>
      </c>
      <c r="D244" s="392">
        <v>6.2717407681904982</v>
      </c>
      <c r="E244" s="294">
        <v>21798.764812595989</v>
      </c>
      <c r="F244" s="272">
        <v>6.3351825750252271</v>
      </c>
      <c r="G244" s="272">
        <v>252.23792754726674</v>
      </c>
      <c r="H244" s="277">
        <v>6.3441806834728887E-2</v>
      </c>
      <c r="J244" s="294">
        <f t="shared" si="9"/>
        <v>166605.69616066624</v>
      </c>
      <c r="K244" s="294">
        <f t="shared" si="10"/>
        <v>168256.71243816082</v>
      </c>
      <c r="L244" s="281">
        <f t="shared" si="11"/>
        <v>1</v>
      </c>
    </row>
    <row r="245" spans="2:12" x14ac:dyDescent="0.15">
      <c r="B245" s="281">
        <v>238</v>
      </c>
      <c r="C245" s="294">
        <v>20173.486602569967</v>
      </c>
      <c r="D245" s="392">
        <v>6.3547861673646544</v>
      </c>
      <c r="E245" s="294">
        <v>20532.188854000364</v>
      </c>
      <c r="F245" s="272">
        <v>6.4241045741622953</v>
      </c>
      <c r="G245" s="272">
        <v>358.70225143039715</v>
      </c>
      <c r="H245" s="277">
        <v>6.9318406797640897E-2</v>
      </c>
      <c r="J245" s="294">
        <f t="shared" si="9"/>
        <v>170470.09841836969</v>
      </c>
      <c r="K245" s="294">
        <f t="shared" si="10"/>
        <v>172190.94837086851</v>
      </c>
      <c r="L245" s="281">
        <f t="shared" si="11"/>
        <v>1</v>
      </c>
    </row>
    <row r="246" spans="2:12" x14ac:dyDescent="0.15">
      <c r="B246" s="281">
        <v>239</v>
      </c>
      <c r="C246" s="294">
        <v>20918.556066653997</v>
      </c>
      <c r="D246" s="392">
        <v>6.3211251598567477</v>
      </c>
      <c r="E246" s="294">
        <v>21041.612471545108</v>
      </c>
      <c r="F246" s="272">
        <v>6.3340679654600347</v>
      </c>
      <c r="G246" s="272">
        <v>123.05640489111101</v>
      </c>
      <c r="H246" s="277">
        <v>1.2942805603286978E-2</v>
      </c>
      <c r="J246" s="294">
        <f t="shared" si="9"/>
        <v>168715.19872904842</v>
      </c>
      <c r="K246" s="294">
        <f t="shared" si="10"/>
        <v>168980.42649225594</v>
      </c>
      <c r="L246" s="281">
        <f t="shared" si="11"/>
        <v>1</v>
      </c>
    </row>
    <row r="247" spans="2:12" x14ac:dyDescent="0.15">
      <c r="B247" s="281">
        <v>240</v>
      </c>
      <c r="C247" s="294">
        <v>21591.839316848655</v>
      </c>
      <c r="D247" s="392">
        <v>6.2402761537864269</v>
      </c>
      <c r="E247" s="294">
        <v>21834.422518306637</v>
      </c>
      <c r="F247" s="272">
        <v>6.2875767401398042</v>
      </c>
      <c r="G247" s="272">
        <v>242.5832014579828</v>
      </c>
      <c r="H247" s="277">
        <v>4.7300586353377305E-2</v>
      </c>
      <c r="J247" s="294">
        <f t="shared" si="9"/>
        <v>165616.44529674415</v>
      </c>
      <c r="K247" s="294">
        <f t="shared" si="10"/>
        <v>166792.87968588748</v>
      </c>
      <c r="L247" s="281">
        <f t="shared" si="11"/>
        <v>1</v>
      </c>
    </row>
    <row r="248" spans="2:12" x14ac:dyDescent="0.15">
      <c r="B248" s="281">
        <v>241</v>
      </c>
      <c r="C248" s="294">
        <v>22189.844140894893</v>
      </c>
      <c r="D248" s="392">
        <v>6.380816277277269</v>
      </c>
      <c r="E248" s="294">
        <v>22500.579398134345</v>
      </c>
      <c r="F248" s="272">
        <v>6.4358241784959951</v>
      </c>
      <c r="G248" s="272">
        <v>310.73525723945204</v>
      </c>
      <c r="H248" s="277">
        <v>5.5007901218726118E-2</v>
      </c>
      <c r="J248" s="294">
        <f t="shared" si="9"/>
        <v>169234.64417742318</v>
      </c>
      <c r="K248" s="294">
        <f t="shared" si="10"/>
        <v>170574.14595674552</v>
      </c>
      <c r="L248" s="281">
        <f t="shared" si="11"/>
        <v>1</v>
      </c>
    </row>
    <row r="249" spans="2:12" x14ac:dyDescent="0.15">
      <c r="B249" s="281">
        <v>242</v>
      </c>
      <c r="C249" s="294">
        <v>21868.105308679009</v>
      </c>
      <c r="D249" s="392">
        <v>6.3215690968796299</v>
      </c>
      <c r="E249" s="294">
        <v>22066.999231576443</v>
      </c>
      <c r="F249" s="272">
        <v>6.3712882885990823</v>
      </c>
      <c r="G249" s="272">
        <v>198.89392289743409</v>
      </c>
      <c r="H249" s="277">
        <v>4.9719191719452382E-2</v>
      </c>
      <c r="J249" s="294">
        <f t="shared" si="9"/>
        <v>167778.96759770988</v>
      </c>
      <c r="K249" s="294">
        <f t="shared" si="10"/>
        <v>169071.649426396</v>
      </c>
      <c r="L249" s="281">
        <f t="shared" si="11"/>
        <v>1</v>
      </c>
    </row>
    <row r="250" spans="2:12" x14ac:dyDescent="0.15">
      <c r="B250" s="281">
        <v>243</v>
      </c>
      <c r="C250" s="294">
        <v>20943.144857658343</v>
      </c>
      <c r="D250" s="392">
        <v>6.2408470343361966</v>
      </c>
      <c r="E250" s="294">
        <v>21277.484755262267</v>
      </c>
      <c r="F250" s="272">
        <v>6.2778789034703735</v>
      </c>
      <c r="G250" s="272">
        <v>334.33989760392433</v>
      </c>
      <c r="H250" s="277">
        <v>3.7031869134176887E-2</v>
      </c>
      <c r="J250" s="294">
        <f t="shared" si="9"/>
        <v>166282.26617242757</v>
      </c>
      <c r="K250" s="294">
        <f t="shared" si="10"/>
        <v>167058.88234884894</v>
      </c>
      <c r="L250" s="281">
        <f t="shared" si="11"/>
        <v>1</v>
      </c>
    </row>
    <row r="251" spans="2:12" x14ac:dyDescent="0.15">
      <c r="B251" s="281">
        <v>244</v>
      </c>
      <c r="C251" s="294">
        <v>22323.82596659362</v>
      </c>
      <c r="D251" s="392">
        <v>6.2787319675705238</v>
      </c>
      <c r="E251" s="294">
        <v>22349.223661743879</v>
      </c>
      <c r="F251" s="272">
        <v>6.2832881790297108</v>
      </c>
      <c r="G251" s="272">
        <v>25.397695150259096</v>
      </c>
      <c r="H251" s="277">
        <v>4.5562114591870539E-3</v>
      </c>
      <c r="J251" s="294">
        <f t="shared" si="9"/>
        <v>166038.13306052209</v>
      </c>
      <c r="K251" s="294">
        <f t="shared" si="10"/>
        <v>166149.42170914743</v>
      </c>
      <c r="L251" s="281">
        <f t="shared" si="11"/>
        <v>1</v>
      </c>
    </row>
    <row r="252" spans="2:12" x14ac:dyDescent="0.15">
      <c r="B252" s="281">
        <v>245</v>
      </c>
      <c r="C252" s="294">
        <v>21434.392109542445</v>
      </c>
      <c r="D252" s="392">
        <v>6.2806717752658328</v>
      </c>
      <c r="E252" s="294">
        <v>21627.836538939133</v>
      </c>
      <c r="F252" s="272">
        <v>6.3423113128060749</v>
      </c>
      <c r="G252" s="272">
        <v>193.44442939668807</v>
      </c>
      <c r="H252" s="277">
        <v>6.1639537540242095E-2</v>
      </c>
      <c r="J252" s="294">
        <f t="shared" si="9"/>
        <v>166985.76114843253</v>
      </c>
      <c r="K252" s="294">
        <f t="shared" si="10"/>
        <v>168641.50284524311</v>
      </c>
      <c r="L252" s="281">
        <f t="shared" si="11"/>
        <v>1</v>
      </c>
    </row>
    <row r="253" spans="2:12" x14ac:dyDescent="0.15">
      <c r="B253" s="281">
        <v>246</v>
      </c>
      <c r="C253" s="294">
        <v>20823.353389106229</v>
      </c>
      <c r="D253" s="392">
        <v>6.2501877139194093</v>
      </c>
      <c r="E253" s="294">
        <v>20975.053612531417</v>
      </c>
      <c r="F253" s="272">
        <v>6.294817813057346</v>
      </c>
      <c r="G253" s="272">
        <v>151.7002234251886</v>
      </c>
      <c r="H253" s="277">
        <v>4.4630099137936696E-2</v>
      </c>
      <c r="J253" s="294">
        <f t="shared" si="9"/>
        <v>166682.27802847605</v>
      </c>
      <c r="K253" s="294">
        <f t="shared" si="10"/>
        <v>167869.48077918895</v>
      </c>
      <c r="L253" s="281">
        <f t="shared" si="11"/>
        <v>1</v>
      </c>
    </row>
    <row r="254" spans="2:12" x14ac:dyDescent="0.15">
      <c r="B254" s="281">
        <v>247</v>
      </c>
      <c r="C254" s="294">
        <v>20350.204622366437</v>
      </c>
      <c r="D254" s="392">
        <v>6.2312189651595205</v>
      </c>
      <c r="E254" s="294">
        <v>20481.070168642174</v>
      </c>
      <c r="F254" s="272">
        <v>6.2541088500536661</v>
      </c>
      <c r="G254" s="272">
        <v>130.86554627573787</v>
      </c>
      <c r="H254" s="277">
        <v>2.2889884894145673E-2</v>
      </c>
      <c r="J254" s="294">
        <f t="shared" si="9"/>
        <v>166586.36433241918</v>
      </c>
      <c r="K254" s="294">
        <f t="shared" si="10"/>
        <v>167142.19533296779</v>
      </c>
      <c r="L254" s="281">
        <f t="shared" si="11"/>
        <v>1</v>
      </c>
    </row>
    <row r="255" spans="2:12" x14ac:dyDescent="0.15">
      <c r="B255" s="281">
        <v>248</v>
      </c>
      <c r="C255" s="294">
        <v>21823.673066465366</v>
      </c>
      <c r="D255" s="392">
        <v>6.2727353005844657</v>
      </c>
      <c r="E255" s="294">
        <v>21924.350604857376</v>
      </c>
      <c r="F255" s="272">
        <v>6.2553490330978097</v>
      </c>
      <c r="G255" s="272">
        <v>100.67753839201032</v>
      </c>
      <c r="H255" s="277">
        <v>-1.738626748665606E-2</v>
      </c>
      <c r="J255" s="294">
        <f t="shared" si="9"/>
        <v>166358.3859510686</v>
      </c>
      <c r="K255" s="294">
        <f t="shared" si="10"/>
        <v>165736.1203880769</v>
      </c>
      <c r="L255" s="281">
        <f t="shared" si="11"/>
        <v>0</v>
      </c>
    </row>
    <row r="256" spans="2:12" x14ac:dyDescent="0.15">
      <c r="B256" s="281">
        <v>249</v>
      </c>
      <c r="C256" s="294">
        <v>20510.588577930423</v>
      </c>
      <c r="D256" s="392">
        <v>6.3672799779795808</v>
      </c>
      <c r="E256" s="294">
        <v>20750.776170605364</v>
      </c>
      <c r="F256" s="272">
        <v>6.4281611437602937</v>
      </c>
      <c r="G256" s="272">
        <v>240.1875926749417</v>
      </c>
      <c r="H256" s="277">
        <v>6.0881165780712898E-2</v>
      </c>
      <c r="J256" s="294">
        <f t="shared" si="9"/>
        <v>170507.81076145702</v>
      </c>
      <c r="K256" s="294">
        <f t="shared" si="10"/>
        <v>172094.05814220346</v>
      </c>
      <c r="L256" s="281">
        <f t="shared" si="11"/>
        <v>1</v>
      </c>
    </row>
    <row r="257" spans="2:12" x14ac:dyDescent="0.15">
      <c r="B257" s="281">
        <v>250</v>
      </c>
      <c r="C257" s="294">
        <v>21482.829743069989</v>
      </c>
      <c r="D257" s="392">
        <v>6.2786549488406935</v>
      </c>
      <c r="E257" s="294">
        <v>21751.686069194879</v>
      </c>
      <c r="F257" s="272">
        <v>6.3163594836704187</v>
      </c>
      <c r="G257" s="272">
        <v>268.85632612488916</v>
      </c>
      <c r="H257" s="277">
        <v>3.7704534829725134E-2</v>
      </c>
      <c r="J257" s="294">
        <f t="shared" si="9"/>
        <v>166876.81872215081</v>
      </c>
      <c r="K257" s="294">
        <f t="shared" si="10"/>
        <v>167739.0984409177</v>
      </c>
      <c r="L257" s="281">
        <f t="shared" si="11"/>
        <v>1</v>
      </c>
    </row>
    <row r="258" spans="2:12" x14ac:dyDescent="0.15">
      <c r="B258" s="281">
        <v>251</v>
      </c>
      <c r="C258" s="294">
        <v>22461.012307903726</v>
      </c>
      <c r="D258" s="392">
        <v>6.254041849060183</v>
      </c>
      <c r="E258" s="294">
        <v>22717.585431189877</v>
      </c>
      <c r="F258" s="272">
        <v>6.2911494196661986</v>
      </c>
      <c r="G258" s="272">
        <v>256.5731232861508</v>
      </c>
      <c r="H258" s="277">
        <v>3.710757060601555E-2</v>
      </c>
      <c r="J258" s="294">
        <f t="shared" si="9"/>
        <v>165160.24316390176</v>
      </c>
      <c r="K258" s="294">
        <f t="shared" si="10"/>
        <v>166016.89715879606</v>
      </c>
      <c r="L258" s="281">
        <f t="shared" si="11"/>
        <v>1</v>
      </c>
    </row>
    <row r="259" spans="2:12" x14ac:dyDescent="0.15">
      <c r="B259" s="281">
        <v>252</v>
      </c>
      <c r="C259" s="294">
        <v>21596.28578829228</v>
      </c>
      <c r="D259" s="392">
        <v>6.2461860885142579</v>
      </c>
      <c r="E259" s="294">
        <v>21827.466020636068</v>
      </c>
      <c r="F259" s="272">
        <v>6.3084445116937076</v>
      </c>
      <c r="G259" s="272">
        <v>231.18023234378779</v>
      </c>
      <c r="H259" s="277">
        <v>6.2258423179449629E-2</v>
      </c>
      <c r="J259" s="294">
        <f t="shared" si="9"/>
        <v>165789.29686713548</v>
      </c>
      <c r="K259" s="294">
        <f t="shared" si="10"/>
        <v>167425.86933017516</v>
      </c>
      <c r="L259" s="281">
        <f t="shared" si="11"/>
        <v>1</v>
      </c>
    </row>
    <row r="260" spans="2:12" x14ac:dyDescent="0.15">
      <c r="B260" s="281">
        <v>253</v>
      </c>
      <c r="C260" s="294">
        <v>21717.735205167515</v>
      </c>
      <c r="D260" s="392">
        <v>6.2139945629745492</v>
      </c>
      <c r="E260" s="294">
        <v>22060.105678697437</v>
      </c>
      <c r="F260" s="272">
        <v>6.2840299592865545</v>
      </c>
      <c r="G260" s="272">
        <v>342.37047352992158</v>
      </c>
      <c r="H260" s="277">
        <v>7.0035396312005282E-2</v>
      </c>
      <c r="J260" s="294">
        <f t="shared" si="9"/>
        <v>164702.10168406894</v>
      </c>
      <c r="K260" s="294">
        <f t="shared" si="10"/>
        <v>166460.79309989919</v>
      </c>
      <c r="L260" s="281">
        <f t="shared" si="11"/>
        <v>1</v>
      </c>
    </row>
    <row r="261" spans="2:12" x14ac:dyDescent="0.15">
      <c r="B261" s="281">
        <v>254</v>
      </c>
      <c r="C261" s="294">
        <v>20403.259367795843</v>
      </c>
      <c r="D261" s="392">
        <v>6.3332959353248723</v>
      </c>
      <c r="E261" s="294">
        <v>20727.511154645072</v>
      </c>
      <c r="F261" s="272">
        <v>6.3651509048807862</v>
      </c>
      <c r="G261" s="272">
        <v>324.25178684922867</v>
      </c>
      <c r="H261" s="277">
        <v>3.1854969555913826E-2</v>
      </c>
      <c r="J261" s="294">
        <f t="shared" si="9"/>
        <v>169595.61869195034</v>
      </c>
      <c r="K261" s="294">
        <f t="shared" si="10"/>
        <v>170227.01599177852</v>
      </c>
      <c r="L261" s="281">
        <f t="shared" si="11"/>
        <v>1</v>
      </c>
    </row>
    <row r="262" spans="2:12" x14ac:dyDescent="0.15">
      <c r="B262" s="281">
        <v>255</v>
      </c>
      <c r="C262" s="294">
        <v>22676.096988736805</v>
      </c>
      <c r="D262" s="392">
        <v>6.3075981914749182</v>
      </c>
      <c r="E262" s="294">
        <v>22765.00145498534</v>
      </c>
      <c r="F262" s="272">
        <v>6.3100134201197848</v>
      </c>
      <c r="G262" s="272">
        <v>88.904466248535755</v>
      </c>
      <c r="H262" s="277">
        <v>2.4152286448666516E-3</v>
      </c>
      <c r="J262" s="294">
        <f t="shared" si="9"/>
        <v>166551.84875551076</v>
      </c>
      <c r="K262" s="294">
        <f t="shared" si="10"/>
        <v>166535.40114860819</v>
      </c>
      <c r="L262" s="281">
        <f t="shared" si="11"/>
        <v>0</v>
      </c>
    </row>
    <row r="263" spans="2:12" x14ac:dyDescent="0.15">
      <c r="B263" s="281">
        <v>256</v>
      </c>
      <c r="C263" s="294">
        <v>20509.83928804945</v>
      </c>
      <c r="D263" s="392">
        <v>6.2772188897615031</v>
      </c>
      <c r="E263" s="294">
        <v>20745.506286912641</v>
      </c>
      <c r="F263" s="272">
        <v>6.330215609630705</v>
      </c>
      <c r="G263" s="272">
        <v>235.66699886319111</v>
      </c>
      <c r="H263" s="277">
        <v>5.2996719869201847E-2</v>
      </c>
      <c r="J263" s="294">
        <f t="shared" si="9"/>
        <v>167806.72740479565</v>
      </c>
      <c r="K263" s="294">
        <f t="shared" si="10"/>
        <v>169160.96200200851</v>
      </c>
      <c r="L263" s="281">
        <f t="shared" si="11"/>
        <v>1</v>
      </c>
    </row>
    <row r="264" spans="2:12" x14ac:dyDescent="0.15">
      <c r="B264" s="281">
        <v>257</v>
      </c>
      <c r="C264" s="294">
        <v>21975.443209543286</v>
      </c>
      <c r="D264" s="392">
        <v>6.2934321474071853</v>
      </c>
      <c r="E264" s="294">
        <v>22213.273978030851</v>
      </c>
      <c r="F264" s="272">
        <v>6.2954161598044012</v>
      </c>
      <c r="G264" s="272">
        <v>237.83076848756536</v>
      </c>
      <c r="H264" s="277">
        <v>1.9840123972159063E-3</v>
      </c>
      <c r="J264" s="294">
        <f t="shared" ref="J264:J327" si="12">(D264*wtp)-C264</f>
        <v>166827.52121267229</v>
      </c>
      <c r="K264" s="294">
        <f t="shared" ref="K264:K327" si="13">(F264*wtp)-E264</f>
        <v>166649.21081610117</v>
      </c>
      <c r="L264" s="281">
        <f t="shared" si="11"/>
        <v>0</v>
      </c>
    </row>
    <row r="265" spans="2:12" x14ac:dyDescent="0.15">
      <c r="B265" s="281">
        <v>258</v>
      </c>
      <c r="C265" s="294">
        <v>20771.951573691975</v>
      </c>
      <c r="D265" s="392">
        <v>6.1406749424548961</v>
      </c>
      <c r="E265" s="294">
        <v>20924.442528598411</v>
      </c>
      <c r="F265" s="272">
        <v>6.1777526781007746</v>
      </c>
      <c r="G265" s="272">
        <v>152.49095490643595</v>
      </c>
      <c r="H265" s="277">
        <v>3.7077735645878462E-2</v>
      </c>
      <c r="J265" s="294">
        <f t="shared" si="12"/>
        <v>163448.29669995492</v>
      </c>
      <c r="K265" s="294">
        <f t="shared" si="13"/>
        <v>164408.13781442482</v>
      </c>
      <c r="L265" s="281">
        <f t="shared" ref="L265:L328" si="14">IF(K265&gt;J265,1,0)</f>
        <v>1</v>
      </c>
    </row>
    <row r="266" spans="2:12" x14ac:dyDescent="0.15">
      <c r="B266" s="281">
        <v>259</v>
      </c>
      <c r="C266" s="294">
        <v>22125.893715121729</v>
      </c>
      <c r="D266" s="392">
        <v>6.2710143371206861</v>
      </c>
      <c r="E266" s="294">
        <v>22302.349935747192</v>
      </c>
      <c r="F266" s="272">
        <v>6.3126140993825093</v>
      </c>
      <c r="G266" s="272">
        <v>176.45622062546317</v>
      </c>
      <c r="H266" s="277">
        <v>4.1599762261823159E-2</v>
      </c>
      <c r="J266" s="294">
        <f t="shared" si="12"/>
        <v>166004.53639849887</v>
      </c>
      <c r="K266" s="294">
        <f t="shared" si="13"/>
        <v>167076.07304572809</v>
      </c>
      <c r="L266" s="281">
        <f t="shared" si="14"/>
        <v>1</v>
      </c>
    </row>
    <row r="267" spans="2:12" x14ac:dyDescent="0.15">
      <c r="B267" s="281">
        <v>260</v>
      </c>
      <c r="C267" s="294">
        <v>21971.300965577757</v>
      </c>
      <c r="D267" s="392">
        <v>6.2505470545962689</v>
      </c>
      <c r="E267" s="294">
        <v>22106.831225581027</v>
      </c>
      <c r="F267" s="272">
        <v>6.2751216882375953</v>
      </c>
      <c r="G267" s="272">
        <v>135.53026000327009</v>
      </c>
      <c r="H267" s="277">
        <v>2.4574633641326393E-2</v>
      </c>
      <c r="J267" s="294">
        <f t="shared" si="12"/>
        <v>165545.11067231029</v>
      </c>
      <c r="K267" s="294">
        <f t="shared" si="13"/>
        <v>166146.81942154682</v>
      </c>
      <c r="L267" s="281">
        <f t="shared" si="14"/>
        <v>1</v>
      </c>
    </row>
    <row r="268" spans="2:12" x14ac:dyDescent="0.15">
      <c r="B268" s="281">
        <v>261</v>
      </c>
      <c r="C268" s="294">
        <v>20856.340398224449</v>
      </c>
      <c r="D268" s="392">
        <v>6.1752638868555554</v>
      </c>
      <c r="E268" s="294">
        <v>21148.767934410545</v>
      </c>
      <c r="F268" s="272">
        <v>6.2178673813520726</v>
      </c>
      <c r="G268" s="272">
        <v>292.4275361860964</v>
      </c>
      <c r="H268" s="277">
        <v>4.2603494496517236E-2</v>
      </c>
      <c r="J268" s="294">
        <f t="shared" si="12"/>
        <v>164401.57620744221</v>
      </c>
      <c r="K268" s="294">
        <f t="shared" si="13"/>
        <v>165387.25350615164</v>
      </c>
      <c r="L268" s="281">
        <f t="shared" si="14"/>
        <v>1</v>
      </c>
    </row>
    <row r="269" spans="2:12" x14ac:dyDescent="0.15">
      <c r="B269" s="281">
        <v>262</v>
      </c>
      <c r="C269" s="294">
        <v>22336.882927915682</v>
      </c>
      <c r="D269" s="392">
        <v>6.212925893708853</v>
      </c>
      <c r="E269" s="294">
        <v>22650.62517864968</v>
      </c>
      <c r="F269" s="272">
        <v>6.2610751080099023</v>
      </c>
      <c r="G269" s="272">
        <v>313.74225073399793</v>
      </c>
      <c r="H269" s="277">
        <v>4.8149214301049348E-2</v>
      </c>
      <c r="J269" s="294">
        <f t="shared" si="12"/>
        <v>164050.8938833499</v>
      </c>
      <c r="K269" s="294">
        <f t="shared" si="13"/>
        <v>165181.62806164741</v>
      </c>
      <c r="L269" s="281">
        <f t="shared" si="14"/>
        <v>1</v>
      </c>
    </row>
    <row r="270" spans="2:12" x14ac:dyDescent="0.15">
      <c r="B270" s="281">
        <v>263</v>
      </c>
      <c r="C270" s="294">
        <v>21831.397053888391</v>
      </c>
      <c r="D270" s="392">
        <v>6.2857215268049007</v>
      </c>
      <c r="E270" s="294">
        <v>22057.479964454542</v>
      </c>
      <c r="F270" s="272">
        <v>6.3324992829617122</v>
      </c>
      <c r="G270" s="272">
        <v>226.08291056615053</v>
      </c>
      <c r="H270" s="277">
        <v>4.6777756156811456E-2</v>
      </c>
      <c r="J270" s="294">
        <f t="shared" si="12"/>
        <v>166740.24875025864</v>
      </c>
      <c r="K270" s="294">
        <f t="shared" si="13"/>
        <v>167917.49852439683</v>
      </c>
      <c r="L270" s="281">
        <f t="shared" si="14"/>
        <v>1</v>
      </c>
    </row>
    <row r="271" spans="2:12" x14ac:dyDescent="0.15">
      <c r="B271" s="281">
        <v>264</v>
      </c>
      <c r="C271" s="294">
        <v>22253.32729196563</v>
      </c>
      <c r="D271" s="392">
        <v>6.3382433214958249</v>
      </c>
      <c r="E271" s="294">
        <v>22571.616009973855</v>
      </c>
      <c r="F271" s="272">
        <v>6.3794383205968845</v>
      </c>
      <c r="G271" s="272">
        <v>318.28871800822526</v>
      </c>
      <c r="H271" s="277">
        <v>4.1194999101059615E-2</v>
      </c>
      <c r="J271" s="294">
        <f t="shared" si="12"/>
        <v>167893.97235290913</v>
      </c>
      <c r="K271" s="294">
        <f t="shared" si="13"/>
        <v>168811.53360793268</v>
      </c>
      <c r="L271" s="281">
        <f t="shared" si="14"/>
        <v>1</v>
      </c>
    </row>
    <row r="272" spans="2:12" x14ac:dyDescent="0.15">
      <c r="B272" s="281">
        <v>265</v>
      </c>
      <c r="C272" s="294">
        <v>22213.79793754777</v>
      </c>
      <c r="D272" s="392">
        <v>6.1641620900562177</v>
      </c>
      <c r="E272" s="294">
        <v>22411.730006986036</v>
      </c>
      <c r="F272" s="272">
        <v>6.2003442458585871</v>
      </c>
      <c r="G272" s="272">
        <v>197.9320694382659</v>
      </c>
      <c r="H272" s="277">
        <v>3.6182155802369387E-2</v>
      </c>
      <c r="J272" s="294">
        <f t="shared" si="12"/>
        <v>162711.06476413878</v>
      </c>
      <c r="K272" s="294">
        <f t="shared" si="13"/>
        <v>163598.59736877159</v>
      </c>
      <c r="L272" s="281">
        <f t="shared" si="14"/>
        <v>1</v>
      </c>
    </row>
    <row r="273" spans="2:12" x14ac:dyDescent="0.15">
      <c r="B273" s="281">
        <v>266</v>
      </c>
      <c r="C273" s="294">
        <v>21162.905847585378</v>
      </c>
      <c r="D273" s="392">
        <v>6.3338110011422506</v>
      </c>
      <c r="E273" s="294">
        <v>21430.13658595641</v>
      </c>
      <c r="F273" s="272">
        <v>6.3756999677465105</v>
      </c>
      <c r="G273" s="272">
        <v>267.2307383710322</v>
      </c>
      <c r="H273" s="277">
        <v>4.1888966604259892E-2</v>
      </c>
      <c r="J273" s="294">
        <f t="shared" si="12"/>
        <v>168851.42418668212</v>
      </c>
      <c r="K273" s="294">
        <f t="shared" si="13"/>
        <v>169840.8624464389</v>
      </c>
      <c r="L273" s="281">
        <f t="shared" si="14"/>
        <v>1</v>
      </c>
    </row>
    <row r="274" spans="2:12" x14ac:dyDescent="0.15">
      <c r="B274" s="281">
        <v>267</v>
      </c>
      <c r="C274" s="294">
        <v>21625.066187241464</v>
      </c>
      <c r="D274" s="392">
        <v>6.3015389899637784</v>
      </c>
      <c r="E274" s="294">
        <v>21639.015106734161</v>
      </c>
      <c r="F274" s="272">
        <v>6.2750487247962683</v>
      </c>
      <c r="G274" s="272">
        <v>13.948919492697314</v>
      </c>
      <c r="H274" s="277">
        <v>-2.6490265167510074E-2</v>
      </c>
      <c r="J274" s="294">
        <f t="shared" si="12"/>
        <v>167421.10351167188</v>
      </c>
      <c r="K274" s="294">
        <f t="shared" si="13"/>
        <v>166612.44663715389</v>
      </c>
      <c r="L274" s="281">
        <f t="shared" si="14"/>
        <v>0</v>
      </c>
    </row>
    <row r="275" spans="2:12" x14ac:dyDescent="0.15">
      <c r="B275" s="281">
        <v>268</v>
      </c>
      <c r="C275" s="294">
        <v>22756.765014159955</v>
      </c>
      <c r="D275" s="392">
        <v>6.2649472906154067</v>
      </c>
      <c r="E275" s="294">
        <v>23009.965529063436</v>
      </c>
      <c r="F275" s="272">
        <v>6.2993938573178836</v>
      </c>
      <c r="G275" s="272">
        <v>253.20051490348123</v>
      </c>
      <c r="H275" s="277">
        <v>3.4446566702476922E-2</v>
      </c>
      <c r="J275" s="294">
        <f t="shared" si="12"/>
        <v>165191.65370430224</v>
      </c>
      <c r="K275" s="294">
        <f t="shared" si="13"/>
        <v>165971.85019047308</v>
      </c>
      <c r="L275" s="281">
        <f t="shared" si="14"/>
        <v>1</v>
      </c>
    </row>
    <row r="276" spans="2:12" x14ac:dyDescent="0.15">
      <c r="B276" s="281">
        <v>269</v>
      </c>
      <c r="C276" s="294">
        <v>22586.885175850653</v>
      </c>
      <c r="D276" s="392">
        <v>6.2819551936265245</v>
      </c>
      <c r="E276" s="294">
        <v>22901.051912706193</v>
      </c>
      <c r="F276" s="272">
        <v>6.3593544833362596</v>
      </c>
      <c r="G276" s="272">
        <v>314.16673685553906</v>
      </c>
      <c r="H276" s="277">
        <v>7.7399289709735086E-2</v>
      </c>
      <c r="J276" s="294">
        <f t="shared" si="12"/>
        <v>165871.77063294509</v>
      </c>
      <c r="K276" s="294">
        <f t="shared" si="13"/>
        <v>167879.58258738159</v>
      </c>
      <c r="L276" s="281">
        <f t="shared" si="14"/>
        <v>1</v>
      </c>
    </row>
    <row r="277" spans="2:12" x14ac:dyDescent="0.15">
      <c r="B277" s="281">
        <v>270</v>
      </c>
      <c r="C277" s="294">
        <v>21457.046337113632</v>
      </c>
      <c r="D277" s="392">
        <v>6.2594894511422225</v>
      </c>
      <c r="E277" s="294">
        <v>21534.983088812805</v>
      </c>
      <c r="F277" s="272">
        <v>6.2703318449410954</v>
      </c>
      <c r="G277" s="272">
        <v>77.936751699173328</v>
      </c>
      <c r="H277" s="277">
        <v>1.0842393798872862E-2</v>
      </c>
      <c r="J277" s="294">
        <f t="shared" si="12"/>
        <v>166327.63719715306</v>
      </c>
      <c r="K277" s="294">
        <f t="shared" si="13"/>
        <v>166574.97225942003</v>
      </c>
      <c r="L277" s="281">
        <f t="shared" si="14"/>
        <v>1</v>
      </c>
    </row>
    <row r="278" spans="2:12" x14ac:dyDescent="0.15">
      <c r="B278" s="281">
        <v>271</v>
      </c>
      <c r="C278" s="294">
        <v>21420.591627351652</v>
      </c>
      <c r="D278" s="392">
        <v>6.2614481744646042</v>
      </c>
      <c r="E278" s="294">
        <v>21585.792657195758</v>
      </c>
      <c r="F278" s="272">
        <v>6.2971291405751266</v>
      </c>
      <c r="G278" s="272">
        <v>165.20102984410551</v>
      </c>
      <c r="H278" s="277">
        <v>3.5680966110522405E-2</v>
      </c>
      <c r="J278" s="294">
        <f t="shared" si="12"/>
        <v>166422.85360658649</v>
      </c>
      <c r="K278" s="294">
        <f t="shared" si="13"/>
        <v>167328.08156005802</v>
      </c>
      <c r="L278" s="281">
        <f t="shared" si="14"/>
        <v>1</v>
      </c>
    </row>
    <row r="279" spans="2:12" x14ac:dyDescent="0.15">
      <c r="B279" s="281">
        <v>272</v>
      </c>
      <c r="C279" s="294">
        <v>20789.292568250268</v>
      </c>
      <c r="D279" s="392">
        <v>6.2941087683391208</v>
      </c>
      <c r="E279" s="294">
        <v>20985.892483434545</v>
      </c>
      <c r="F279" s="272">
        <v>6.3450562202048468</v>
      </c>
      <c r="G279" s="272">
        <v>196.59991518427705</v>
      </c>
      <c r="H279" s="277">
        <v>5.0947451865726023E-2</v>
      </c>
      <c r="J279" s="294">
        <f t="shared" si="12"/>
        <v>168033.97048192334</v>
      </c>
      <c r="K279" s="294">
        <f t="shared" si="13"/>
        <v>169365.79412271085</v>
      </c>
      <c r="L279" s="281">
        <f t="shared" si="14"/>
        <v>1</v>
      </c>
    </row>
    <row r="280" spans="2:12" x14ac:dyDescent="0.15">
      <c r="B280" s="281">
        <v>273</v>
      </c>
      <c r="C280" s="294">
        <v>21755.730207596887</v>
      </c>
      <c r="D280" s="392">
        <v>6.1289833268419711</v>
      </c>
      <c r="E280" s="294">
        <v>21904.633180597702</v>
      </c>
      <c r="F280" s="272">
        <v>6.1390864846483293</v>
      </c>
      <c r="G280" s="272">
        <v>148.90297300081511</v>
      </c>
      <c r="H280" s="277">
        <v>1.0103157806358176E-2</v>
      </c>
      <c r="J280" s="294">
        <f t="shared" si="12"/>
        <v>162113.76959766226</v>
      </c>
      <c r="K280" s="294">
        <f t="shared" si="13"/>
        <v>162267.96135885216</v>
      </c>
      <c r="L280" s="281">
        <f t="shared" si="14"/>
        <v>1</v>
      </c>
    </row>
    <row r="281" spans="2:12" x14ac:dyDescent="0.15">
      <c r="B281" s="281">
        <v>274</v>
      </c>
      <c r="C281" s="294">
        <v>21283.907923234769</v>
      </c>
      <c r="D281" s="392">
        <v>6.2178391418141761</v>
      </c>
      <c r="E281" s="294">
        <v>21447.272389825848</v>
      </c>
      <c r="F281" s="272">
        <v>6.2163273071591973</v>
      </c>
      <c r="G281" s="272">
        <v>163.36446659107969</v>
      </c>
      <c r="H281" s="277">
        <v>-1.5118346549787276E-3</v>
      </c>
      <c r="J281" s="294">
        <f t="shared" si="12"/>
        <v>165251.26633119051</v>
      </c>
      <c r="K281" s="294">
        <f t="shared" si="13"/>
        <v>165042.54682495008</v>
      </c>
      <c r="L281" s="281">
        <f t="shared" si="14"/>
        <v>0</v>
      </c>
    </row>
    <row r="282" spans="2:12" x14ac:dyDescent="0.15">
      <c r="B282" s="281">
        <v>275</v>
      </c>
      <c r="C282" s="294">
        <v>20029.381280851176</v>
      </c>
      <c r="D282" s="392">
        <v>6.2693323657366751</v>
      </c>
      <c r="E282" s="294">
        <v>20271.972919992586</v>
      </c>
      <c r="F282" s="272">
        <v>6.3345143265656807</v>
      </c>
      <c r="G282" s="272">
        <v>242.59163914141027</v>
      </c>
      <c r="H282" s="277">
        <v>6.5181960829005625E-2</v>
      </c>
      <c r="J282" s="294">
        <f t="shared" si="12"/>
        <v>168050.58969124907</v>
      </c>
      <c r="K282" s="294">
        <f t="shared" si="13"/>
        <v>169763.45687697784</v>
      </c>
      <c r="L282" s="281">
        <f t="shared" si="14"/>
        <v>1</v>
      </c>
    </row>
    <row r="283" spans="2:12" x14ac:dyDescent="0.15">
      <c r="B283" s="281">
        <v>276</v>
      </c>
      <c r="C283" s="294">
        <v>22621.061460648507</v>
      </c>
      <c r="D283" s="392">
        <v>6.1846456909420562</v>
      </c>
      <c r="E283" s="294">
        <v>22763.292749013097</v>
      </c>
      <c r="F283" s="272">
        <v>6.2072370173715186</v>
      </c>
      <c r="G283" s="272">
        <v>142.23128836459</v>
      </c>
      <c r="H283" s="277">
        <v>2.2591326429462377E-2</v>
      </c>
      <c r="J283" s="294">
        <f t="shared" si="12"/>
        <v>162918.30926761316</v>
      </c>
      <c r="K283" s="294">
        <f t="shared" si="13"/>
        <v>163453.81777213246</v>
      </c>
      <c r="L283" s="281">
        <f t="shared" si="14"/>
        <v>1</v>
      </c>
    </row>
    <row r="284" spans="2:12" x14ac:dyDescent="0.15">
      <c r="B284" s="281">
        <v>277</v>
      </c>
      <c r="C284" s="294">
        <v>22127.733148182975</v>
      </c>
      <c r="D284" s="392">
        <v>6.336483219940642</v>
      </c>
      <c r="E284" s="294">
        <v>22338.500890597465</v>
      </c>
      <c r="F284" s="272">
        <v>6.3827862827003266</v>
      </c>
      <c r="G284" s="272">
        <v>210.76774241448948</v>
      </c>
      <c r="H284" s="277">
        <v>4.6303062759684543E-2</v>
      </c>
      <c r="J284" s="294">
        <f t="shared" si="12"/>
        <v>167966.76345003629</v>
      </c>
      <c r="K284" s="294">
        <f t="shared" si="13"/>
        <v>169145.08759041232</v>
      </c>
      <c r="L284" s="281">
        <f t="shared" si="14"/>
        <v>1</v>
      </c>
    </row>
    <row r="285" spans="2:12" x14ac:dyDescent="0.15">
      <c r="B285" s="281">
        <v>278</v>
      </c>
      <c r="C285" s="294">
        <v>21700.905932213951</v>
      </c>
      <c r="D285" s="392">
        <v>6.3213215685752129</v>
      </c>
      <c r="E285" s="294">
        <v>22000.473857756402</v>
      </c>
      <c r="F285" s="272">
        <v>6.3488562581524279</v>
      </c>
      <c r="G285" s="272">
        <v>299.56792554245112</v>
      </c>
      <c r="H285" s="277">
        <v>2.7534689577215055E-2</v>
      </c>
      <c r="J285" s="294">
        <f t="shared" si="12"/>
        <v>167938.74112504243</v>
      </c>
      <c r="K285" s="294">
        <f t="shared" si="13"/>
        <v>168465.21388681643</v>
      </c>
      <c r="L285" s="281">
        <f t="shared" si="14"/>
        <v>1</v>
      </c>
    </row>
    <row r="286" spans="2:12" x14ac:dyDescent="0.15">
      <c r="B286" s="281">
        <v>279</v>
      </c>
      <c r="C286" s="294">
        <v>22050.225766625885</v>
      </c>
      <c r="D286" s="392">
        <v>6.258904954485665</v>
      </c>
      <c r="E286" s="294">
        <v>22269.528990606275</v>
      </c>
      <c r="F286" s="272">
        <v>6.3153132703600567</v>
      </c>
      <c r="G286" s="272">
        <v>219.30322398039061</v>
      </c>
      <c r="H286" s="277">
        <v>5.6408315874391768E-2</v>
      </c>
      <c r="J286" s="294">
        <f t="shared" si="12"/>
        <v>165716.92286794406</v>
      </c>
      <c r="K286" s="294">
        <f t="shared" si="13"/>
        <v>167189.86912019542</v>
      </c>
      <c r="L286" s="281">
        <f t="shared" si="14"/>
        <v>1</v>
      </c>
    </row>
    <row r="287" spans="2:12" x14ac:dyDescent="0.15">
      <c r="B287" s="281">
        <v>280</v>
      </c>
      <c r="C287" s="294">
        <v>22945.257244328692</v>
      </c>
      <c r="D287" s="392">
        <v>6.0577117669473566</v>
      </c>
      <c r="E287" s="294">
        <v>23131.044552985852</v>
      </c>
      <c r="F287" s="272">
        <v>6.0880342593843491</v>
      </c>
      <c r="G287" s="272">
        <v>185.78730865715988</v>
      </c>
      <c r="H287" s="277">
        <v>3.0322492436992476E-2</v>
      </c>
      <c r="J287" s="294">
        <f t="shared" si="12"/>
        <v>158786.095764092</v>
      </c>
      <c r="K287" s="294">
        <f t="shared" si="13"/>
        <v>159509.98322854462</v>
      </c>
      <c r="L287" s="281">
        <f t="shared" si="14"/>
        <v>1</v>
      </c>
    </row>
    <row r="288" spans="2:12" x14ac:dyDescent="0.15">
      <c r="B288" s="281">
        <v>281</v>
      </c>
      <c r="C288" s="294">
        <v>20921.771041202068</v>
      </c>
      <c r="D288" s="392">
        <v>6.225659737658491</v>
      </c>
      <c r="E288" s="294">
        <v>21092.224657920517</v>
      </c>
      <c r="F288" s="272">
        <v>6.2477981966384739</v>
      </c>
      <c r="G288" s="272">
        <v>170.45361671844876</v>
      </c>
      <c r="H288" s="277">
        <v>2.21384589799829E-2</v>
      </c>
      <c r="J288" s="294">
        <f t="shared" si="12"/>
        <v>165848.02108855266</v>
      </c>
      <c r="K288" s="294">
        <f t="shared" si="13"/>
        <v>166341.7212412337</v>
      </c>
      <c r="L288" s="281">
        <f t="shared" si="14"/>
        <v>1</v>
      </c>
    </row>
    <row r="289" spans="2:12" x14ac:dyDescent="0.15">
      <c r="B289" s="281">
        <v>282</v>
      </c>
      <c r="C289" s="294">
        <v>21127.386089465923</v>
      </c>
      <c r="D289" s="392">
        <v>6.254189994469769</v>
      </c>
      <c r="E289" s="294">
        <v>21295.502309485011</v>
      </c>
      <c r="F289" s="272">
        <v>6.2766695981517557</v>
      </c>
      <c r="G289" s="272">
        <v>168.11622001908836</v>
      </c>
      <c r="H289" s="277">
        <v>2.247960368198676E-2</v>
      </c>
      <c r="J289" s="294">
        <f t="shared" si="12"/>
        <v>166498.31374462714</v>
      </c>
      <c r="K289" s="294">
        <f t="shared" si="13"/>
        <v>167004.58563506766</v>
      </c>
      <c r="L289" s="281">
        <f t="shared" si="14"/>
        <v>1</v>
      </c>
    </row>
    <row r="290" spans="2:12" x14ac:dyDescent="0.15">
      <c r="B290" s="281">
        <v>283</v>
      </c>
      <c r="C290" s="294">
        <v>21398.648507561116</v>
      </c>
      <c r="D290" s="392">
        <v>6.3325500224845834</v>
      </c>
      <c r="E290" s="294">
        <v>21573.939772987073</v>
      </c>
      <c r="F290" s="272">
        <v>6.3566679039392282</v>
      </c>
      <c r="G290" s="272">
        <v>175.29126542595623</v>
      </c>
      <c r="H290" s="277">
        <v>2.4117881454644774E-2</v>
      </c>
      <c r="J290" s="294">
        <f t="shared" si="12"/>
        <v>168577.85216697637</v>
      </c>
      <c r="K290" s="294">
        <f t="shared" si="13"/>
        <v>169126.09734518977</v>
      </c>
      <c r="L290" s="281">
        <f t="shared" si="14"/>
        <v>1</v>
      </c>
    </row>
    <row r="291" spans="2:12" x14ac:dyDescent="0.15">
      <c r="B291" s="281">
        <v>284</v>
      </c>
      <c r="C291" s="294">
        <v>20620.134462121638</v>
      </c>
      <c r="D291" s="392">
        <v>6.1894279050557257</v>
      </c>
      <c r="E291" s="294">
        <v>20839.192713154353</v>
      </c>
      <c r="F291" s="272">
        <v>6.2309599452533675</v>
      </c>
      <c r="G291" s="272">
        <v>219.05825103271491</v>
      </c>
      <c r="H291" s="277">
        <v>4.1532040197641784E-2</v>
      </c>
      <c r="J291" s="294">
        <f t="shared" si="12"/>
        <v>165062.70268955012</v>
      </c>
      <c r="K291" s="294">
        <f t="shared" si="13"/>
        <v>166089.60564444665</v>
      </c>
      <c r="L291" s="281">
        <f t="shared" si="14"/>
        <v>1</v>
      </c>
    </row>
    <row r="292" spans="2:12" x14ac:dyDescent="0.15">
      <c r="B292" s="281">
        <v>285</v>
      </c>
      <c r="C292" s="294">
        <v>20818.809937995087</v>
      </c>
      <c r="D292" s="392">
        <v>6.2910457063089504</v>
      </c>
      <c r="E292" s="294">
        <v>21091.197460440271</v>
      </c>
      <c r="F292" s="272">
        <v>6.3271785474619033</v>
      </c>
      <c r="G292" s="272">
        <v>272.387522445184</v>
      </c>
      <c r="H292" s="277">
        <v>3.6132841152952899E-2</v>
      </c>
      <c r="J292" s="294">
        <f t="shared" si="12"/>
        <v>167912.56125127344</v>
      </c>
      <c r="K292" s="294">
        <f t="shared" si="13"/>
        <v>168724.15896341682</v>
      </c>
      <c r="L292" s="281">
        <f t="shared" si="14"/>
        <v>1</v>
      </c>
    </row>
    <row r="293" spans="2:12" x14ac:dyDescent="0.15">
      <c r="B293" s="281">
        <v>286</v>
      </c>
      <c r="C293" s="294">
        <v>20583.117820503099</v>
      </c>
      <c r="D293" s="392">
        <v>6.2618551459747485</v>
      </c>
      <c r="E293" s="294">
        <v>20965.842646594876</v>
      </c>
      <c r="F293" s="272">
        <v>6.309496723164699</v>
      </c>
      <c r="G293" s="272">
        <v>382.72482609177678</v>
      </c>
      <c r="H293" s="277">
        <v>4.7641577189950546E-2</v>
      </c>
      <c r="J293" s="294">
        <f t="shared" si="12"/>
        <v>167272.53655873935</v>
      </c>
      <c r="K293" s="294">
        <f t="shared" si="13"/>
        <v>168319.05904834607</v>
      </c>
      <c r="L293" s="281">
        <f t="shared" si="14"/>
        <v>1</v>
      </c>
    </row>
    <row r="294" spans="2:12" x14ac:dyDescent="0.15">
      <c r="B294" s="281">
        <v>287</v>
      </c>
      <c r="C294" s="294">
        <v>21952.749278396677</v>
      </c>
      <c r="D294" s="392">
        <v>6.2610139800432592</v>
      </c>
      <c r="E294" s="294">
        <v>22134.505852078637</v>
      </c>
      <c r="F294" s="272">
        <v>6.2711654093469145</v>
      </c>
      <c r="G294" s="272">
        <v>181.75657368195971</v>
      </c>
      <c r="H294" s="277">
        <v>1.0151429303655313E-2</v>
      </c>
      <c r="J294" s="294">
        <f t="shared" si="12"/>
        <v>165877.67012290109</v>
      </c>
      <c r="K294" s="294">
        <f t="shared" si="13"/>
        <v>166000.45642832879</v>
      </c>
      <c r="L294" s="281">
        <f t="shared" si="14"/>
        <v>1</v>
      </c>
    </row>
    <row r="295" spans="2:12" x14ac:dyDescent="0.15">
      <c r="B295" s="281">
        <v>288</v>
      </c>
      <c r="C295" s="294">
        <v>20999.090833325183</v>
      </c>
      <c r="D295" s="392">
        <v>6.2179821490338769</v>
      </c>
      <c r="E295" s="294">
        <v>21256.070491376246</v>
      </c>
      <c r="F295" s="272">
        <v>6.2610110949508524</v>
      </c>
      <c r="G295" s="272">
        <v>256.97965805106287</v>
      </c>
      <c r="H295" s="277">
        <v>4.3028945916975481E-2</v>
      </c>
      <c r="J295" s="294">
        <f t="shared" si="12"/>
        <v>165540.37363769114</v>
      </c>
      <c r="K295" s="294">
        <f t="shared" si="13"/>
        <v>166574.26235714933</v>
      </c>
      <c r="L295" s="281">
        <f t="shared" si="14"/>
        <v>1</v>
      </c>
    </row>
    <row r="296" spans="2:12" x14ac:dyDescent="0.15">
      <c r="B296" s="281">
        <v>289</v>
      </c>
      <c r="C296" s="294">
        <v>21400.93406140948</v>
      </c>
      <c r="D296" s="392">
        <v>6.3139026688167004</v>
      </c>
      <c r="E296" s="294">
        <v>21551.735730142016</v>
      </c>
      <c r="F296" s="272">
        <v>6.3631344123878675</v>
      </c>
      <c r="G296" s="272">
        <v>150.8016687325362</v>
      </c>
      <c r="H296" s="277">
        <v>4.9231743571167108E-2</v>
      </c>
      <c r="J296" s="294">
        <f t="shared" si="12"/>
        <v>168016.14600309153</v>
      </c>
      <c r="K296" s="294">
        <f t="shared" si="13"/>
        <v>169342.296641494</v>
      </c>
      <c r="L296" s="281">
        <f t="shared" si="14"/>
        <v>1</v>
      </c>
    </row>
    <row r="297" spans="2:12" x14ac:dyDescent="0.15">
      <c r="B297" s="281">
        <v>290</v>
      </c>
      <c r="C297" s="294">
        <v>21739.732907587091</v>
      </c>
      <c r="D297" s="392">
        <v>6.2511613562598791</v>
      </c>
      <c r="E297" s="294">
        <v>21944.925189065827</v>
      </c>
      <c r="F297" s="272">
        <v>6.3090821726631052</v>
      </c>
      <c r="G297" s="272">
        <v>205.19228147873582</v>
      </c>
      <c r="H297" s="277">
        <v>5.7920816403226105E-2</v>
      </c>
      <c r="J297" s="294">
        <f t="shared" si="12"/>
        <v>165795.10778020931</v>
      </c>
      <c r="K297" s="294">
        <f t="shared" si="13"/>
        <v>167327.53999082732</v>
      </c>
      <c r="L297" s="281">
        <f t="shared" si="14"/>
        <v>1</v>
      </c>
    </row>
    <row r="298" spans="2:12" x14ac:dyDescent="0.15">
      <c r="B298" s="281">
        <v>291</v>
      </c>
      <c r="C298" s="294">
        <v>20953.966951972539</v>
      </c>
      <c r="D298" s="392">
        <v>6.2809822344989197</v>
      </c>
      <c r="E298" s="294">
        <v>21194.188501137622</v>
      </c>
      <c r="F298" s="272">
        <v>6.3077942584479629</v>
      </c>
      <c r="G298" s="272">
        <v>240.22154916508225</v>
      </c>
      <c r="H298" s="277">
        <v>2.6812023949043251E-2</v>
      </c>
      <c r="J298" s="294">
        <f t="shared" si="12"/>
        <v>167475.50008299504</v>
      </c>
      <c r="K298" s="294">
        <f t="shared" si="13"/>
        <v>168039.63925230125</v>
      </c>
      <c r="L298" s="281">
        <f t="shared" si="14"/>
        <v>1</v>
      </c>
    </row>
    <row r="299" spans="2:12" x14ac:dyDescent="0.15">
      <c r="B299" s="281">
        <v>292</v>
      </c>
      <c r="C299" s="294">
        <v>21706.744693854518</v>
      </c>
      <c r="D299" s="392">
        <v>6.2245746901397823</v>
      </c>
      <c r="E299" s="294">
        <v>21877.618478873366</v>
      </c>
      <c r="F299" s="272">
        <v>6.2713191358241867</v>
      </c>
      <c r="G299" s="272">
        <v>170.87378501884814</v>
      </c>
      <c r="H299" s="277">
        <v>4.674444568440439E-2</v>
      </c>
      <c r="J299" s="294">
        <f t="shared" si="12"/>
        <v>165030.49601033895</v>
      </c>
      <c r="K299" s="294">
        <f t="shared" si="13"/>
        <v>166261.95559585223</v>
      </c>
      <c r="L299" s="281">
        <f t="shared" si="14"/>
        <v>1</v>
      </c>
    </row>
    <row r="300" spans="2:12" x14ac:dyDescent="0.15">
      <c r="B300" s="281">
        <v>293</v>
      </c>
      <c r="C300" s="294">
        <v>21770.682500536812</v>
      </c>
      <c r="D300" s="392">
        <v>6.2299772482864926</v>
      </c>
      <c r="E300" s="294">
        <v>21877.34312494153</v>
      </c>
      <c r="F300" s="272">
        <v>6.2445645933965324</v>
      </c>
      <c r="G300" s="272">
        <v>106.66062440471796</v>
      </c>
      <c r="H300" s="277">
        <v>1.4587345110039784E-2</v>
      </c>
      <c r="J300" s="294">
        <f t="shared" si="12"/>
        <v>165128.63494805797</v>
      </c>
      <c r="K300" s="294">
        <f t="shared" si="13"/>
        <v>165459.59467695444</v>
      </c>
      <c r="L300" s="281">
        <f t="shared" si="14"/>
        <v>1</v>
      </c>
    </row>
    <row r="301" spans="2:12" x14ac:dyDescent="0.15">
      <c r="B301" s="281">
        <v>294</v>
      </c>
      <c r="C301" s="294">
        <v>21066.023381708103</v>
      </c>
      <c r="D301" s="392">
        <v>6.2705641953315281</v>
      </c>
      <c r="E301" s="294">
        <v>21270.054385091742</v>
      </c>
      <c r="F301" s="272">
        <v>6.2780464238417357</v>
      </c>
      <c r="G301" s="272">
        <v>204.03100338363947</v>
      </c>
      <c r="H301" s="277">
        <v>7.4822285102076336E-3</v>
      </c>
      <c r="J301" s="294">
        <f t="shared" si="12"/>
        <v>167050.90247823775</v>
      </c>
      <c r="K301" s="294">
        <f t="shared" si="13"/>
        <v>167071.33833016033</v>
      </c>
      <c r="L301" s="281">
        <f t="shared" si="14"/>
        <v>1</v>
      </c>
    </row>
    <row r="302" spans="2:12" x14ac:dyDescent="0.15">
      <c r="B302" s="281">
        <v>295</v>
      </c>
      <c r="C302" s="294">
        <v>21345.468346370435</v>
      </c>
      <c r="D302" s="392">
        <v>6.2902248188593246</v>
      </c>
      <c r="E302" s="294">
        <v>21496.972529099516</v>
      </c>
      <c r="F302" s="272">
        <v>6.3025288099309771</v>
      </c>
      <c r="G302" s="272">
        <v>151.50418272908064</v>
      </c>
      <c r="H302" s="277">
        <v>1.2303991071652476E-2</v>
      </c>
      <c r="J302" s="294">
        <f t="shared" si="12"/>
        <v>167361.27621940931</v>
      </c>
      <c r="K302" s="294">
        <f t="shared" si="13"/>
        <v>167578.89176882978</v>
      </c>
      <c r="L302" s="281">
        <f t="shared" si="14"/>
        <v>1</v>
      </c>
    </row>
    <row r="303" spans="2:12" x14ac:dyDescent="0.15">
      <c r="B303" s="281">
        <v>296</v>
      </c>
      <c r="C303" s="294">
        <v>21485.118893942275</v>
      </c>
      <c r="D303" s="392">
        <v>6.2453129580786131</v>
      </c>
      <c r="E303" s="294">
        <v>21868.516762433072</v>
      </c>
      <c r="F303" s="272">
        <v>6.3004676261999455</v>
      </c>
      <c r="G303" s="272">
        <v>383.3978684907961</v>
      </c>
      <c r="H303" s="277">
        <v>5.5154668121332406E-2</v>
      </c>
      <c r="J303" s="294">
        <f t="shared" si="12"/>
        <v>165874.26984841612</v>
      </c>
      <c r="K303" s="294">
        <f t="shared" si="13"/>
        <v>167145.51202356527</v>
      </c>
      <c r="L303" s="281">
        <f t="shared" si="14"/>
        <v>1</v>
      </c>
    </row>
    <row r="304" spans="2:12" x14ac:dyDescent="0.15">
      <c r="B304" s="281">
        <v>297</v>
      </c>
      <c r="C304" s="294">
        <v>21505.822925784123</v>
      </c>
      <c r="D304" s="392">
        <v>6.2130528774250982</v>
      </c>
      <c r="E304" s="294">
        <v>21707.135247538663</v>
      </c>
      <c r="F304" s="272">
        <v>6.2344353323767097</v>
      </c>
      <c r="G304" s="272">
        <v>201.31232175453988</v>
      </c>
      <c r="H304" s="277">
        <v>2.1382454951611507E-2</v>
      </c>
      <c r="J304" s="294">
        <f t="shared" si="12"/>
        <v>164885.7633969688</v>
      </c>
      <c r="K304" s="294">
        <f t="shared" si="13"/>
        <v>165325.92472376264</v>
      </c>
      <c r="L304" s="281">
        <f t="shared" si="14"/>
        <v>1</v>
      </c>
    </row>
    <row r="305" spans="2:12" x14ac:dyDescent="0.15">
      <c r="B305" s="281">
        <v>298</v>
      </c>
      <c r="C305" s="294">
        <v>20969.627583773745</v>
      </c>
      <c r="D305" s="392">
        <v>6.3106144459997324</v>
      </c>
      <c r="E305" s="294">
        <v>21065.03967647018</v>
      </c>
      <c r="F305" s="272">
        <v>6.3028863655744454</v>
      </c>
      <c r="G305" s="272">
        <v>95.412092696435138</v>
      </c>
      <c r="H305" s="277">
        <v>-7.7280804252870539E-3</v>
      </c>
      <c r="J305" s="294">
        <f t="shared" si="12"/>
        <v>168348.80579621822</v>
      </c>
      <c r="K305" s="294">
        <f t="shared" si="13"/>
        <v>168021.55129076316</v>
      </c>
      <c r="L305" s="281">
        <f t="shared" si="14"/>
        <v>0</v>
      </c>
    </row>
    <row r="306" spans="2:12" x14ac:dyDescent="0.15">
      <c r="B306" s="281">
        <v>299</v>
      </c>
      <c r="C306" s="294">
        <v>21234.374903031505</v>
      </c>
      <c r="D306" s="392">
        <v>6.3249148267023623</v>
      </c>
      <c r="E306" s="294">
        <v>21395.317745531633</v>
      </c>
      <c r="F306" s="272">
        <v>6.3664792242064658</v>
      </c>
      <c r="G306" s="272">
        <v>160.94284250012788</v>
      </c>
      <c r="H306" s="277">
        <v>4.1564397504103567E-2</v>
      </c>
      <c r="J306" s="294">
        <f t="shared" si="12"/>
        <v>168513.06989803936</v>
      </c>
      <c r="K306" s="294">
        <f t="shared" si="13"/>
        <v>169599.05898066232</v>
      </c>
      <c r="L306" s="281">
        <f t="shared" si="14"/>
        <v>1</v>
      </c>
    </row>
    <row r="307" spans="2:12" x14ac:dyDescent="0.15">
      <c r="B307" s="281">
        <v>300</v>
      </c>
      <c r="C307" s="294">
        <v>23139.433958819649</v>
      </c>
      <c r="D307" s="392">
        <v>6.1542807976579228</v>
      </c>
      <c r="E307" s="294">
        <v>23364.4705600532</v>
      </c>
      <c r="F307" s="272">
        <v>6.2044932234088854</v>
      </c>
      <c r="G307" s="272">
        <v>225.03660123355075</v>
      </c>
      <c r="H307" s="277">
        <v>5.021242575096263E-2</v>
      </c>
      <c r="J307" s="294">
        <f t="shared" si="12"/>
        <v>161488.98997091802</v>
      </c>
      <c r="K307" s="294">
        <f t="shared" si="13"/>
        <v>162770.32614221337</v>
      </c>
      <c r="L307" s="281">
        <f t="shared" si="14"/>
        <v>1</v>
      </c>
    </row>
    <row r="308" spans="2:12" x14ac:dyDescent="0.15">
      <c r="B308" s="281">
        <v>301</v>
      </c>
      <c r="C308" s="294">
        <v>21668.435824163058</v>
      </c>
      <c r="D308" s="392">
        <v>6.2367297779978843</v>
      </c>
      <c r="E308" s="294">
        <v>21923.093055076231</v>
      </c>
      <c r="F308" s="272">
        <v>6.2585955679333063</v>
      </c>
      <c r="G308" s="272">
        <v>254.65723091317341</v>
      </c>
      <c r="H308" s="277">
        <v>2.1865789935421986E-2</v>
      </c>
      <c r="J308" s="294">
        <f t="shared" si="12"/>
        <v>165433.45751577348</v>
      </c>
      <c r="K308" s="294">
        <f t="shared" si="13"/>
        <v>165834.77398292295</v>
      </c>
      <c r="L308" s="281">
        <f t="shared" si="14"/>
        <v>1</v>
      </c>
    </row>
    <row r="309" spans="2:12" x14ac:dyDescent="0.15">
      <c r="B309" s="281">
        <v>302</v>
      </c>
      <c r="C309" s="294">
        <v>20695.355639651021</v>
      </c>
      <c r="D309" s="392">
        <v>6.2455691027896956</v>
      </c>
      <c r="E309" s="294">
        <v>20974.270357682912</v>
      </c>
      <c r="F309" s="272">
        <v>6.3096981731049269</v>
      </c>
      <c r="G309" s="272">
        <v>278.91471803189052</v>
      </c>
      <c r="H309" s="277">
        <v>6.4129070315231296E-2</v>
      </c>
      <c r="J309" s="294">
        <f t="shared" si="12"/>
        <v>166671.71744403985</v>
      </c>
      <c r="K309" s="294">
        <f t="shared" si="13"/>
        <v>168316.67483546489</v>
      </c>
      <c r="L309" s="281">
        <f t="shared" si="14"/>
        <v>1</v>
      </c>
    </row>
    <row r="310" spans="2:12" x14ac:dyDescent="0.15">
      <c r="B310" s="281">
        <v>303</v>
      </c>
      <c r="C310" s="294">
        <v>22466.811427437227</v>
      </c>
      <c r="D310" s="392">
        <v>6.2764980886825157</v>
      </c>
      <c r="E310" s="294">
        <v>22677.76856284458</v>
      </c>
      <c r="F310" s="272">
        <v>6.3133646563393402</v>
      </c>
      <c r="G310" s="272">
        <v>210.95713540735233</v>
      </c>
      <c r="H310" s="277">
        <v>3.68665676568245E-2</v>
      </c>
      <c r="J310" s="294">
        <f t="shared" si="12"/>
        <v>165828.13123303824</v>
      </c>
      <c r="K310" s="294">
        <f t="shared" si="13"/>
        <v>166723.17112733563</v>
      </c>
      <c r="L310" s="281">
        <f t="shared" si="14"/>
        <v>1</v>
      </c>
    </row>
    <row r="311" spans="2:12" x14ac:dyDescent="0.15">
      <c r="B311" s="281">
        <v>304</v>
      </c>
      <c r="C311" s="294">
        <v>21441.528969713298</v>
      </c>
      <c r="D311" s="392">
        <v>6.3842793531735342</v>
      </c>
      <c r="E311" s="294">
        <v>21691.209715344103</v>
      </c>
      <c r="F311" s="272">
        <v>6.4336308314278057</v>
      </c>
      <c r="G311" s="272">
        <v>249.68074563080518</v>
      </c>
      <c r="H311" s="277">
        <v>4.9351478254271441E-2</v>
      </c>
      <c r="J311" s="294">
        <f t="shared" si="12"/>
        <v>170086.85162549274</v>
      </c>
      <c r="K311" s="294">
        <f t="shared" si="13"/>
        <v>171317.71522749006</v>
      </c>
      <c r="L311" s="281">
        <f t="shared" si="14"/>
        <v>1</v>
      </c>
    </row>
    <row r="312" spans="2:12" x14ac:dyDescent="0.15">
      <c r="B312" s="281">
        <v>305</v>
      </c>
      <c r="C312" s="294">
        <v>21593.150000629757</v>
      </c>
      <c r="D312" s="392">
        <v>6.2946389805053515</v>
      </c>
      <c r="E312" s="294">
        <v>21948.019520233189</v>
      </c>
      <c r="F312" s="272">
        <v>6.340230681948249</v>
      </c>
      <c r="G312" s="272">
        <v>354.8695196034314</v>
      </c>
      <c r="H312" s="277">
        <v>4.5591701442897481E-2</v>
      </c>
      <c r="J312" s="294">
        <f t="shared" si="12"/>
        <v>167246.01941453078</v>
      </c>
      <c r="K312" s="294">
        <f t="shared" si="13"/>
        <v>168258.9009382143</v>
      </c>
      <c r="L312" s="281">
        <f t="shared" si="14"/>
        <v>1</v>
      </c>
    </row>
    <row r="313" spans="2:12" x14ac:dyDescent="0.15">
      <c r="B313" s="281">
        <v>306</v>
      </c>
      <c r="C313" s="294">
        <v>20543.422930718127</v>
      </c>
      <c r="D313" s="392">
        <v>6.2507410930733673</v>
      </c>
      <c r="E313" s="294">
        <v>20864.12828091787</v>
      </c>
      <c r="F313" s="272">
        <v>6.2717169866303299</v>
      </c>
      <c r="G313" s="272">
        <v>320.70535019974341</v>
      </c>
      <c r="H313" s="277">
        <v>2.097589355696261E-2</v>
      </c>
      <c r="J313" s="294">
        <f t="shared" si="12"/>
        <v>166978.80986148288</v>
      </c>
      <c r="K313" s="294">
        <f t="shared" si="13"/>
        <v>167287.38131799203</v>
      </c>
      <c r="L313" s="281">
        <f t="shared" si="14"/>
        <v>1</v>
      </c>
    </row>
    <row r="314" spans="2:12" x14ac:dyDescent="0.15">
      <c r="B314" s="281">
        <v>307</v>
      </c>
      <c r="C314" s="294">
        <v>20521.926108191761</v>
      </c>
      <c r="D314" s="392">
        <v>6.2742345114803157</v>
      </c>
      <c r="E314" s="294">
        <v>20781.000018119335</v>
      </c>
      <c r="F314" s="272">
        <v>6.3052220989621626</v>
      </c>
      <c r="G314" s="272">
        <v>259.07390992757428</v>
      </c>
      <c r="H314" s="277">
        <v>3.0987587481846823E-2</v>
      </c>
      <c r="J314" s="294">
        <f t="shared" si="12"/>
        <v>167705.10923621772</v>
      </c>
      <c r="K314" s="294">
        <f t="shared" si="13"/>
        <v>168375.66295074552</v>
      </c>
      <c r="L314" s="281">
        <f t="shared" si="14"/>
        <v>1</v>
      </c>
    </row>
    <row r="315" spans="2:12" x14ac:dyDescent="0.15">
      <c r="B315" s="281">
        <v>308</v>
      </c>
      <c r="C315" s="294">
        <v>21270.466654564771</v>
      </c>
      <c r="D315" s="392">
        <v>6.2838263681666868</v>
      </c>
      <c r="E315" s="294">
        <v>21490.581192521517</v>
      </c>
      <c r="F315" s="272">
        <v>6.3194555473807545</v>
      </c>
      <c r="G315" s="272">
        <v>220.11453795674606</v>
      </c>
      <c r="H315" s="277">
        <v>3.5629179214067719E-2</v>
      </c>
      <c r="J315" s="294">
        <f t="shared" si="12"/>
        <v>167244.32439043582</v>
      </c>
      <c r="K315" s="294">
        <f t="shared" si="13"/>
        <v>168093.08522890112</v>
      </c>
      <c r="L315" s="281">
        <f t="shared" si="14"/>
        <v>1</v>
      </c>
    </row>
    <row r="316" spans="2:12" x14ac:dyDescent="0.15">
      <c r="B316" s="281">
        <v>309</v>
      </c>
      <c r="C316" s="294">
        <v>21387.109935498618</v>
      </c>
      <c r="D316" s="392">
        <v>6.2456402105488324</v>
      </c>
      <c r="E316" s="294">
        <v>21597.308585177412</v>
      </c>
      <c r="F316" s="272">
        <v>6.2940588578401977</v>
      </c>
      <c r="G316" s="272">
        <v>210.19864967879403</v>
      </c>
      <c r="H316" s="277">
        <v>4.8418647291365247E-2</v>
      </c>
      <c r="J316" s="294">
        <f t="shared" si="12"/>
        <v>165982.09638096634</v>
      </c>
      <c r="K316" s="294">
        <f t="shared" si="13"/>
        <v>167224.45715002852</v>
      </c>
      <c r="L316" s="281">
        <f t="shared" si="14"/>
        <v>1</v>
      </c>
    </row>
    <row r="317" spans="2:12" x14ac:dyDescent="0.15">
      <c r="B317" s="281">
        <v>310</v>
      </c>
      <c r="C317" s="294">
        <v>20698.628196043985</v>
      </c>
      <c r="D317" s="392">
        <v>6.2196196846670073</v>
      </c>
      <c r="E317" s="294">
        <v>20890.018396253807</v>
      </c>
      <c r="F317" s="272">
        <v>6.2480097787350211</v>
      </c>
      <c r="G317" s="272">
        <v>191.39020020982207</v>
      </c>
      <c r="H317" s="277">
        <v>2.8390094068013738E-2</v>
      </c>
      <c r="J317" s="294">
        <f t="shared" si="12"/>
        <v>165889.96234396624</v>
      </c>
      <c r="K317" s="294">
        <f t="shared" si="13"/>
        <v>166550.27496579682</v>
      </c>
      <c r="L317" s="281">
        <f t="shared" si="14"/>
        <v>1</v>
      </c>
    </row>
    <row r="318" spans="2:12" x14ac:dyDescent="0.15">
      <c r="B318" s="281">
        <v>311</v>
      </c>
      <c r="C318" s="294">
        <v>21003.213370654288</v>
      </c>
      <c r="D318" s="392">
        <v>6.1975550269519202</v>
      </c>
      <c r="E318" s="294">
        <v>21190.211174117143</v>
      </c>
      <c r="F318" s="272">
        <v>6.2135978266497469</v>
      </c>
      <c r="G318" s="272">
        <v>186.99780346285479</v>
      </c>
      <c r="H318" s="277">
        <v>1.6042799697826737E-2</v>
      </c>
      <c r="J318" s="294">
        <f t="shared" si="12"/>
        <v>164923.43743790331</v>
      </c>
      <c r="K318" s="294">
        <f t="shared" si="13"/>
        <v>165217.72362537528</v>
      </c>
      <c r="L318" s="281">
        <f t="shared" si="14"/>
        <v>1</v>
      </c>
    </row>
    <row r="319" spans="2:12" x14ac:dyDescent="0.15">
      <c r="B319" s="281">
        <v>312</v>
      </c>
      <c r="C319" s="294">
        <v>19774.767678522592</v>
      </c>
      <c r="D319" s="392">
        <v>6.3410198546194714</v>
      </c>
      <c r="E319" s="294">
        <v>20036.902927279505</v>
      </c>
      <c r="F319" s="272">
        <v>6.3919425165961448</v>
      </c>
      <c r="G319" s="272">
        <v>262.13524875691292</v>
      </c>
      <c r="H319" s="277">
        <v>5.0922661976673389E-2</v>
      </c>
      <c r="J319" s="294">
        <f t="shared" si="12"/>
        <v>170455.82796006155</v>
      </c>
      <c r="K319" s="294">
        <f t="shared" si="13"/>
        <v>171721.37257060484</v>
      </c>
      <c r="L319" s="281">
        <f t="shared" si="14"/>
        <v>1</v>
      </c>
    </row>
    <row r="320" spans="2:12" x14ac:dyDescent="0.15">
      <c r="B320" s="281">
        <v>313</v>
      </c>
      <c r="C320" s="294">
        <v>20660.667852576946</v>
      </c>
      <c r="D320" s="392">
        <v>6.2469549318667816</v>
      </c>
      <c r="E320" s="294">
        <v>20867.318702757933</v>
      </c>
      <c r="F320" s="272">
        <v>6.2906327345215747</v>
      </c>
      <c r="G320" s="272">
        <v>206.65085018098762</v>
      </c>
      <c r="H320" s="277">
        <v>4.3677802654793041E-2</v>
      </c>
      <c r="J320" s="294">
        <f t="shared" si="12"/>
        <v>166747.9801034265</v>
      </c>
      <c r="K320" s="294">
        <f t="shared" si="13"/>
        <v>167851.66333288929</v>
      </c>
      <c r="L320" s="281">
        <f t="shared" si="14"/>
        <v>1</v>
      </c>
    </row>
    <row r="321" spans="2:12" x14ac:dyDescent="0.15">
      <c r="B321" s="281">
        <v>314</v>
      </c>
      <c r="C321" s="294">
        <v>21761.87282623534</v>
      </c>
      <c r="D321" s="392">
        <v>6.3121722812509393</v>
      </c>
      <c r="E321" s="294">
        <v>21954.018568768879</v>
      </c>
      <c r="F321" s="272">
        <v>6.338047853375115</v>
      </c>
      <c r="G321" s="272">
        <v>192.14574253353931</v>
      </c>
      <c r="H321" s="277">
        <v>2.5875572124175683E-2</v>
      </c>
      <c r="J321" s="294">
        <f t="shared" si="12"/>
        <v>167603.29561129285</v>
      </c>
      <c r="K321" s="294">
        <f t="shared" si="13"/>
        <v>168187.41703248455</v>
      </c>
      <c r="L321" s="281">
        <f t="shared" si="14"/>
        <v>1</v>
      </c>
    </row>
    <row r="322" spans="2:12" x14ac:dyDescent="0.15">
      <c r="B322" s="281">
        <v>315</v>
      </c>
      <c r="C322" s="294">
        <v>22378.841403542829</v>
      </c>
      <c r="D322" s="392">
        <v>6.3309828753746871</v>
      </c>
      <c r="E322" s="294">
        <v>22717.861063458655</v>
      </c>
      <c r="F322" s="272">
        <v>6.3741808338063617</v>
      </c>
      <c r="G322" s="272">
        <v>339.0196599158262</v>
      </c>
      <c r="H322" s="277">
        <v>4.3197958431674621E-2</v>
      </c>
      <c r="J322" s="294">
        <f t="shared" si="12"/>
        <v>167550.64485769777</v>
      </c>
      <c r="K322" s="294">
        <f t="shared" si="13"/>
        <v>168507.56395073218</v>
      </c>
      <c r="L322" s="281">
        <f t="shared" si="14"/>
        <v>1</v>
      </c>
    </row>
    <row r="323" spans="2:12" x14ac:dyDescent="0.15">
      <c r="B323" s="281">
        <v>316</v>
      </c>
      <c r="C323" s="294">
        <v>21313.715649531048</v>
      </c>
      <c r="D323" s="392">
        <v>6.271110828991354</v>
      </c>
      <c r="E323" s="294">
        <v>21550.793018537363</v>
      </c>
      <c r="F323" s="272">
        <v>6.3336981979181921</v>
      </c>
      <c r="G323" s="272">
        <v>237.07736900631426</v>
      </c>
      <c r="H323" s="277">
        <v>6.2587368926838138E-2</v>
      </c>
      <c r="J323" s="294">
        <f t="shared" si="12"/>
        <v>166819.60922020956</v>
      </c>
      <c r="K323" s="294">
        <f t="shared" si="13"/>
        <v>168460.1529190084</v>
      </c>
      <c r="L323" s="281">
        <f t="shared" si="14"/>
        <v>1</v>
      </c>
    </row>
    <row r="324" spans="2:12" x14ac:dyDescent="0.15">
      <c r="B324" s="281">
        <v>317</v>
      </c>
      <c r="C324" s="294">
        <v>21552.431504682299</v>
      </c>
      <c r="D324" s="392">
        <v>6.1896301488687087</v>
      </c>
      <c r="E324" s="294">
        <v>21624.33194952655</v>
      </c>
      <c r="F324" s="272">
        <v>6.1853034177930333</v>
      </c>
      <c r="G324" s="272">
        <v>71.90044484425016</v>
      </c>
      <c r="H324" s="277">
        <v>-4.326731075675383E-3</v>
      </c>
      <c r="J324" s="294">
        <f t="shared" si="12"/>
        <v>164136.47296137898</v>
      </c>
      <c r="K324" s="294">
        <f t="shared" si="13"/>
        <v>163934.77058426445</v>
      </c>
      <c r="L324" s="281">
        <f t="shared" si="14"/>
        <v>0</v>
      </c>
    </row>
    <row r="325" spans="2:12" x14ac:dyDescent="0.15">
      <c r="B325" s="281">
        <v>318</v>
      </c>
      <c r="C325" s="294">
        <v>21261.566195500614</v>
      </c>
      <c r="D325" s="392">
        <v>6.3147965710555827</v>
      </c>
      <c r="E325" s="294">
        <v>21560.740481530935</v>
      </c>
      <c r="F325" s="272">
        <v>6.3565970214936476</v>
      </c>
      <c r="G325" s="272">
        <v>299.17428603032022</v>
      </c>
      <c r="H325" s="277">
        <v>4.1800450438064907E-2</v>
      </c>
      <c r="J325" s="294">
        <f t="shared" si="12"/>
        <v>168182.33093616687</v>
      </c>
      <c r="K325" s="294">
        <f t="shared" si="13"/>
        <v>169137.1701632785</v>
      </c>
      <c r="L325" s="281">
        <f t="shared" si="14"/>
        <v>1</v>
      </c>
    </row>
    <row r="326" spans="2:12" x14ac:dyDescent="0.15">
      <c r="B326" s="281">
        <v>319</v>
      </c>
      <c r="C326" s="294">
        <v>21682.160902254709</v>
      </c>
      <c r="D326" s="392">
        <v>6.2878836060791352</v>
      </c>
      <c r="E326" s="294">
        <v>21772.750486796263</v>
      </c>
      <c r="F326" s="272">
        <v>6.2757219490261393</v>
      </c>
      <c r="G326" s="272">
        <v>90.589584541554359</v>
      </c>
      <c r="H326" s="277">
        <v>-1.2161657052995878E-2</v>
      </c>
      <c r="J326" s="294">
        <f t="shared" si="12"/>
        <v>166954.34728011934</v>
      </c>
      <c r="K326" s="294">
        <f t="shared" si="13"/>
        <v>166498.90798398791</v>
      </c>
      <c r="L326" s="281">
        <f t="shared" si="14"/>
        <v>0</v>
      </c>
    </row>
    <row r="327" spans="2:12" x14ac:dyDescent="0.15">
      <c r="B327" s="281">
        <v>320</v>
      </c>
      <c r="C327" s="294">
        <v>21127.373466348472</v>
      </c>
      <c r="D327" s="392">
        <v>6.3811027388217143</v>
      </c>
      <c r="E327" s="294">
        <v>21413.90235279148</v>
      </c>
      <c r="F327" s="272">
        <v>6.4363928361507066</v>
      </c>
      <c r="G327" s="272">
        <v>286.52888644300765</v>
      </c>
      <c r="H327" s="277">
        <v>5.529009732899226E-2</v>
      </c>
      <c r="J327" s="294">
        <f t="shared" si="12"/>
        <v>170305.70869830294</v>
      </c>
      <c r="K327" s="294">
        <f t="shared" si="13"/>
        <v>171677.88273172971</v>
      </c>
      <c r="L327" s="281">
        <f t="shared" si="14"/>
        <v>1</v>
      </c>
    </row>
    <row r="328" spans="2:12" x14ac:dyDescent="0.15">
      <c r="B328" s="281">
        <v>321</v>
      </c>
      <c r="C328" s="294">
        <v>22565.376822956696</v>
      </c>
      <c r="D328" s="392">
        <v>6.3232432693210496</v>
      </c>
      <c r="E328" s="294">
        <v>22801.488068641014</v>
      </c>
      <c r="F328" s="272">
        <v>6.3641619349232172</v>
      </c>
      <c r="G328" s="272">
        <v>236.11124568431842</v>
      </c>
      <c r="H328" s="277">
        <v>4.0918665602167614E-2</v>
      </c>
      <c r="J328" s="294">
        <f t="shared" ref="J328:J391" si="15">(D328*wtp)-C328</f>
        <v>167131.9212566748</v>
      </c>
      <c r="K328" s="294">
        <f t="shared" ref="K328:K391" si="16">(F328*wtp)-E328</f>
        <v>168123.36997905551</v>
      </c>
      <c r="L328" s="281">
        <f t="shared" si="14"/>
        <v>1</v>
      </c>
    </row>
    <row r="329" spans="2:12" x14ac:dyDescent="0.15">
      <c r="B329" s="281">
        <v>322</v>
      </c>
      <c r="C329" s="294">
        <v>21403.516308212471</v>
      </c>
      <c r="D329" s="392">
        <v>6.3248722838605689</v>
      </c>
      <c r="E329" s="294">
        <v>21707.072056745383</v>
      </c>
      <c r="F329" s="272">
        <v>6.3771758693326994</v>
      </c>
      <c r="G329" s="272">
        <v>303.55574853291182</v>
      </c>
      <c r="H329" s="277">
        <v>5.2303585472130543E-2</v>
      </c>
      <c r="J329" s="294">
        <f t="shared" si="15"/>
        <v>168342.65220760458</v>
      </c>
      <c r="K329" s="294">
        <f t="shared" si="16"/>
        <v>169608.20402323559</v>
      </c>
      <c r="L329" s="281">
        <f t="shared" ref="L329:L392" si="17">IF(K329&gt;J329,1,0)</f>
        <v>1</v>
      </c>
    </row>
    <row r="330" spans="2:12" x14ac:dyDescent="0.15">
      <c r="B330" s="281">
        <v>323</v>
      </c>
      <c r="C330" s="294">
        <v>21044.271267600041</v>
      </c>
      <c r="D330" s="392">
        <v>6.1677088737704127</v>
      </c>
      <c r="E330" s="294">
        <v>21320.818630935617</v>
      </c>
      <c r="F330" s="272">
        <v>6.1966925348767621</v>
      </c>
      <c r="G330" s="272">
        <v>276.54736333557594</v>
      </c>
      <c r="H330" s="277">
        <v>2.8983661106349423E-2</v>
      </c>
      <c r="J330" s="294">
        <f t="shared" si="15"/>
        <v>163986.99494551233</v>
      </c>
      <c r="K330" s="294">
        <f t="shared" si="16"/>
        <v>164579.95741536724</v>
      </c>
      <c r="L330" s="281">
        <f t="shared" si="17"/>
        <v>1</v>
      </c>
    </row>
    <row r="331" spans="2:12" x14ac:dyDescent="0.15">
      <c r="B331" s="281">
        <v>324</v>
      </c>
      <c r="C331" s="294">
        <v>21268.249282913861</v>
      </c>
      <c r="D331" s="392">
        <v>6.3248545837209331</v>
      </c>
      <c r="E331" s="294">
        <v>21450.278144962351</v>
      </c>
      <c r="F331" s="272">
        <v>6.3673185039637765</v>
      </c>
      <c r="G331" s="272">
        <v>182.02886204848983</v>
      </c>
      <c r="H331" s="277">
        <v>4.24639202428434E-2</v>
      </c>
      <c r="J331" s="294">
        <f t="shared" si="15"/>
        <v>168477.38822871412</v>
      </c>
      <c r="K331" s="294">
        <f t="shared" si="16"/>
        <v>169569.27697395094</v>
      </c>
      <c r="L331" s="281">
        <f t="shared" si="17"/>
        <v>1</v>
      </c>
    </row>
    <row r="332" spans="2:12" x14ac:dyDescent="0.15">
      <c r="B332" s="281">
        <v>325</v>
      </c>
      <c r="C332" s="294">
        <v>21296.300220538011</v>
      </c>
      <c r="D332" s="392">
        <v>6.1274097940563461</v>
      </c>
      <c r="E332" s="294">
        <v>21466.906965746137</v>
      </c>
      <c r="F332" s="272">
        <v>6.1669145632194287</v>
      </c>
      <c r="G332" s="272">
        <v>170.60674520812609</v>
      </c>
      <c r="H332" s="277">
        <v>3.9504769163082543E-2</v>
      </c>
      <c r="J332" s="294">
        <f t="shared" si="15"/>
        <v>162525.99360115235</v>
      </c>
      <c r="K332" s="294">
        <f t="shared" si="16"/>
        <v>163540.52993083672</v>
      </c>
      <c r="L332" s="281">
        <f t="shared" si="17"/>
        <v>1</v>
      </c>
    </row>
    <row r="333" spans="2:12" x14ac:dyDescent="0.15">
      <c r="B333" s="281">
        <v>326</v>
      </c>
      <c r="C333" s="294">
        <v>22559.524023613802</v>
      </c>
      <c r="D333" s="392">
        <v>6.2353102938477862</v>
      </c>
      <c r="E333" s="294">
        <v>22770.610075816418</v>
      </c>
      <c r="F333" s="272">
        <v>6.2868920957237249</v>
      </c>
      <c r="G333" s="272">
        <v>211.08605220261597</v>
      </c>
      <c r="H333" s="277">
        <v>5.1581801875938638E-2</v>
      </c>
      <c r="J333" s="294">
        <f t="shared" si="15"/>
        <v>164499.78479181978</v>
      </c>
      <c r="K333" s="294">
        <f t="shared" si="16"/>
        <v>165836.15279589532</v>
      </c>
      <c r="L333" s="281">
        <f t="shared" si="17"/>
        <v>1</v>
      </c>
    </row>
    <row r="334" spans="2:12" x14ac:dyDescent="0.15">
      <c r="B334" s="281">
        <v>327</v>
      </c>
      <c r="C334" s="294">
        <v>20696.721845733387</v>
      </c>
      <c r="D334" s="392">
        <v>6.2967716194387204</v>
      </c>
      <c r="E334" s="294">
        <v>20796.614605473864</v>
      </c>
      <c r="F334" s="272">
        <v>6.2880165443076494</v>
      </c>
      <c r="G334" s="272">
        <v>99.892759740476322</v>
      </c>
      <c r="H334" s="277">
        <v>-8.7550751310709884E-3</v>
      </c>
      <c r="J334" s="294">
        <f t="shared" si="15"/>
        <v>168206.42673742824</v>
      </c>
      <c r="K334" s="294">
        <f t="shared" si="16"/>
        <v>167843.88172375562</v>
      </c>
      <c r="L334" s="281">
        <f t="shared" si="17"/>
        <v>0</v>
      </c>
    </row>
    <row r="335" spans="2:12" x14ac:dyDescent="0.15">
      <c r="B335" s="281">
        <v>328</v>
      </c>
      <c r="C335" s="294">
        <v>20746.655141488889</v>
      </c>
      <c r="D335" s="392">
        <v>6.3669475022368269</v>
      </c>
      <c r="E335" s="294">
        <v>21090.102474286025</v>
      </c>
      <c r="F335" s="272">
        <v>6.4338693915906617</v>
      </c>
      <c r="G335" s="272">
        <v>343.44733279713546</v>
      </c>
      <c r="H335" s="277">
        <v>6.6921889353834807E-2</v>
      </c>
      <c r="J335" s="294">
        <f t="shared" si="15"/>
        <v>170261.76992561592</v>
      </c>
      <c r="K335" s="294">
        <f t="shared" si="16"/>
        <v>171925.97927343383</v>
      </c>
      <c r="L335" s="281">
        <f t="shared" si="17"/>
        <v>1</v>
      </c>
    </row>
    <row r="336" spans="2:12" x14ac:dyDescent="0.15">
      <c r="B336" s="281">
        <v>329</v>
      </c>
      <c r="C336" s="294">
        <v>20957.982035412289</v>
      </c>
      <c r="D336" s="392">
        <v>6.2806803210671802</v>
      </c>
      <c r="E336" s="294">
        <v>21066.881952524422</v>
      </c>
      <c r="F336" s="272">
        <v>6.299034979156378</v>
      </c>
      <c r="G336" s="272">
        <v>108.89991711213224</v>
      </c>
      <c r="H336" s="277">
        <v>1.8354658089197784E-2</v>
      </c>
      <c r="J336" s="294">
        <f t="shared" si="15"/>
        <v>167462.42759660314</v>
      </c>
      <c r="K336" s="294">
        <f t="shared" si="16"/>
        <v>167904.16742216691</v>
      </c>
      <c r="L336" s="281">
        <f t="shared" si="17"/>
        <v>1</v>
      </c>
    </row>
    <row r="337" spans="2:12" x14ac:dyDescent="0.15">
      <c r="B337" s="281">
        <v>330</v>
      </c>
      <c r="C337" s="294">
        <v>22021.745724056356</v>
      </c>
      <c r="D337" s="392">
        <v>6.2813244829100396</v>
      </c>
      <c r="E337" s="294">
        <v>22198.410883341796</v>
      </c>
      <c r="F337" s="272">
        <v>6.3324815416910063</v>
      </c>
      <c r="G337" s="272">
        <v>176.66515928543959</v>
      </c>
      <c r="H337" s="277">
        <v>5.1157058780966658E-2</v>
      </c>
      <c r="J337" s="294">
        <f t="shared" si="15"/>
        <v>166417.98876324482</v>
      </c>
      <c r="K337" s="294">
        <f t="shared" si="16"/>
        <v>167776.03536738839</v>
      </c>
      <c r="L337" s="281">
        <f t="shared" si="17"/>
        <v>1</v>
      </c>
    </row>
    <row r="338" spans="2:12" x14ac:dyDescent="0.15">
      <c r="B338" s="281">
        <v>331</v>
      </c>
      <c r="C338" s="294">
        <v>21333.053502178071</v>
      </c>
      <c r="D338" s="392">
        <v>6.2393344992287245</v>
      </c>
      <c r="E338" s="294">
        <v>21607.52300446176</v>
      </c>
      <c r="F338" s="272">
        <v>6.2860167645829792</v>
      </c>
      <c r="G338" s="272">
        <v>274.46950228368951</v>
      </c>
      <c r="H338" s="277">
        <v>4.6682265354254682E-2</v>
      </c>
      <c r="J338" s="294">
        <f t="shared" si="15"/>
        <v>165846.98147468365</v>
      </c>
      <c r="K338" s="294">
        <f t="shared" si="16"/>
        <v>166972.97993302761</v>
      </c>
      <c r="L338" s="281">
        <f t="shared" si="17"/>
        <v>1</v>
      </c>
    </row>
    <row r="339" spans="2:12" x14ac:dyDescent="0.15">
      <c r="B339" s="281">
        <v>332</v>
      </c>
      <c r="C339" s="294">
        <v>21342.523311010747</v>
      </c>
      <c r="D339" s="392">
        <v>6.2381703803950481</v>
      </c>
      <c r="E339" s="294">
        <v>21629.195554254155</v>
      </c>
      <c r="F339" s="272">
        <v>6.2699456369124755</v>
      </c>
      <c r="G339" s="272">
        <v>286.67224324340714</v>
      </c>
      <c r="H339" s="277">
        <v>3.1775256517427408E-2</v>
      </c>
      <c r="J339" s="294">
        <f t="shared" si="15"/>
        <v>165802.58810084072</v>
      </c>
      <c r="K339" s="294">
        <f t="shared" si="16"/>
        <v>166469.17355312011</v>
      </c>
      <c r="L339" s="281">
        <f t="shared" si="17"/>
        <v>1</v>
      </c>
    </row>
    <row r="340" spans="2:12" x14ac:dyDescent="0.15">
      <c r="B340" s="281">
        <v>333</v>
      </c>
      <c r="C340" s="294">
        <v>21237.841364597054</v>
      </c>
      <c r="D340" s="392">
        <v>6.2359913512492477</v>
      </c>
      <c r="E340" s="294">
        <v>21490.914936790847</v>
      </c>
      <c r="F340" s="272">
        <v>6.2583112844645905</v>
      </c>
      <c r="G340" s="272">
        <v>253.07357219379264</v>
      </c>
      <c r="H340" s="277">
        <v>2.2319933215342758E-2</v>
      </c>
      <c r="J340" s="294">
        <f t="shared" si="15"/>
        <v>165841.89917288037</v>
      </c>
      <c r="K340" s="294">
        <f t="shared" si="16"/>
        <v>166258.42359714687</v>
      </c>
      <c r="L340" s="281">
        <f t="shared" si="17"/>
        <v>1</v>
      </c>
    </row>
    <row r="341" spans="2:12" x14ac:dyDescent="0.15">
      <c r="B341" s="281">
        <v>334</v>
      </c>
      <c r="C341" s="294">
        <v>21050.780862480649</v>
      </c>
      <c r="D341" s="392">
        <v>6.2289523922266596</v>
      </c>
      <c r="E341" s="294">
        <v>21265.525370130468</v>
      </c>
      <c r="F341" s="272">
        <v>6.290080023219967</v>
      </c>
      <c r="G341" s="272">
        <v>214.74450764981884</v>
      </c>
      <c r="H341" s="277">
        <v>6.1127630993307314E-2</v>
      </c>
      <c r="J341" s="294">
        <f t="shared" si="15"/>
        <v>165817.79090431915</v>
      </c>
      <c r="K341" s="294">
        <f t="shared" si="16"/>
        <v>167436.87532646855</v>
      </c>
      <c r="L341" s="281">
        <f t="shared" si="17"/>
        <v>1</v>
      </c>
    </row>
    <row r="342" spans="2:12" x14ac:dyDescent="0.15">
      <c r="B342" s="281">
        <v>335</v>
      </c>
      <c r="C342" s="294">
        <v>22236.315923904687</v>
      </c>
      <c r="D342" s="392">
        <v>6.2648063409658574</v>
      </c>
      <c r="E342" s="294">
        <v>22395.179833969669</v>
      </c>
      <c r="F342" s="272">
        <v>6.2948392603601526</v>
      </c>
      <c r="G342" s="272">
        <v>158.86391006498161</v>
      </c>
      <c r="H342" s="277">
        <v>3.0032919394295199E-2</v>
      </c>
      <c r="J342" s="294">
        <f t="shared" si="15"/>
        <v>165707.87430507105</v>
      </c>
      <c r="K342" s="294">
        <f t="shared" si="16"/>
        <v>166449.99797683489</v>
      </c>
      <c r="L342" s="281">
        <f t="shared" si="17"/>
        <v>1</v>
      </c>
    </row>
    <row r="343" spans="2:12" x14ac:dyDescent="0.15">
      <c r="B343" s="281">
        <v>336</v>
      </c>
      <c r="C343" s="294">
        <v>22846.064426778245</v>
      </c>
      <c r="D343" s="392">
        <v>6.3895457746049544</v>
      </c>
      <c r="E343" s="294">
        <v>23142.313610258472</v>
      </c>
      <c r="F343" s="272">
        <v>6.4164299151164474</v>
      </c>
      <c r="G343" s="272">
        <v>296.24918348022766</v>
      </c>
      <c r="H343" s="277">
        <v>2.6884140511493015E-2</v>
      </c>
      <c r="J343" s="294">
        <f t="shared" si="15"/>
        <v>168840.3088113704</v>
      </c>
      <c r="K343" s="294">
        <f t="shared" si="16"/>
        <v>169350.58384323493</v>
      </c>
      <c r="L343" s="281">
        <f t="shared" si="17"/>
        <v>1</v>
      </c>
    </row>
    <row r="344" spans="2:12" x14ac:dyDescent="0.15">
      <c r="B344" s="281">
        <v>337</v>
      </c>
      <c r="C344" s="294">
        <v>23222.033295463589</v>
      </c>
      <c r="D344" s="392">
        <v>6.189347799729477</v>
      </c>
      <c r="E344" s="294">
        <v>23563.123868805236</v>
      </c>
      <c r="F344" s="272">
        <v>6.2457680103988285</v>
      </c>
      <c r="G344" s="272">
        <v>341.09057334164754</v>
      </c>
      <c r="H344" s="277">
        <v>5.6420210669351434E-2</v>
      </c>
      <c r="J344" s="294">
        <f t="shared" si="15"/>
        <v>162458.40069642072</v>
      </c>
      <c r="K344" s="294">
        <f t="shared" si="16"/>
        <v>163809.9164431596</v>
      </c>
      <c r="L344" s="281">
        <f t="shared" si="17"/>
        <v>1</v>
      </c>
    </row>
    <row r="345" spans="2:12" x14ac:dyDescent="0.15">
      <c r="B345" s="281">
        <v>338</v>
      </c>
      <c r="C345" s="294">
        <v>21317.260751483671</v>
      </c>
      <c r="D345" s="392">
        <v>6.285897202232861</v>
      </c>
      <c r="E345" s="294">
        <v>21468.504513006916</v>
      </c>
      <c r="F345" s="272">
        <v>6.2943782649837763</v>
      </c>
      <c r="G345" s="272">
        <v>151.24376152324476</v>
      </c>
      <c r="H345" s="277">
        <v>8.4810627509153136E-3</v>
      </c>
      <c r="J345" s="294">
        <f t="shared" si="15"/>
        <v>167259.65531550217</v>
      </c>
      <c r="K345" s="294">
        <f t="shared" si="16"/>
        <v>167362.84343650637</v>
      </c>
      <c r="L345" s="281">
        <f t="shared" si="17"/>
        <v>1</v>
      </c>
    </row>
    <row r="346" spans="2:12" x14ac:dyDescent="0.15">
      <c r="B346" s="281">
        <v>339</v>
      </c>
      <c r="C346" s="294">
        <v>21778.027861740229</v>
      </c>
      <c r="D346" s="392">
        <v>6.186721161624968</v>
      </c>
      <c r="E346" s="294">
        <v>21992.331541972671</v>
      </c>
      <c r="F346" s="272">
        <v>6.2545869552295166</v>
      </c>
      <c r="G346" s="272">
        <v>214.30368023244228</v>
      </c>
      <c r="H346" s="277">
        <v>6.7865793604548585E-2</v>
      </c>
      <c r="J346" s="294">
        <f t="shared" si="15"/>
        <v>163823.6069870088</v>
      </c>
      <c r="K346" s="294">
        <f t="shared" si="16"/>
        <v>165645.27711491284</v>
      </c>
      <c r="L346" s="281">
        <f t="shared" si="17"/>
        <v>1</v>
      </c>
    </row>
    <row r="347" spans="2:12" x14ac:dyDescent="0.15">
      <c r="B347" s="281">
        <v>340</v>
      </c>
      <c r="C347" s="294">
        <v>23025.253242480321</v>
      </c>
      <c r="D347" s="392">
        <v>6.2631543875519187</v>
      </c>
      <c r="E347" s="294">
        <v>23181.225781209272</v>
      </c>
      <c r="F347" s="272">
        <v>6.280869029380777</v>
      </c>
      <c r="G347" s="272">
        <v>155.97253872895089</v>
      </c>
      <c r="H347" s="277">
        <v>1.7714641828858291E-2</v>
      </c>
      <c r="J347" s="294">
        <f t="shared" si="15"/>
        <v>164869.37838407722</v>
      </c>
      <c r="K347" s="294">
        <f t="shared" si="16"/>
        <v>165244.84510021404</v>
      </c>
      <c r="L347" s="281">
        <f t="shared" si="17"/>
        <v>1</v>
      </c>
    </row>
    <row r="348" spans="2:12" x14ac:dyDescent="0.15">
      <c r="B348" s="281">
        <v>341</v>
      </c>
      <c r="C348" s="294">
        <v>20365.645351684991</v>
      </c>
      <c r="D348" s="392">
        <v>6.2385207864233143</v>
      </c>
      <c r="E348" s="294">
        <v>20574.168273005223</v>
      </c>
      <c r="F348" s="272">
        <v>6.2693225215144572</v>
      </c>
      <c r="G348" s="272">
        <v>208.52292132023285</v>
      </c>
      <c r="H348" s="277">
        <v>3.0801735091142923E-2</v>
      </c>
      <c r="J348" s="294">
        <f t="shared" si="15"/>
        <v>166789.97824101444</v>
      </c>
      <c r="K348" s="294">
        <f t="shared" si="16"/>
        <v>167505.50737242849</v>
      </c>
      <c r="L348" s="281">
        <f t="shared" si="17"/>
        <v>1</v>
      </c>
    </row>
    <row r="349" spans="2:12" x14ac:dyDescent="0.15">
      <c r="B349" s="281">
        <v>342</v>
      </c>
      <c r="C349" s="294">
        <v>21856.076515717763</v>
      </c>
      <c r="D349" s="392">
        <v>6.2219417653117981</v>
      </c>
      <c r="E349" s="294">
        <v>22152.939166600023</v>
      </c>
      <c r="F349" s="272">
        <v>6.2922763555085002</v>
      </c>
      <c r="G349" s="272">
        <v>296.86265088225991</v>
      </c>
      <c r="H349" s="277">
        <v>7.0334590196702074E-2</v>
      </c>
      <c r="J349" s="294">
        <f t="shared" si="15"/>
        <v>164802.17644363618</v>
      </c>
      <c r="K349" s="294">
        <f t="shared" si="16"/>
        <v>166615.35149865499</v>
      </c>
      <c r="L349" s="281">
        <f t="shared" si="17"/>
        <v>1</v>
      </c>
    </row>
    <row r="350" spans="2:12" x14ac:dyDescent="0.15">
      <c r="B350" s="281">
        <v>343</v>
      </c>
      <c r="C350" s="294">
        <v>20858.045711740651</v>
      </c>
      <c r="D350" s="392">
        <v>6.2849652382384775</v>
      </c>
      <c r="E350" s="294">
        <v>20989.467447417312</v>
      </c>
      <c r="F350" s="272">
        <v>6.294190749563521</v>
      </c>
      <c r="G350" s="272">
        <v>131.42173567666032</v>
      </c>
      <c r="H350" s="277">
        <v>9.2255113250434562E-3</v>
      </c>
      <c r="J350" s="294">
        <f t="shared" si="15"/>
        <v>167690.91143541367</v>
      </c>
      <c r="K350" s="294">
        <f t="shared" si="16"/>
        <v>167836.25503948831</v>
      </c>
      <c r="L350" s="281">
        <f t="shared" si="17"/>
        <v>1</v>
      </c>
    </row>
    <row r="351" spans="2:12" x14ac:dyDescent="0.15">
      <c r="B351" s="281">
        <v>344</v>
      </c>
      <c r="C351" s="294">
        <v>20603.524689894628</v>
      </c>
      <c r="D351" s="392">
        <v>6.3187088340182722</v>
      </c>
      <c r="E351" s="294">
        <v>20889.510809683459</v>
      </c>
      <c r="F351" s="272">
        <v>6.380640049815927</v>
      </c>
      <c r="G351" s="272">
        <v>285.98611978883127</v>
      </c>
      <c r="H351" s="277">
        <v>6.1931215797654815E-2</v>
      </c>
      <c r="J351" s="294">
        <f t="shared" si="15"/>
        <v>168957.74033065353</v>
      </c>
      <c r="K351" s="294">
        <f t="shared" si="16"/>
        <v>170529.69068479433</v>
      </c>
      <c r="L351" s="281">
        <f t="shared" si="17"/>
        <v>1</v>
      </c>
    </row>
    <row r="352" spans="2:12" x14ac:dyDescent="0.15">
      <c r="B352" s="281">
        <v>345</v>
      </c>
      <c r="C352" s="294">
        <v>21285.390157685451</v>
      </c>
      <c r="D352" s="392">
        <v>6.2966392099301771</v>
      </c>
      <c r="E352" s="294">
        <v>21557.073132040492</v>
      </c>
      <c r="F352" s="272">
        <v>6.3403677688566331</v>
      </c>
      <c r="G352" s="272">
        <v>271.68297435504064</v>
      </c>
      <c r="H352" s="277">
        <v>4.3728558926455996E-2</v>
      </c>
      <c r="J352" s="294">
        <f t="shared" si="15"/>
        <v>167613.78614021986</v>
      </c>
      <c r="K352" s="294">
        <f t="shared" si="16"/>
        <v>168653.95993365848</v>
      </c>
      <c r="L352" s="281">
        <f t="shared" si="17"/>
        <v>1</v>
      </c>
    </row>
    <row r="353" spans="2:12" x14ac:dyDescent="0.15">
      <c r="B353" s="281">
        <v>346</v>
      </c>
      <c r="C353" s="294">
        <v>21465.440679405365</v>
      </c>
      <c r="D353" s="392">
        <v>6.2148294521059908</v>
      </c>
      <c r="E353" s="294">
        <v>21626.720544385877</v>
      </c>
      <c r="F353" s="272">
        <v>6.2626881004017863</v>
      </c>
      <c r="G353" s="272">
        <v>161.27986498051177</v>
      </c>
      <c r="H353" s="277">
        <v>4.7858648295795447E-2</v>
      </c>
      <c r="J353" s="294">
        <f t="shared" si="15"/>
        <v>164979.44288377435</v>
      </c>
      <c r="K353" s="294">
        <f t="shared" si="16"/>
        <v>166253.92246766773</v>
      </c>
      <c r="L353" s="281">
        <f t="shared" si="17"/>
        <v>1</v>
      </c>
    </row>
    <row r="354" spans="2:12" x14ac:dyDescent="0.15">
      <c r="B354" s="281">
        <v>347</v>
      </c>
      <c r="C354" s="294">
        <v>20671.959675506103</v>
      </c>
      <c r="D354" s="392">
        <v>6.3092705511392762</v>
      </c>
      <c r="E354" s="294">
        <v>20910.003457167022</v>
      </c>
      <c r="F354" s="272">
        <v>6.3187297391968844</v>
      </c>
      <c r="G354" s="272">
        <v>238.04378166091919</v>
      </c>
      <c r="H354" s="277">
        <v>9.4591880576082588E-3</v>
      </c>
      <c r="J354" s="294">
        <f t="shared" si="15"/>
        <v>168606.15685867218</v>
      </c>
      <c r="K354" s="294">
        <f t="shared" si="16"/>
        <v>168651.88871873953</v>
      </c>
      <c r="L354" s="281">
        <f t="shared" si="17"/>
        <v>1</v>
      </c>
    </row>
    <row r="355" spans="2:12" x14ac:dyDescent="0.15">
      <c r="B355" s="281">
        <v>348</v>
      </c>
      <c r="C355" s="294">
        <v>22423.379725756604</v>
      </c>
      <c r="D355" s="392">
        <v>6.2670444571415826</v>
      </c>
      <c r="E355" s="294">
        <v>22716.0027336194</v>
      </c>
      <c r="F355" s="272">
        <v>6.3114351252262573</v>
      </c>
      <c r="G355" s="272">
        <v>292.62300786279593</v>
      </c>
      <c r="H355" s="277">
        <v>4.4390668084674623E-2</v>
      </c>
      <c r="J355" s="294">
        <f t="shared" si="15"/>
        <v>165587.95398849086</v>
      </c>
      <c r="K355" s="294">
        <f t="shared" si="16"/>
        <v>166627.05102316831</v>
      </c>
      <c r="L355" s="281">
        <f t="shared" si="17"/>
        <v>1</v>
      </c>
    </row>
    <row r="356" spans="2:12" x14ac:dyDescent="0.15">
      <c r="B356" s="281">
        <v>349</v>
      </c>
      <c r="C356" s="294">
        <v>20269.450002797203</v>
      </c>
      <c r="D356" s="392">
        <v>6.1316997664659914</v>
      </c>
      <c r="E356" s="294">
        <v>20425.827579896599</v>
      </c>
      <c r="F356" s="272">
        <v>6.1626739815595659</v>
      </c>
      <c r="G356" s="272">
        <v>156.37757709939615</v>
      </c>
      <c r="H356" s="277">
        <v>3.0974215093574564E-2</v>
      </c>
      <c r="J356" s="294">
        <f t="shared" si="15"/>
        <v>163681.54299118253</v>
      </c>
      <c r="K356" s="294">
        <f t="shared" si="16"/>
        <v>164454.39186689036</v>
      </c>
      <c r="L356" s="281">
        <f t="shared" si="17"/>
        <v>1</v>
      </c>
    </row>
    <row r="357" spans="2:12" x14ac:dyDescent="0.15">
      <c r="B357" s="281">
        <v>350</v>
      </c>
      <c r="C357" s="294">
        <v>21499.549750771032</v>
      </c>
      <c r="D357" s="392">
        <v>6.285874479466429</v>
      </c>
      <c r="E357" s="294">
        <v>21864.812000593782</v>
      </c>
      <c r="F357" s="272">
        <v>6.3319088460256125</v>
      </c>
      <c r="G357" s="272">
        <v>365.26224982275016</v>
      </c>
      <c r="H357" s="277">
        <v>4.6034366559183582E-2</v>
      </c>
      <c r="J357" s="294">
        <f t="shared" si="15"/>
        <v>167076.68463322186</v>
      </c>
      <c r="K357" s="294">
        <f t="shared" si="16"/>
        <v>168092.45338017459</v>
      </c>
      <c r="L357" s="281">
        <f t="shared" si="17"/>
        <v>1</v>
      </c>
    </row>
    <row r="358" spans="2:12" x14ac:dyDescent="0.15">
      <c r="B358" s="281">
        <v>351</v>
      </c>
      <c r="C358" s="294">
        <v>20797.009362105644</v>
      </c>
      <c r="D358" s="392">
        <v>6.256717310196918</v>
      </c>
      <c r="E358" s="294">
        <v>21076.101667414358</v>
      </c>
      <c r="F358" s="272">
        <v>6.3222897003996739</v>
      </c>
      <c r="G358" s="272">
        <v>279.09230530871355</v>
      </c>
      <c r="H358" s="277">
        <v>6.5572390202755848E-2</v>
      </c>
      <c r="J358" s="294">
        <f t="shared" si="15"/>
        <v>166904.50994380191</v>
      </c>
      <c r="K358" s="294">
        <f t="shared" si="16"/>
        <v>168592.58934457586</v>
      </c>
      <c r="L358" s="281">
        <f t="shared" si="17"/>
        <v>1</v>
      </c>
    </row>
    <row r="359" spans="2:12" x14ac:dyDescent="0.15">
      <c r="B359" s="281">
        <v>352</v>
      </c>
      <c r="C359" s="294">
        <v>21348.447226456359</v>
      </c>
      <c r="D359" s="392">
        <v>6.3627277021564508</v>
      </c>
      <c r="E359" s="294">
        <v>21601.173672543759</v>
      </c>
      <c r="F359" s="272">
        <v>6.4047696985113003</v>
      </c>
      <c r="G359" s="272">
        <v>252.72644608739938</v>
      </c>
      <c r="H359" s="277">
        <v>4.2041996354849509E-2</v>
      </c>
      <c r="J359" s="294">
        <f t="shared" si="15"/>
        <v>169533.38383823715</v>
      </c>
      <c r="K359" s="294">
        <f t="shared" si="16"/>
        <v>170541.91728279527</v>
      </c>
      <c r="L359" s="281">
        <f t="shared" si="17"/>
        <v>1</v>
      </c>
    </row>
    <row r="360" spans="2:12" x14ac:dyDescent="0.15">
      <c r="B360" s="281">
        <v>353</v>
      </c>
      <c r="C360" s="294">
        <v>23299.973145758384</v>
      </c>
      <c r="D360" s="392">
        <v>6.104153956621901</v>
      </c>
      <c r="E360" s="294">
        <v>23478.143302784818</v>
      </c>
      <c r="F360" s="272">
        <v>6.1166013050907289</v>
      </c>
      <c r="G360" s="272">
        <v>178.17015702643403</v>
      </c>
      <c r="H360" s="277">
        <v>1.244734846882789E-2</v>
      </c>
      <c r="J360" s="294">
        <f t="shared" si="15"/>
        <v>159824.64555289864</v>
      </c>
      <c r="K360" s="294">
        <f t="shared" si="16"/>
        <v>160019.89584993705</v>
      </c>
      <c r="L360" s="281">
        <f t="shared" si="17"/>
        <v>1</v>
      </c>
    </row>
    <row r="361" spans="2:12" x14ac:dyDescent="0.15">
      <c r="B361" s="281">
        <v>354</v>
      </c>
      <c r="C361" s="294">
        <v>22658.413729889777</v>
      </c>
      <c r="D361" s="392">
        <v>6.2347458453727551</v>
      </c>
      <c r="E361" s="294">
        <v>22970.429653642772</v>
      </c>
      <c r="F361" s="272">
        <v>6.2825564812887569</v>
      </c>
      <c r="G361" s="272">
        <v>312.01592375299515</v>
      </c>
      <c r="H361" s="277">
        <v>4.7810635916001765E-2</v>
      </c>
      <c r="J361" s="294">
        <f t="shared" si="15"/>
        <v>164383.96163129286</v>
      </c>
      <c r="K361" s="294">
        <f t="shared" si="16"/>
        <v>165506.26478501991</v>
      </c>
      <c r="L361" s="281">
        <f t="shared" si="17"/>
        <v>1</v>
      </c>
    </row>
    <row r="362" spans="2:12" x14ac:dyDescent="0.15">
      <c r="B362" s="281">
        <v>355</v>
      </c>
      <c r="C362" s="294">
        <v>20917.462536637038</v>
      </c>
      <c r="D362" s="392">
        <v>6.2605601300718154</v>
      </c>
      <c r="E362" s="294">
        <v>21097.562262967847</v>
      </c>
      <c r="F362" s="272">
        <v>6.2813849834192652</v>
      </c>
      <c r="G362" s="272">
        <v>180.09972633080906</v>
      </c>
      <c r="H362" s="277">
        <v>2.0824853347449768E-2</v>
      </c>
      <c r="J362" s="294">
        <f t="shared" si="15"/>
        <v>166899.34136551744</v>
      </c>
      <c r="K362" s="294">
        <f t="shared" si="16"/>
        <v>167343.98723961011</v>
      </c>
      <c r="L362" s="281">
        <f t="shared" si="17"/>
        <v>1</v>
      </c>
    </row>
    <row r="363" spans="2:12" x14ac:dyDescent="0.15">
      <c r="B363" s="281">
        <v>356</v>
      </c>
      <c r="C363" s="294">
        <v>22841.7220018314</v>
      </c>
      <c r="D363" s="392">
        <v>6.2382189183149848</v>
      </c>
      <c r="E363" s="294">
        <v>23019.937582111372</v>
      </c>
      <c r="F363" s="272">
        <v>6.267529321905557</v>
      </c>
      <c r="G363" s="272">
        <v>178.21558027997162</v>
      </c>
      <c r="H363" s="277">
        <v>2.9310403590572243E-2</v>
      </c>
      <c r="J363" s="294">
        <f t="shared" si="15"/>
        <v>164304.84554761814</v>
      </c>
      <c r="K363" s="294">
        <f t="shared" si="16"/>
        <v>165005.94207505535</v>
      </c>
      <c r="L363" s="281">
        <f t="shared" si="17"/>
        <v>1</v>
      </c>
    </row>
    <row r="364" spans="2:12" x14ac:dyDescent="0.15">
      <c r="B364" s="281">
        <v>357</v>
      </c>
      <c r="C364" s="294">
        <v>20612.980797776774</v>
      </c>
      <c r="D364" s="392">
        <v>6.2595895075917731</v>
      </c>
      <c r="E364" s="294">
        <v>20793.479634166608</v>
      </c>
      <c r="F364" s="272">
        <v>6.2909503655244903</v>
      </c>
      <c r="G364" s="272">
        <v>180.49883638983374</v>
      </c>
      <c r="H364" s="277">
        <v>3.1360857932717146E-2</v>
      </c>
      <c r="J364" s="294">
        <f t="shared" si="15"/>
        <v>167174.70442997641</v>
      </c>
      <c r="K364" s="294">
        <f t="shared" si="16"/>
        <v>167935.03133156811</v>
      </c>
      <c r="L364" s="281">
        <f t="shared" si="17"/>
        <v>1</v>
      </c>
    </row>
    <row r="365" spans="2:12" x14ac:dyDescent="0.15">
      <c r="B365" s="281">
        <v>358</v>
      </c>
      <c r="C365" s="294">
        <v>21569.713997874725</v>
      </c>
      <c r="D365" s="392">
        <v>6.2019827605630171</v>
      </c>
      <c r="E365" s="294">
        <v>21776.782700300042</v>
      </c>
      <c r="F365" s="272">
        <v>6.2406049294261265</v>
      </c>
      <c r="G365" s="272">
        <v>207.06870242531659</v>
      </c>
      <c r="H365" s="277">
        <v>3.862216886310943E-2</v>
      </c>
      <c r="J365" s="294">
        <f t="shared" si="15"/>
        <v>164489.76881901579</v>
      </c>
      <c r="K365" s="294">
        <f t="shared" si="16"/>
        <v>165441.36518248374</v>
      </c>
      <c r="L365" s="281">
        <f t="shared" si="17"/>
        <v>1</v>
      </c>
    </row>
    <row r="366" spans="2:12" x14ac:dyDescent="0.15">
      <c r="B366" s="281">
        <v>359</v>
      </c>
      <c r="C366" s="294">
        <v>21522.327996141234</v>
      </c>
      <c r="D366" s="392">
        <v>6.3274485945129877</v>
      </c>
      <c r="E366" s="294">
        <v>21677.453174796978</v>
      </c>
      <c r="F366" s="272">
        <v>6.3275614700729772</v>
      </c>
      <c r="G366" s="272">
        <v>155.12517865574409</v>
      </c>
      <c r="H366" s="277">
        <v>1.1287555998951149E-4</v>
      </c>
      <c r="J366" s="294">
        <f t="shared" si="15"/>
        <v>168301.12983924837</v>
      </c>
      <c r="K366" s="294">
        <f t="shared" si="16"/>
        <v>168149.39092739235</v>
      </c>
      <c r="L366" s="281">
        <f t="shared" si="17"/>
        <v>0</v>
      </c>
    </row>
    <row r="367" spans="2:12" x14ac:dyDescent="0.15">
      <c r="B367" s="281">
        <v>360</v>
      </c>
      <c r="C367" s="294">
        <v>19828.673154803237</v>
      </c>
      <c r="D367" s="392">
        <v>6.1987971237645745</v>
      </c>
      <c r="E367" s="294">
        <v>20029.673651647416</v>
      </c>
      <c r="F367" s="272">
        <v>6.2612063719732625</v>
      </c>
      <c r="G367" s="272">
        <v>201.000496844179</v>
      </c>
      <c r="H367" s="277">
        <v>6.2409248208687984E-2</v>
      </c>
      <c r="J367" s="294">
        <f t="shared" si="15"/>
        <v>166135.24055813401</v>
      </c>
      <c r="K367" s="294">
        <f t="shared" si="16"/>
        <v>167806.51750755048</v>
      </c>
      <c r="L367" s="281">
        <f t="shared" si="17"/>
        <v>1</v>
      </c>
    </row>
    <row r="368" spans="2:12" x14ac:dyDescent="0.15">
      <c r="B368" s="281">
        <v>361</v>
      </c>
      <c r="C368" s="294">
        <v>22732.669996759407</v>
      </c>
      <c r="D368" s="392">
        <v>6.3478040811126837</v>
      </c>
      <c r="E368" s="294">
        <v>22778.36627673695</v>
      </c>
      <c r="F368" s="272">
        <v>6.3177329066615169</v>
      </c>
      <c r="G368" s="272">
        <v>45.696279977542872</v>
      </c>
      <c r="H368" s="277">
        <v>-3.0071174451166804E-2</v>
      </c>
      <c r="J368" s="294">
        <f t="shared" si="15"/>
        <v>167701.4524366211</v>
      </c>
      <c r="K368" s="294">
        <f t="shared" si="16"/>
        <v>166753.62092310857</v>
      </c>
      <c r="L368" s="281">
        <f t="shared" si="17"/>
        <v>0</v>
      </c>
    </row>
    <row r="369" spans="2:12" x14ac:dyDescent="0.15">
      <c r="B369" s="281">
        <v>362</v>
      </c>
      <c r="C369" s="294">
        <v>22296.696833984031</v>
      </c>
      <c r="D369" s="392">
        <v>6.2733398909437792</v>
      </c>
      <c r="E369" s="294">
        <v>22555.622742396834</v>
      </c>
      <c r="F369" s="272">
        <v>6.3168203248948922</v>
      </c>
      <c r="G369" s="272">
        <v>258.92590841280253</v>
      </c>
      <c r="H369" s="277">
        <v>4.3480433951113007E-2</v>
      </c>
      <c r="J369" s="294">
        <f t="shared" si="15"/>
        <v>165903.49989432935</v>
      </c>
      <c r="K369" s="294">
        <f t="shared" si="16"/>
        <v>166948.98700444994</v>
      </c>
      <c r="L369" s="281">
        <f t="shared" si="17"/>
        <v>1</v>
      </c>
    </row>
    <row r="370" spans="2:12" x14ac:dyDescent="0.15">
      <c r="B370" s="281">
        <v>363</v>
      </c>
      <c r="C370" s="294">
        <v>21157.318432898137</v>
      </c>
      <c r="D370" s="392">
        <v>6.3007502416117722</v>
      </c>
      <c r="E370" s="294">
        <v>21490.438150259535</v>
      </c>
      <c r="F370" s="272">
        <v>6.3516098956671483</v>
      </c>
      <c r="G370" s="272">
        <v>333.11971736139822</v>
      </c>
      <c r="H370" s="277">
        <v>5.0859654055376069E-2</v>
      </c>
      <c r="J370" s="294">
        <f t="shared" si="15"/>
        <v>167865.18881545501</v>
      </c>
      <c r="K370" s="294">
        <f t="shared" si="16"/>
        <v>169057.85871975491</v>
      </c>
      <c r="L370" s="281">
        <f t="shared" si="17"/>
        <v>1</v>
      </c>
    </row>
    <row r="371" spans="2:12" x14ac:dyDescent="0.15">
      <c r="B371" s="281">
        <v>364</v>
      </c>
      <c r="C371" s="294">
        <v>20219.384545560137</v>
      </c>
      <c r="D371" s="392">
        <v>6.20575763631384</v>
      </c>
      <c r="E371" s="294">
        <v>20449.213568174648</v>
      </c>
      <c r="F371" s="272">
        <v>6.2444014927852942</v>
      </c>
      <c r="G371" s="272">
        <v>229.8290226145109</v>
      </c>
      <c r="H371" s="277">
        <v>3.8643856471454185E-2</v>
      </c>
      <c r="J371" s="294">
        <f t="shared" si="15"/>
        <v>165953.34454385506</v>
      </c>
      <c r="K371" s="294">
        <f t="shared" si="16"/>
        <v>166882.83121538415</v>
      </c>
      <c r="L371" s="281">
        <f t="shared" si="17"/>
        <v>1</v>
      </c>
    </row>
    <row r="372" spans="2:12" x14ac:dyDescent="0.15">
      <c r="B372" s="281">
        <v>365</v>
      </c>
      <c r="C372" s="294">
        <v>20174.426967048235</v>
      </c>
      <c r="D372" s="392">
        <v>6.2687309088909213</v>
      </c>
      <c r="E372" s="294">
        <v>20342.794836418409</v>
      </c>
      <c r="F372" s="272">
        <v>6.2965243831425406</v>
      </c>
      <c r="G372" s="272">
        <v>168.36786937017314</v>
      </c>
      <c r="H372" s="277">
        <v>2.7793474251619266E-2</v>
      </c>
      <c r="J372" s="294">
        <f t="shared" si="15"/>
        <v>167887.50029967941</v>
      </c>
      <c r="K372" s="294">
        <f t="shared" si="16"/>
        <v>168552.93665785782</v>
      </c>
      <c r="L372" s="281">
        <f t="shared" si="17"/>
        <v>1</v>
      </c>
    </row>
    <row r="373" spans="2:12" x14ac:dyDescent="0.15">
      <c r="B373" s="281">
        <v>366</v>
      </c>
      <c r="C373" s="294">
        <v>19717.118209967768</v>
      </c>
      <c r="D373" s="392">
        <v>6.4036860082895828</v>
      </c>
      <c r="E373" s="294">
        <v>19947.599221193846</v>
      </c>
      <c r="F373" s="272">
        <v>6.4545463974177304</v>
      </c>
      <c r="G373" s="272">
        <v>230.48101122607841</v>
      </c>
      <c r="H373" s="277">
        <v>5.0860389128147609E-2</v>
      </c>
      <c r="J373" s="294">
        <f t="shared" si="15"/>
        <v>172393.46203871971</v>
      </c>
      <c r="K373" s="294">
        <f t="shared" si="16"/>
        <v>173688.79270133807</v>
      </c>
      <c r="L373" s="281">
        <f t="shared" si="17"/>
        <v>1</v>
      </c>
    </row>
    <row r="374" spans="2:12" x14ac:dyDescent="0.15">
      <c r="B374" s="281">
        <v>367</v>
      </c>
      <c r="C374" s="294">
        <v>20990.438129453465</v>
      </c>
      <c r="D374" s="392">
        <v>6.2695461715310099</v>
      </c>
      <c r="E374" s="294">
        <v>21307.151941342079</v>
      </c>
      <c r="F374" s="272">
        <v>6.3378497550296888</v>
      </c>
      <c r="G374" s="272">
        <v>316.71381188861415</v>
      </c>
      <c r="H374" s="277">
        <v>6.8303583498678933E-2</v>
      </c>
      <c r="J374" s="294">
        <f t="shared" si="15"/>
        <v>167095.94701647686</v>
      </c>
      <c r="K374" s="294">
        <f t="shared" si="16"/>
        <v>168828.34070954859</v>
      </c>
      <c r="L374" s="281">
        <f t="shared" si="17"/>
        <v>1</v>
      </c>
    </row>
    <row r="375" spans="2:12" x14ac:dyDescent="0.15">
      <c r="B375" s="281">
        <v>368</v>
      </c>
      <c r="C375" s="294">
        <v>21770.174532038956</v>
      </c>
      <c r="D375" s="392">
        <v>6.31826441939433</v>
      </c>
      <c r="E375" s="294">
        <v>22079.613774016765</v>
      </c>
      <c r="F375" s="272">
        <v>6.3957828715885876</v>
      </c>
      <c r="G375" s="272">
        <v>309.43924197780871</v>
      </c>
      <c r="H375" s="277">
        <v>7.751845219425757E-2</v>
      </c>
      <c r="J375" s="294">
        <f t="shared" si="15"/>
        <v>167777.75804979095</v>
      </c>
      <c r="K375" s="294">
        <f t="shared" si="16"/>
        <v>169793.87237364086</v>
      </c>
      <c r="L375" s="281">
        <f t="shared" si="17"/>
        <v>1</v>
      </c>
    </row>
    <row r="376" spans="2:12" x14ac:dyDescent="0.15">
      <c r="B376" s="281">
        <v>369</v>
      </c>
      <c r="C376" s="294">
        <v>21891.267899526723</v>
      </c>
      <c r="D376" s="392">
        <v>6.26173040783672</v>
      </c>
      <c r="E376" s="294">
        <v>22095.466083499181</v>
      </c>
      <c r="F376" s="272">
        <v>6.2864854457687844</v>
      </c>
      <c r="G376" s="272">
        <v>204.19818397245763</v>
      </c>
      <c r="H376" s="277">
        <v>2.4755037932064461E-2</v>
      </c>
      <c r="J376" s="294">
        <f t="shared" si="15"/>
        <v>165960.64433557488</v>
      </c>
      <c r="K376" s="294">
        <f t="shared" si="16"/>
        <v>166499.09728956438</v>
      </c>
      <c r="L376" s="281">
        <f t="shared" si="17"/>
        <v>1</v>
      </c>
    </row>
    <row r="377" spans="2:12" x14ac:dyDescent="0.15">
      <c r="B377" s="281">
        <v>370</v>
      </c>
      <c r="C377" s="294">
        <v>21359.552130232474</v>
      </c>
      <c r="D377" s="392">
        <v>6.2934282047738934</v>
      </c>
      <c r="E377" s="294">
        <v>21492.045401118005</v>
      </c>
      <c r="F377" s="272">
        <v>6.3281855668420857</v>
      </c>
      <c r="G377" s="272">
        <v>132.49327088553036</v>
      </c>
      <c r="H377" s="277">
        <v>3.4757362068192243E-2</v>
      </c>
      <c r="J377" s="294">
        <f t="shared" si="15"/>
        <v>167443.29401298432</v>
      </c>
      <c r="K377" s="294">
        <f t="shared" si="16"/>
        <v>168353.52160414457</v>
      </c>
      <c r="L377" s="281">
        <f t="shared" si="17"/>
        <v>1</v>
      </c>
    </row>
    <row r="378" spans="2:12" x14ac:dyDescent="0.15">
      <c r="B378" s="281">
        <v>371</v>
      </c>
      <c r="C378" s="294">
        <v>20709.015786065604</v>
      </c>
      <c r="D378" s="392">
        <v>6.1700649412076372</v>
      </c>
      <c r="E378" s="294">
        <v>20860.884317076998</v>
      </c>
      <c r="F378" s="272">
        <v>6.2150917255392368</v>
      </c>
      <c r="G378" s="272">
        <v>151.86853101139423</v>
      </c>
      <c r="H378" s="277">
        <v>4.5026784331599679E-2</v>
      </c>
      <c r="J378" s="294">
        <f t="shared" si="15"/>
        <v>164392.9324501635</v>
      </c>
      <c r="K378" s="294">
        <f t="shared" si="16"/>
        <v>165591.8674491001</v>
      </c>
      <c r="L378" s="281">
        <f t="shared" si="17"/>
        <v>1</v>
      </c>
    </row>
    <row r="379" spans="2:12" x14ac:dyDescent="0.15">
      <c r="B379" s="281">
        <v>372</v>
      </c>
      <c r="C379" s="294">
        <v>21292.141784391813</v>
      </c>
      <c r="D379" s="392">
        <v>6.2004346460266024</v>
      </c>
      <c r="E379" s="294">
        <v>21507.288269825091</v>
      </c>
      <c r="F379" s="272">
        <v>6.2491945356727863</v>
      </c>
      <c r="G379" s="272">
        <v>215.14648543327712</v>
      </c>
      <c r="H379" s="277">
        <v>4.8759889646183829E-2</v>
      </c>
      <c r="J379" s="294">
        <f t="shared" si="15"/>
        <v>164720.89759640628</v>
      </c>
      <c r="K379" s="294">
        <f t="shared" si="16"/>
        <v>165968.5478003585</v>
      </c>
      <c r="L379" s="281">
        <f t="shared" si="17"/>
        <v>1</v>
      </c>
    </row>
    <row r="380" spans="2:12" x14ac:dyDescent="0.15">
      <c r="B380" s="281">
        <v>373</v>
      </c>
      <c r="C380" s="294">
        <v>21529.195840722863</v>
      </c>
      <c r="D380" s="392">
        <v>6.2570185288550437</v>
      </c>
      <c r="E380" s="294">
        <v>21756.252306860402</v>
      </c>
      <c r="F380" s="272">
        <v>6.2972456852591927</v>
      </c>
      <c r="G380" s="272">
        <v>227.05646613753925</v>
      </c>
      <c r="H380" s="277">
        <v>4.0227156404148978E-2</v>
      </c>
      <c r="J380" s="294">
        <f t="shared" si="15"/>
        <v>166181.36002492846</v>
      </c>
      <c r="K380" s="294">
        <f t="shared" si="16"/>
        <v>167161.11825091537</v>
      </c>
      <c r="L380" s="281">
        <f t="shared" si="17"/>
        <v>1</v>
      </c>
    </row>
    <row r="381" spans="2:12" x14ac:dyDescent="0.15">
      <c r="B381" s="281">
        <v>374</v>
      </c>
      <c r="C381" s="294">
        <v>20542.824445266302</v>
      </c>
      <c r="D381" s="392">
        <v>6.3616621618815783</v>
      </c>
      <c r="E381" s="294">
        <v>20667.593064839006</v>
      </c>
      <c r="F381" s="272">
        <v>6.3560197364648614</v>
      </c>
      <c r="G381" s="272">
        <v>124.76861957270376</v>
      </c>
      <c r="H381" s="277">
        <v>-5.6424254167168897E-3</v>
      </c>
      <c r="J381" s="294">
        <f t="shared" si="15"/>
        <v>170307.04041118105</v>
      </c>
      <c r="K381" s="294">
        <f t="shared" si="16"/>
        <v>170012.99902910681</v>
      </c>
      <c r="L381" s="281">
        <f t="shared" si="17"/>
        <v>0</v>
      </c>
    </row>
    <row r="382" spans="2:12" x14ac:dyDescent="0.15">
      <c r="B382" s="281">
        <v>375</v>
      </c>
      <c r="C382" s="294">
        <v>20962.548988946288</v>
      </c>
      <c r="D382" s="392">
        <v>6.2634408554874277</v>
      </c>
      <c r="E382" s="294">
        <v>21193.200974863154</v>
      </c>
      <c r="F382" s="272">
        <v>6.3184717701794586</v>
      </c>
      <c r="G382" s="272">
        <v>230.65198591686567</v>
      </c>
      <c r="H382" s="277">
        <v>5.5030914692030919E-2</v>
      </c>
      <c r="J382" s="294">
        <f t="shared" si="15"/>
        <v>166940.67667567654</v>
      </c>
      <c r="K382" s="294">
        <f t="shared" si="16"/>
        <v>168360.9521305206</v>
      </c>
      <c r="L382" s="281">
        <f t="shared" si="17"/>
        <v>1</v>
      </c>
    </row>
    <row r="383" spans="2:12" x14ac:dyDescent="0.15">
      <c r="B383" s="281">
        <v>376</v>
      </c>
      <c r="C383" s="294">
        <v>21352.432094662356</v>
      </c>
      <c r="D383" s="392">
        <v>6.2596700018669313</v>
      </c>
      <c r="E383" s="294">
        <v>21442.779861207495</v>
      </c>
      <c r="F383" s="272">
        <v>6.2882939252834618</v>
      </c>
      <c r="G383" s="272">
        <v>90.347766545139166</v>
      </c>
      <c r="H383" s="277">
        <v>2.8623923416530417E-2</v>
      </c>
      <c r="J383" s="294">
        <f t="shared" si="15"/>
        <v>166437.66796134558</v>
      </c>
      <c r="K383" s="294">
        <f t="shared" si="16"/>
        <v>167206.03789729637</v>
      </c>
      <c r="L383" s="281">
        <f t="shared" si="17"/>
        <v>1</v>
      </c>
    </row>
    <row r="384" spans="2:12" x14ac:dyDescent="0.15">
      <c r="B384" s="281">
        <v>377</v>
      </c>
      <c r="C384" s="294">
        <v>21802.538980595356</v>
      </c>
      <c r="D384" s="392">
        <v>6.3055970151463709</v>
      </c>
      <c r="E384" s="294">
        <v>21943.262827639817</v>
      </c>
      <c r="F384" s="272">
        <v>6.3156612262460161</v>
      </c>
      <c r="G384" s="272">
        <v>140.72384704446085</v>
      </c>
      <c r="H384" s="277">
        <v>1.0064211099645171E-2</v>
      </c>
      <c r="J384" s="294">
        <f t="shared" si="15"/>
        <v>167365.37147379576</v>
      </c>
      <c r="K384" s="294">
        <f t="shared" si="16"/>
        <v>167526.57395974066</v>
      </c>
      <c r="L384" s="281">
        <f t="shared" si="17"/>
        <v>1</v>
      </c>
    </row>
    <row r="385" spans="2:12" x14ac:dyDescent="0.15">
      <c r="B385" s="281">
        <v>378</v>
      </c>
      <c r="C385" s="294">
        <v>21133.257331898163</v>
      </c>
      <c r="D385" s="392">
        <v>6.3024487883852363</v>
      </c>
      <c r="E385" s="294">
        <v>21483.636300092352</v>
      </c>
      <c r="F385" s="272">
        <v>6.3797231691501386</v>
      </c>
      <c r="G385" s="272">
        <v>350.37896819418893</v>
      </c>
      <c r="H385" s="277">
        <v>7.727438076490234E-2</v>
      </c>
      <c r="J385" s="294">
        <f t="shared" si="15"/>
        <v>167940.2063196589</v>
      </c>
      <c r="K385" s="294">
        <f t="shared" si="16"/>
        <v>169908.05877441179</v>
      </c>
      <c r="L385" s="281">
        <f t="shared" si="17"/>
        <v>1</v>
      </c>
    </row>
    <row r="386" spans="2:12" x14ac:dyDescent="0.15">
      <c r="B386" s="281">
        <v>379</v>
      </c>
      <c r="C386" s="294">
        <v>20822.945285445589</v>
      </c>
      <c r="D386" s="392">
        <v>6.3449810182629092</v>
      </c>
      <c r="E386" s="294">
        <v>20996.172223249105</v>
      </c>
      <c r="F386" s="272">
        <v>6.3976356286327585</v>
      </c>
      <c r="G386" s="272">
        <v>173.22693780351619</v>
      </c>
      <c r="H386" s="277">
        <v>5.2654610369849308E-2</v>
      </c>
      <c r="J386" s="294">
        <f t="shared" si="15"/>
        <v>169526.48526244168</v>
      </c>
      <c r="K386" s="294">
        <f t="shared" si="16"/>
        <v>170932.89663573366</v>
      </c>
      <c r="L386" s="281">
        <f t="shared" si="17"/>
        <v>1</v>
      </c>
    </row>
    <row r="387" spans="2:12" x14ac:dyDescent="0.15">
      <c r="B387" s="281">
        <v>380</v>
      </c>
      <c r="C387" s="294">
        <v>22612.604704643021</v>
      </c>
      <c r="D387" s="392">
        <v>6.3508454236393987</v>
      </c>
      <c r="E387" s="294">
        <v>22851.805029342057</v>
      </c>
      <c r="F387" s="272">
        <v>6.3760867306530251</v>
      </c>
      <c r="G387" s="272">
        <v>239.20032469903526</v>
      </c>
      <c r="H387" s="277">
        <v>2.5241307013626368E-2</v>
      </c>
      <c r="J387" s="294">
        <f t="shared" si="15"/>
        <v>167912.75800453895</v>
      </c>
      <c r="K387" s="294">
        <f t="shared" si="16"/>
        <v>168430.79689024869</v>
      </c>
      <c r="L387" s="281">
        <f t="shared" si="17"/>
        <v>1</v>
      </c>
    </row>
    <row r="388" spans="2:12" x14ac:dyDescent="0.15">
      <c r="B388" s="281">
        <v>381</v>
      </c>
      <c r="C388" s="294">
        <v>21546.375690853936</v>
      </c>
      <c r="D388" s="392">
        <v>6.2587428918499581</v>
      </c>
      <c r="E388" s="294">
        <v>21892.121785006737</v>
      </c>
      <c r="F388" s="272">
        <v>6.3075855198416484</v>
      </c>
      <c r="G388" s="272">
        <v>345.74609415280065</v>
      </c>
      <c r="H388" s="277">
        <v>4.8842627991690257E-2</v>
      </c>
      <c r="J388" s="294">
        <f t="shared" si="15"/>
        <v>166215.91106464481</v>
      </c>
      <c r="K388" s="294">
        <f t="shared" si="16"/>
        <v>167335.44381024269</v>
      </c>
      <c r="L388" s="281">
        <f t="shared" si="17"/>
        <v>1</v>
      </c>
    </row>
    <row r="389" spans="2:12" x14ac:dyDescent="0.15">
      <c r="B389" s="281">
        <v>382</v>
      </c>
      <c r="C389" s="294">
        <v>20868.785009130133</v>
      </c>
      <c r="D389" s="392">
        <v>6.2519627041059751</v>
      </c>
      <c r="E389" s="294">
        <v>21014.573216771729</v>
      </c>
      <c r="F389" s="272">
        <v>6.2691498221725244</v>
      </c>
      <c r="G389" s="272">
        <v>145.78820764159536</v>
      </c>
      <c r="H389" s="277">
        <v>1.7187118066549267E-2</v>
      </c>
      <c r="J389" s="294">
        <f t="shared" si="15"/>
        <v>166690.09611404911</v>
      </c>
      <c r="K389" s="294">
        <f t="shared" si="16"/>
        <v>167059.921448404</v>
      </c>
      <c r="L389" s="281">
        <f t="shared" si="17"/>
        <v>1</v>
      </c>
    </row>
    <row r="390" spans="2:12" x14ac:dyDescent="0.15">
      <c r="B390" s="281">
        <v>383</v>
      </c>
      <c r="C390" s="294">
        <v>21464.686678480331</v>
      </c>
      <c r="D390" s="392">
        <v>6.259078997955152</v>
      </c>
      <c r="E390" s="294">
        <v>21688.548193977036</v>
      </c>
      <c r="F390" s="272">
        <v>6.2843451029874453</v>
      </c>
      <c r="G390" s="272">
        <v>223.86151549670467</v>
      </c>
      <c r="H390" s="277">
        <v>2.5266105032293318E-2</v>
      </c>
      <c r="J390" s="294">
        <f t="shared" si="15"/>
        <v>166307.68326017424</v>
      </c>
      <c r="K390" s="294">
        <f t="shared" si="16"/>
        <v>166841.80489564632</v>
      </c>
      <c r="L390" s="281">
        <f t="shared" si="17"/>
        <v>1</v>
      </c>
    </row>
    <row r="391" spans="2:12" x14ac:dyDescent="0.15">
      <c r="B391" s="281">
        <v>384</v>
      </c>
      <c r="C391" s="294">
        <v>23607.341497556736</v>
      </c>
      <c r="D391" s="392">
        <v>6.1660638133048131</v>
      </c>
      <c r="E391" s="294">
        <v>23920.02975528987</v>
      </c>
      <c r="F391" s="272">
        <v>6.2301517352340312</v>
      </c>
      <c r="G391" s="272">
        <v>312.68825773313438</v>
      </c>
      <c r="H391" s="277">
        <v>6.4087921929218084E-2</v>
      </c>
      <c r="J391" s="294">
        <f t="shared" si="15"/>
        <v>161374.57290158764</v>
      </c>
      <c r="K391" s="294">
        <f t="shared" si="16"/>
        <v>162984.52230173108</v>
      </c>
      <c r="L391" s="281">
        <f t="shared" si="17"/>
        <v>1</v>
      </c>
    </row>
    <row r="392" spans="2:12" x14ac:dyDescent="0.15">
      <c r="B392" s="281">
        <v>385</v>
      </c>
      <c r="C392" s="294">
        <v>21459.7400204482</v>
      </c>
      <c r="D392" s="392">
        <v>6.1670169673127546</v>
      </c>
      <c r="E392" s="294">
        <v>21634.775308649598</v>
      </c>
      <c r="F392" s="272">
        <v>6.1995126093647484</v>
      </c>
      <c r="G392" s="272">
        <v>175.03528820139763</v>
      </c>
      <c r="H392" s="277">
        <v>3.2495642051993734E-2</v>
      </c>
      <c r="J392" s="294">
        <f t="shared" ref="J392:J455" si="18">(D392*wtp)-C392</f>
        <v>163550.76899893445</v>
      </c>
      <c r="K392" s="294">
        <f t="shared" ref="K392:K455" si="19">(F392*wtp)-E392</f>
        <v>164350.60297229284</v>
      </c>
      <c r="L392" s="281">
        <f t="shared" si="17"/>
        <v>1</v>
      </c>
    </row>
    <row r="393" spans="2:12" x14ac:dyDescent="0.15">
      <c r="B393" s="281">
        <v>386</v>
      </c>
      <c r="C393" s="294">
        <v>20300.212792816554</v>
      </c>
      <c r="D393" s="392">
        <v>6.3125674374417899</v>
      </c>
      <c r="E393" s="294">
        <v>20725.074819051646</v>
      </c>
      <c r="F393" s="272">
        <v>6.3723031626038615</v>
      </c>
      <c r="G393" s="272">
        <v>424.86202623509234</v>
      </c>
      <c r="H393" s="277">
        <v>5.9735725162071596E-2</v>
      </c>
      <c r="J393" s="294">
        <f t="shared" si="18"/>
        <v>169076.81033043715</v>
      </c>
      <c r="K393" s="294">
        <f t="shared" si="19"/>
        <v>170444.02005906421</v>
      </c>
      <c r="L393" s="281">
        <f t="shared" ref="L393:L456" si="20">IF(K393&gt;J393,1,0)</f>
        <v>1</v>
      </c>
    </row>
    <row r="394" spans="2:12" x14ac:dyDescent="0.15">
      <c r="B394" s="281">
        <v>387</v>
      </c>
      <c r="C394" s="294">
        <v>21091.401999757349</v>
      </c>
      <c r="D394" s="392">
        <v>6.275015220206285</v>
      </c>
      <c r="E394" s="294">
        <v>21414.776158950175</v>
      </c>
      <c r="F394" s="272">
        <v>6.3371355336576691</v>
      </c>
      <c r="G394" s="272">
        <v>323.37415919282648</v>
      </c>
      <c r="H394" s="277">
        <v>6.2120313451384135E-2</v>
      </c>
      <c r="J394" s="294">
        <f t="shared" si="18"/>
        <v>167159.05460643122</v>
      </c>
      <c r="K394" s="294">
        <f t="shared" si="19"/>
        <v>168699.2898507799</v>
      </c>
      <c r="L394" s="281">
        <f t="shared" si="20"/>
        <v>1</v>
      </c>
    </row>
    <row r="395" spans="2:12" x14ac:dyDescent="0.15">
      <c r="B395" s="281">
        <v>388</v>
      </c>
      <c r="C395" s="294">
        <v>19970.351051913898</v>
      </c>
      <c r="D395" s="392">
        <v>6.2896098430666285</v>
      </c>
      <c r="E395" s="294">
        <v>20102.600607760643</v>
      </c>
      <c r="F395" s="272">
        <v>6.3153672790924649</v>
      </c>
      <c r="G395" s="272">
        <v>132.24955584674535</v>
      </c>
      <c r="H395" s="277">
        <v>2.5757436025836355E-2</v>
      </c>
      <c r="J395" s="294">
        <f t="shared" si="18"/>
        <v>168717.94424008497</v>
      </c>
      <c r="K395" s="294">
        <f t="shared" si="19"/>
        <v>169358.41776501329</v>
      </c>
      <c r="L395" s="281">
        <f t="shared" si="20"/>
        <v>1</v>
      </c>
    </row>
    <row r="396" spans="2:12" x14ac:dyDescent="0.15">
      <c r="B396" s="281">
        <v>389</v>
      </c>
      <c r="C396" s="294">
        <v>21480.493543537847</v>
      </c>
      <c r="D396" s="392">
        <v>6.1675200203215024</v>
      </c>
      <c r="E396" s="294">
        <v>21735.280767214597</v>
      </c>
      <c r="F396" s="272">
        <v>6.2253222757543547</v>
      </c>
      <c r="G396" s="272">
        <v>254.78722367675073</v>
      </c>
      <c r="H396" s="277">
        <v>5.7802255432852334E-2</v>
      </c>
      <c r="J396" s="294">
        <f t="shared" si="18"/>
        <v>163545.10706610722</v>
      </c>
      <c r="K396" s="294">
        <f t="shared" si="19"/>
        <v>165024.38750541603</v>
      </c>
      <c r="L396" s="281">
        <f t="shared" si="20"/>
        <v>1</v>
      </c>
    </row>
    <row r="397" spans="2:12" x14ac:dyDescent="0.15">
      <c r="B397" s="281">
        <v>390</v>
      </c>
      <c r="C397" s="294">
        <v>22860.591110445181</v>
      </c>
      <c r="D397" s="392">
        <v>6.3097506047275669</v>
      </c>
      <c r="E397" s="294">
        <v>23043.406692037144</v>
      </c>
      <c r="F397" s="272">
        <v>6.3452780696529443</v>
      </c>
      <c r="G397" s="272">
        <v>182.81558159196356</v>
      </c>
      <c r="H397" s="277">
        <v>3.5527464925377394E-2</v>
      </c>
      <c r="J397" s="294">
        <f t="shared" si="18"/>
        <v>166431.92703138181</v>
      </c>
      <c r="K397" s="294">
        <f t="shared" si="19"/>
        <v>167314.93539755116</v>
      </c>
      <c r="L397" s="281">
        <f t="shared" si="20"/>
        <v>1</v>
      </c>
    </row>
    <row r="398" spans="2:12" x14ac:dyDescent="0.15">
      <c r="B398" s="281">
        <v>391</v>
      </c>
      <c r="C398" s="294">
        <v>21000.75665113152</v>
      </c>
      <c r="D398" s="392">
        <v>6.1801949719220808</v>
      </c>
      <c r="E398" s="294">
        <v>21104.523893184236</v>
      </c>
      <c r="F398" s="272">
        <v>6.2163672312156484</v>
      </c>
      <c r="G398" s="272">
        <v>103.76724205271603</v>
      </c>
      <c r="H398" s="277">
        <v>3.6172259293567599E-2</v>
      </c>
      <c r="J398" s="294">
        <f t="shared" si="18"/>
        <v>164405.0925065309</v>
      </c>
      <c r="K398" s="294">
        <f t="shared" si="19"/>
        <v>165386.49304328521</v>
      </c>
      <c r="L398" s="281">
        <f t="shared" si="20"/>
        <v>1</v>
      </c>
    </row>
    <row r="399" spans="2:12" x14ac:dyDescent="0.15">
      <c r="B399" s="281">
        <v>392</v>
      </c>
      <c r="C399" s="294">
        <v>22014.514081597968</v>
      </c>
      <c r="D399" s="392">
        <v>6.2461535864104292</v>
      </c>
      <c r="E399" s="294">
        <v>22149.198330606483</v>
      </c>
      <c r="F399" s="272">
        <v>6.2691930958101407</v>
      </c>
      <c r="G399" s="272">
        <v>134.6842490085146</v>
      </c>
      <c r="H399" s="277">
        <v>2.3039509399711555E-2</v>
      </c>
      <c r="J399" s="294">
        <f t="shared" si="18"/>
        <v>165370.09351071491</v>
      </c>
      <c r="K399" s="294">
        <f t="shared" si="19"/>
        <v>165926.59454369775</v>
      </c>
      <c r="L399" s="281">
        <f t="shared" si="20"/>
        <v>1</v>
      </c>
    </row>
    <row r="400" spans="2:12" x14ac:dyDescent="0.15">
      <c r="B400" s="281">
        <v>393</v>
      </c>
      <c r="C400" s="294">
        <v>22142.369768414585</v>
      </c>
      <c r="D400" s="392">
        <v>6.2810523949341572</v>
      </c>
      <c r="E400" s="294">
        <v>22473.099430087768</v>
      </c>
      <c r="F400" s="272">
        <v>6.3362309890002511</v>
      </c>
      <c r="G400" s="272">
        <v>330.72966167318373</v>
      </c>
      <c r="H400" s="277">
        <v>5.5178594066093822E-2</v>
      </c>
      <c r="J400" s="294">
        <f t="shared" si="18"/>
        <v>166289.20207961014</v>
      </c>
      <c r="K400" s="294">
        <f t="shared" si="19"/>
        <v>167613.83023991974</v>
      </c>
      <c r="L400" s="281">
        <f t="shared" si="20"/>
        <v>1</v>
      </c>
    </row>
    <row r="401" spans="2:12" x14ac:dyDescent="0.15">
      <c r="B401" s="281">
        <v>394</v>
      </c>
      <c r="C401" s="294">
        <v>21642.201243425105</v>
      </c>
      <c r="D401" s="392">
        <v>6.3344095493434081</v>
      </c>
      <c r="E401" s="294">
        <v>21805.819121743556</v>
      </c>
      <c r="F401" s="272">
        <v>6.3379951830467629</v>
      </c>
      <c r="G401" s="272">
        <v>163.6178783184514</v>
      </c>
      <c r="H401" s="277">
        <v>3.5856337033548513E-3</v>
      </c>
      <c r="J401" s="294">
        <f t="shared" si="18"/>
        <v>168390.08523687714</v>
      </c>
      <c r="K401" s="294">
        <f t="shared" si="19"/>
        <v>168334.03636965933</v>
      </c>
      <c r="L401" s="281">
        <f t="shared" si="20"/>
        <v>0</v>
      </c>
    </row>
    <row r="402" spans="2:12" x14ac:dyDescent="0.15">
      <c r="B402" s="281">
        <v>395</v>
      </c>
      <c r="C402" s="294">
        <v>23163.914838733479</v>
      </c>
      <c r="D402" s="392">
        <v>6.3246542411692124</v>
      </c>
      <c r="E402" s="294">
        <v>23520.993913992166</v>
      </c>
      <c r="F402" s="272">
        <v>6.3560775571638901</v>
      </c>
      <c r="G402" s="272">
        <v>357.07907525868723</v>
      </c>
      <c r="H402" s="277">
        <v>3.1423315994677736E-2</v>
      </c>
      <c r="J402" s="294">
        <f t="shared" si="18"/>
        <v>166575.71239634289</v>
      </c>
      <c r="K402" s="294">
        <f t="shared" si="19"/>
        <v>167161.33280092455</v>
      </c>
      <c r="L402" s="281">
        <f t="shared" si="20"/>
        <v>1</v>
      </c>
    </row>
    <row r="403" spans="2:12" x14ac:dyDescent="0.15">
      <c r="B403" s="281">
        <v>396</v>
      </c>
      <c r="C403" s="294">
        <v>22341.746246703493</v>
      </c>
      <c r="D403" s="392">
        <v>6.2287180539023455</v>
      </c>
      <c r="E403" s="294">
        <v>22526.055688238419</v>
      </c>
      <c r="F403" s="272">
        <v>6.2655929614796353</v>
      </c>
      <c r="G403" s="272">
        <v>184.30944153492601</v>
      </c>
      <c r="H403" s="277">
        <v>3.6874907577289839E-2</v>
      </c>
      <c r="J403" s="294">
        <f t="shared" si="18"/>
        <v>164519.79537036686</v>
      </c>
      <c r="K403" s="294">
        <f t="shared" si="19"/>
        <v>165441.73315615064</v>
      </c>
      <c r="L403" s="281">
        <f t="shared" si="20"/>
        <v>1</v>
      </c>
    </row>
    <row r="404" spans="2:12" x14ac:dyDescent="0.15">
      <c r="B404" s="281">
        <v>397</v>
      </c>
      <c r="C404" s="294">
        <v>22076.595578693537</v>
      </c>
      <c r="D404" s="392">
        <v>6.3257749211279233</v>
      </c>
      <c r="E404" s="294">
        <v>22269.019439650634</v>
      </c>
      <c r="F404" s="272">
        <v>6.3493981536117223</v>
      </c>
      <c r="G404" s="272">
        <v>192.42386095709662</v>
      </c>
      <c r="H404" s="277">
        <v>2.362323248379905E-2</v>
      </c>
      <c r="J404" s="294">
        <f t="shared" si="18"/>
        <v>167696.65205514414</v>
      </c>
      <c r="K404" s="294">
        <f t="shared" si="19"/>
        <v>168212.92516870104</v>
      </c>
      <c r="L404" s="281">
        <f t="shared" si="20"/>
        <v>1</v>
      </c>
    </row>
    <row r="405" spans="2:12" x14ac:dyDescent="0.15">
      <c r="B405" s="281">
        <v>398</v>
      </c>
      <c r="C405" s="294">
        <v>21638.055997959873</v>
      </c>
      <c r="D405" s="392">
        <v>6.1450922344838812</v>
      </c>
      <c r="E405" s="294">
        <v>21972.797391396856</v>
      </c>
      <c r="F405" s="272">
        <v>6.1841508735385524</v>
      </c>
      <c r="G405" s="272">
        <v>334.74139343698334</v>
      </c>
      <c r="H405" s="277">
        <v>3.9058639054671218E-2</v>
      </c>
      <c r="J405" s="294">
        <f t="shared" si="18"/>
        <v>162714.71103655657</v>
      </c>
      <c r="K405" s="294">
        <f t="shared" si="19"/>
        <v>163551.7288147597</v>
      </c>
      <c r="L405" s="281">
        <f t="shared" si="20"/>
        <v>1</v>
      </c>
    </row>
    <row r="406" spans="2:12" x14ac:dyDescent="0.15">
      <c r="B406" s="281">
        <v>399</v>
      </c>
      <c r="C406" s="294">
        <v>20544.284988653795</v>
      </c>
      <c r="D406" s="392">
        <v>6.2036640192208177</v>
      </c>
      <c r="E406" s="294">
        <v>20658.872027691166</v>
      </c>
      <c r="F406" s="272">
        <v>6.2196727622337775</v>
      </c>
      <c r="G406" s="272">
        <v>114.58703903737114</v>
      </c>
      <c r="H406" s="277">
        <v>1.6008743012959847E-2</v>
      </c>
      <c r="J406" s="294">
        <f t="shared" si="18"/>
        <v>165565.63558797076</v>
      </c>
      <c r="K406" s="294">
        <f t="shared" si="19"/>
        <v>165931.31083932216</v>
      </c>
      <c r="L406" s="281">
        <f t="shared" si="20"/>
        <v>1</v>
      </c>
    </row>
    <row r="407" spans="2:12" x14ac:dyDescent="0.15">
      <c r="B407" s="281">
        <v>400</v>
      </c>
      <c r="C407" s="294">
        <v>20855.941300148639</v>
      </c>
      <c r="D407" s="392">
        <v>6.2222021614074272</v>
      </c>
      <c r="E407" s="294">
        <v>20934.283296117246</v>
      </c>
      <c r="F407" s="272">
        <v>6.2304183753424205</v>
      </c>
      <c r="G407" s="272">
        <v>78.34199596860708</v>
      </c>
      <c r="H407" s="277">
        <v>8.2162139349932772E-3</v>
      </c>
      <c r="J407" s="294">
        <f t="shared" si="18"/>
        <v>165810.12354207417</v>
      </c>
      <c r="K407" s="294">
        <f t="shared" si="19"/>
        <v>165978.26796415538</v>
      </c>
      <c r="L407" s="281">
        <f t="shared" si="20"/>
        <v>1</v>
      </c>
    </row>
    <row r="408" spans="2:12" x14ac:dyDescent="0.15">
      <c r="B408" s="281">
        <v>401</v>
      </c>
      <c r="C408" s="294">
        <v>21154.015032579209</v>
      </c>
      <c r="D408" s="392">
        <v>6.2886205491869571</v>
      </c>
      <c r="E408" s="294">
        <v>21406.565064803784</v>
      </c>
      <c r="F408" s="272">
        <v>6.3250662701898497</v>
      </c>
      <c r="G408" s="272">
        <v>252.55003222457526</v>
      </c>
      <c r="H408" s="277">
        <v>3.6445721002892562E-2</v>
      </c>
      <c r="J408" s="294">
        <f t="shared" si="18"/>
        <v>167504.6014430295</v>
      </c>
      <c r="K408" s="294">
        <f t="shared" si="19"/>
        <v>168345.42304089171</v>
      </c>
      <c r="L408" s="281">
        <f t="shared" si="20"/>
        <v>1</v>
      </c>
    </row>
    <row r="409" spans="2:12" x14ac:dyDescent="0.15">
      <c r="B409" s="281">
        <v>402</v>
      </c>
      <c r="C409" s="294">
        <v>20854.929210879207</v>
      </c>
      <c r="D409" s="392">
        <v>6.2585903959542772</v>
      </c>
      <c r="E409" s="294">
        <v>21119.892178033551</v>
      </c>
      <c r="F409" s="272">
        <v>6.3262122673759187</v>
      </c>
      <c r="G409" s="272">
        <v>264.96296715434437</v>
      </c>
      <c r="H409" s="277">
        <v>6.7621871421641444E-2</v>
      </c>
      <c r="J409" s="294">
        <f t="shared" si="18"/>
        <v>166902.78266774912</v>
      </c>
      <c r="K409" s="294">
        <f t="shared" si="19"/>
        <v>168666.475843244</v>
      </c>
      <c r="L409" s="281">
        <f t="shared" si="20"/>
        <v>1</v>
      </c>
    </row>
    <row r="410" spans="2:12" x14ac:dyDescent="0.15">
      <c r="B410" s="281">
        <v>403</v>
      </c>
      <c r="C410" s="294">
        <v>21698.858736187954</v>
      </c>
      <c r="D410" s="392">
        <v>6.3215311174500037</v>
      </c>
      <c r="E410" s="294">
        <v>21907.355813695587</v>
      </c>
      <c r="F410" s="272">
        <v>6.3650686632722886</v>
      </c>
      <c r="G410" s="272">
        <v>208.49707750763264</v>
      </c>
      <c r="H410" s="277">
        <v>4.3537545822284862E-2</v>
      </c>
      <c r="J410" s="294">
        <f t="shared" si="18"/>
        <v>167947.07478731216</v>
      </c>
      <c r="K410" s="294">
        <f t="shared" si="19"/>
        <v>169044.70408447308</v>
      </c>
      <c r="L410" s="281">
        <f t="shared" si="20"/>
        <v>1</v>
      </c>
    </row>
    <row r="411" spans="2:12" x14ac:dyDescent="0.15">
      <c r="B411" s="281">
        <v>404</v>
      </c>
      <c r="C411" s="294">
        <v>21290.920073828209</v>
      </c>
      <c r="D411" s="392">
        <v>6.1661063825222424</v>
      </c>
      <c r="E411" s="294">
        <v>21479.172401483986</v>
      </c>
      <c r="F411" s="272">
        <v>6.2037992067507286</v>
      </c>
      <c r="G411" s="272">
        <v>188.25232765577675</v>
      </c>
      <c r="H411" s="277">
        <v>3.7692824228486188E-2</v>
      </c>
      <c r="J411" s="294">
        <f t="shared" si="18"/>
        <v>163692.27140183904</v>
      </c>
      <c r="K411" s="294">
        <f t="shared" si="19"/>
        <v>164634.80380103787</v>
      </c>
      <c r="L411" s="281">
        <f t="shared" si="20"/>
        <v>1</v>
      </c>
    </row>
    <row r="412" spans="2:12" x14ac:dyDescent="0.15">
      <c r="B412" s="281">
        <v>405</v>
      </c>
      <c r="C412" s="294">
        <v>21945.660744033041</v>
      </c>
      <c r="D412" s="392">
        <v>6.2901575710612443</v>
      </c>
      <c r="E412" s="294">
        <v>22209.196473610184</v>
      </c>
      <c r="F412" s="272">
        <v>6.3450538268346834</v>
      </c>
      <c r="G412" s="272">
        <v>263.53572957714277</v>
      </c>
      <c r="H412" s="277">
        <v>5.4896255773439151E-2</v>
      </c>
      <c r="J412" s="294">
        <f t="shared" si="18"/>
        <v>166759.06638780428</v>
      </c>
      <c r="K412" s="294">
        <f t="shared" si="19"/>
        <v>168142.41833143032</v>
      </c>
      <c r="L412" s="281">
        <f t="shared" si="20"/>
        <v>1</v>
      </c>
    </row>
    <row r="413" spans="2:12" x14ac:dyDescent="0.15">
      <c r="B413" s="281">
        <v>406</v>
      </c>
      <c r="C413" s="294">
        <v>21799.709241683606</v>
      </c>
      <c r="D413" s="392">
        <v>6.2329736403417648</v>
      </c>
      <c r="E413" s="294">
        <v>21963.461464152955</v>
      </c>
      <c r="F413" s="272">
        <v>6.2698644694341024</v>
      </c>
      <c r="G413" s="272">
        <v>163.75222246934936</v>
      </c>
      <c r="H413" s="277">
        <v>3.689082909233754E-2</v>
      </c>
      <c r="J413" s="294">
        <f t="shared" si="18"/>
        <v>165189.49996856935</v>
      </c>
      <c r="K413" s="294">
        <f t="shared" si="19"/>
        <v>166132.47261887012</v>
      </c>
      <c r="L413" s="281">
        <f t="shared" si="20"/>
        <v>1</v>
      </c>
    </row>
    <row r="414" spans="2:12" x14ac:dyDescent="0.15">
      <c r="B414" s="281">
        <v>407</v>
      </c>
      <c r="C414" s="294">
        <v>21904.708803923299</v>
      </c>
      <c r="D414" s="392">
        <v>6.2200605451934265</v>
      </c>
      <c r="E414" s="294">
        <v>22118.353038268317</v>
      </c>
      <c r="F414" s="272">
        <v>6.2761356936468742</v>
      </c>
      <c r="G414" s="272">
        <v>213.64423434501805</v>
      </c>
      <c r="H414" s="277">
        <v>5.6075148453447632E-2</v>
      </c>
      <c r="J414" s="294">
        <f t="shared" si="18"/>
        <v>164697.10755187948</v>
      </c>
      <c r="K414" s="294">
        <f t="shared" si="19"/>
        <v>166165.71777113792</v>
      </c>
      <c r="L414" s="281">
        <f t="shared" si="20"/>
        <v>1</v>
      </c>
    </row>
    <row r="415" spans="2:12" x14ac:dyDescent="0.15">
      <c r="B415" s="281">
        <v>408</v>
      </c>
      <c r="C415" s="294">
        <v>19999.767946301297</v>
      </c>
      <c r="D415" s="392">
        <v>6.1435628795867085</v>
      </c>
      <c r="E415" s="294">
        <v>20282.22335364687</v>
      </c>
      <c r="F415" s="272">
        <v>6.1763120573774524</v>
      </c>
      <c r="G415" s="272">
        <v>282.45540734557289</v>
      </c>
      <c r="H415" s="277">
        <v>3.2749177790743822E-2</v>
      </c>
      <c r="J415" s="294">
        <f t="shared" si="18"/>
        <v>164307.11844129997</v>
      </c>
      <c r="K415" s="294">
        <f t="shared" si="19"/>
        <v>165007.1383676767</v>
      </c>
      <c r="L415" s="281">
        <f t="shared" si="20"/>
        <v>1</v>
      </c>
    </row>
    <row r="416" spans="2:12" x14ac:dyDescent="0.15">
      <c r="B416" s="281">
        <v>409</v>
      </c>
      <c r="C416" s="294">
        <v>21378.182981668848</v>
      </c>
      <c r="D416" s="392">
        <v>6.2450292923073327</v>
      </c>
      <c r="E416" s="294">
        <v>21451.497578650513</v>
      </c>
      <c r="F416" s="272">
        <v>6.2554569547926082</v>
      </c>
      <c r="G416" s="272">
        <v>73.31459698166509</v>
      </c>
      <c r="H416" s="277">
        <v>1.0427662485275491E-2</v>
      </c>
      <c r="J416" s="294">
        <f t="shared" si="18"/>
        <v>165972.69578755111</v>
      </c>
      <c r="K416" s="294">
        <f t="shared" si="19"/>
        <v>166212.21106512775</v>
      </c>
      <c r="L416" s="281">
        <f t="shared" si="20"/>
        <v>1</v>
      </c>
    </row>
    <row r="417" spans="2:12" x14ac:dyDescent="0.15">
      <c r="B417" s="281">
        <v>410</v>
      </c>
      <c r="C417" s="294">
        <v>21156.804060257589</v>
      </c>
      <c r="D417" s="392">
        <v>6.3679790941974597</v>
      </c>
      <c r="E417" s="294">
        <v>21430.335141398129</v>
      </c>
      <c r="F417" s="272">
        <v>6.4110886074904547</v>
      </c>
      <c r="G417" s="272">
        <v>273.53108114053975</v>
      </c>
      <c r="H417" s="277">
        <v>4.3109513292995061E-2</v>
      </c>
      <c r="J417" s="294">
        <f t="shared" si="18"/>
        <v>169882.56876566619</v>
      </c>
      <c r="K417" s="294">
        <f t="shared" si="19"/>
        <v>170902.32308331551</v>
      </c>
      <c r="L417" s="281">
        <f t="shared" si="20"/>
        <v>1</v>
      </c>
    </row>
    <row r="418" spans="2:12" x14ac:dyDescent="0.15">
      <c r="B418" s="281">
        <v>411</v>
      </c>
      <c r="C418" s="294">
        <v>20659.274445456565</v>
      </c>
      <c r="D418" s="392">
        <v>6.2239201433442348</v>
      </c>
      <c r="E418" s="294">
        <v>20837.22022150164</v>
      </c>
      <c r="F418" s="272">
        <v>6.2193610575786229</v>
      </c>
      <c r="G418" s="272">
        <v>177.94577604507504</v>
      </c>
      <c r="H418" s="277">
        <v>-4.5590857656119255E-3</v>
      </c>
      <c r="J418" s="294">
        <f t="shared" si="18"/>
        <v>166058.32985487048</v>
      </c>
      <c r="K418" s="294">
        <f t="shared" si="19"/>
        <v>165743.61150585706</v>
      </c>
      <c r="L418" s="281">
        <f t="shared" si="20"/>
        <v>0</v>
      </c>
    </row>
    <row r="419" spans="2:12" x14ac:dyDescent="0.15">
      <c r="B419" s="281">
        <v>412</v>
      </c>
      <c r="C419" s="294">
        <v>22155.126260411183</v>
      </c>
      <c r="D419" s="392">
        <v>6.2416567457908982</v>
      </c>
      <c r="E419" s="294">
        <v>22353.558474152844</v>
      </c>
      <c r="F419" s="272">
        <v>6.3055695198463377</v>
      </c>
      <c r="G419" s="272">
        <v>198.43221374166023</v>
      </c>
      <c r="H419" s="277">
        <v>6.3912774055439492E-2</v>
      </c>
      <c r="J419" s="294">
        <f t="shared" si="18"/>
        <v>165094.57611331576</v>
      </c>
      <c r="K419" s="294">
        <f t="shared" si="19"/>
        <v>166813.52712123728</v>
      </c>
      <c r="L419" s="281">
        <f t="shared" si="20"/>
        <v>1</v>
      </c>
    </row>
    <row r="420" spans="2:12" x14ac:dyDescent="0.15">
      <c r="B420" s="281">
        <v>413</v>
      </c>
      <c r="C420" s="294">
        <v>21131.907913282677</v>
      </c>
      <c r="D420" s="392">
        <v>6.2799784495109066</v>
      </c>
      <c r="E420" s="294">
        <v>21328.881071504838</v>
      </c>
      <c r="F420" s="272">
        <v>6.3150854987722926</v>
      </c>
      <c r="G420" s="272">
        <v>196.97315822216115</v>
      </c>
      <c r="H420" s="277">
        <v>3.5107049261386081E-2</v>
      </c>
      <c r="J420" s="294">
        <f t="shared" si="18"/>
        <v>167267.4455720445</v>
      </c>
      <c r="K420" s="294">
        <f t="shared" si="19"/>
        <v>168123.68389166394</v>
      </c>
      <c r="L420" s="281">
        <f t="shared" si="20"/>
        <v>1</v>
      </c>
    </row>
    <row r="421" spans="2:12" x14ac:dyDescent="0.15">
      <c r="B421" s="281">
        <v>414</v>
      </c>
      <c r="C421" s="294">
        <v>20443.636797822146</v>
      </c>
      <c r="D421" s="392">
        <v>6.1313576289372609</v>
      </c>
      <c r="E421" s="294">
        <v>20641.799448585589</v>
      </c>
      <c r="F421" s="272">
        <v>6.1630591125258345</v>
      </c>
      <c r="G421" s="272">
        <v>198.1626507634428</v>
      </c>
      <c r="H421" s="277">
        <v>3.1701483588573609E-2</v>
      </c>
      <c r="J421" s="294">
        <f t="shared" si="18"/>
        <v>163497.09207029568</v>
      </c>
      <c r="K421" s="294">
        <f t="shared" si="19"/>
        <v>164249.97392718942</v>
      </c>
      <c r="L421" s="281">
        <f t="shared" si="20"/>
        <v>1</v>
      </c>
    </row>
    <row r="422" spans="2:12" x14ac:dyDescent="0.15">
      <c r="B422" s="281">
        <v>415</v>
      </c>
      <c r="C422" s="294">
        <v>20233.502114194031</v>
      </c>
      <c r="D422" s="392">
        <v>6.3531194199396879</v>
      </c>
      <c r="E422" s="294">
        <v>20437.390080782498</v>
      </c>
      <c r="F422" s="272">
        <v>6.3767348878738783</v>
      </c>
      <c r="G422" s="272">
        <v>203.88796658846695</v>
      </c>
      <c r="H422" s="277">
        <v>2.3615467934190448E-2</v>
      </c>
      <c r="J422" s="294">
        <f t="shared" si="18"/>
        <v>170360.0804839966</v>
      </c>
      <c r="K422" s="294">
        <f t="shared" si="19"/>
        <v>170864.65655543384</v>
      </c>
      <c r="L422" s="281">
        <f t="shared" si="20"/>
        <v>1</v>
      </c>
    </row>
    <row r="423" spans="2:12" x14ac:dyDescent="0.15">
      <c r="B423" s="281">
        <v>416</v>
      </c>
      <c r="C423" s="294">
        <v>22910.258700446488</v>
      </c>
      <c r="D423" s="392">
        <v>6.3556466218967778</v>
      </c>
      <c r="E423" s="294">
        <v>23236.617339306846</v>
      </c>
      <c r="F423" s="272">
        <v>6.417606353503098</v>
      </c>
      <c r="G423" s="272">
        <v>326.35863886035804</v>
      </c>
      <c r="H423" s="277">
        <v>6.195973160632029E-2</v>
      </c>
      <c r="J423" s="294">
        <f t="shared" si="18"/>
        <v>167759.13995645684</v>
      </c>
      <c r="K423" s="294">
        <f t="shared" si="19"/>
        <v>169291.57326578611</v>
      </c>
      <c r="L423" s="281">
        <f t="shared" si="20"/>
        <v>1</v>
      </c>
    </row>
    <row r="424" spans="2:12" x14ac:dyDescent="0.15">
      <c r="B424" s="281">
        <v>417</v>
      </c>
      <c r="C424" s="294">
        <v>21911.70520985447</v>
      </c>
      <c r="D424" s="392">
        <v>6.2125982783314226</v>
      </c>
      <c r="E424" s="294">
        <v>22149.668833163621</v>
      </c>
      <c r="F424" s="272">
        <v>6.2327138018505348</v>
      </c>
      <c r="G424" s="272">
        <v>237.96362330915144</v>
      </c>
      <c r="H424" s="277">
        <v>2.0115523519112166E-2</v>
      </c>
      <c r="J424" s="294">
        <f t="shared" si="18"/>
        <v>164466.24314008822</v>
      </c>
      <c r="K424" s="294">
        <f t="shared" si="19"/>
        <v>164831.74522235242</v>
      </c>
      <c r="L424" s="281">
        <f t="shared" si="20"/>
        <v>1</v>
      </c>
    </row>
    <row r="425" spans="2:12" x14ac:dyDescent="0.15">
      <c r="B425" s="281">
        <v>418</v>
      </c>
      <c r="C425" s="294">
        <v>21796.492270645507</v>
      </c>
      <c r="D425" s="392">
        <v>6.3731579495648951</v>
      </c>
      <c r="E425" s="294">
        <v>22048.277451267724</v>
      </c>
      <c r="F425" s="272">
        <v>6.4096162292263479</v>
      </c>
      <c r="G425" s="272">
        <v>251.78518062221701</v>
      </c>
      <c r="H425" s="277">
        <v>3.6458279661452764E-2</v>
      </c>
      <c r="J425" s="294">
        <f t="shared" si="18"/>
        <v>169398.24621630134</v>
      </c>
      <c r="K425" s="294">
        <f t="shared" si="19"/>
        <v>170240.20942552271</v>
      </c>
      <c r="L425" s="281">
        <f t="shared" si="20"/>
        <v>1</v>
      </c>
    </row>
    <row r="426" spans="2:12" x14ac:dyDescent="0.15">
      <c r="B426" s="281">
        <v>419</v>
      </c>
      <c r="C426" s="294">
        <v>21897.88947214431</v>
      </c>
      <c r="D426" s="392">
        <v>6.2170306146420229</v>
      </c>
      <c r="E426" s="294">
        <v>22180.831550748739</v>
      </c>
      <c r="F426" s="272">
        <v>6.2742116795703442</v>
      </c>
      <c r="G426" s="272">
        <v>282.94207860442839</v>
      </c>
      <c r="H426" s="277">
        <v>5.7181064928321312E-2</v>
      </c>
      <c r="J426" s="294">
        <f t="shared" si="18"/>
        <v>164613.02896711638</v>
      </c>
      <c r="K426" s="294">
        <f t="shared" si="19"/>
        <v>166045.51883636159</v>
      </c>
      <c r="L426" s="281">
        <f t="shared" si="20"/>
        <v>1</v>
      </c>
    </row>
    <row r="427" spans="2:12" x14ac:dyDescent="0.15">
      <c r="B427" s="281">
        <v>420</v>
      </c>
      <c r="C427" s="294">
        <v>20734.84765289682</v>
      </c>
      <c r="D427" s="392">
        <v>6.3435796101335447</v>
      </c>
      <c r="E427" s="294">
        <v>20928.327039145377</v>
      </c>
      <c r="F427" s="272">
        <v>6.392003914932558</v>
      </c>
      <c r="G427" s="272">
        <v>193.47938624855669</v>
      </c>
      <c r="H427" s="277">
        <v>4.8424304799013385E-2</v>
      </c>
      <c r="J427" s="294">
        <f t="shared" si="18"/>
        <v>169572.54065110951</v>
      </c>
      <c r="K427" s="294">
        <f t="shared" si="19"/>
        <v>170831.79040883138</v>
      </c>
      <c r="L427" s="281">
        <f t="shared" si="20"/>
        <v>1</v>
      </c>
    </row>
    <row r="428" spans="2:12" x14ac:dyDescent="0.15">
      <c r="B428" s="281">
        <v>421</v>
      </c>
      <c r="C428" s="294">
        <v>20810.920469780511</v>
      </c>
      <c r="D428" s="392">
        <v>6.33805532594514</v>
      </c>
      <c r="E428" s="294">
        <v>20971.60875768217</v>
      </c>
      <c r="F428" s="272">
        <v>6.3565665619810519</v>
      </c>
      <c r="G428" s="272">
        <v>160.68828790165935</v>
      </c>
      <c r="H428" s="277">
        <v>1.8511236035911871E-2</v>
      </c>
      <c r="J428" s="294">
        <f t="shared" si="18"/>
        <v>169330.73930857368</v>
      </c>
      <c r="K428" s="294">
        <f t="shared" si="19"/>
        <v>169725.38810174938</v>
      </c>
      <c r="L428" s="281">
        <f t="shared" si="20"/>
        <v>1</v>
      </c>
    </row>
    <row r="429" spans="2:12" x14ac:dyDescent="0.15">
      <c r="B429" s="281">
        <v>422</v>
      </c>
      <c r="C429" s="294">
        <v>22068.974334189665</v>
      </c>
      <c r="D429" s="392">
        <v>6.2235236906252611</v>
      </c>
      <c r="E429" s="294">
        <v>22405.268750019219</v>
      </c>
      <c r="F429" s="272">
        <v>6.2416990930171066</v>
      </c>
      <c r="G429" s="272">
        <v>336.29441582955405</v>
      </c>
      <c r="H429" s="277">
        <v>1.8175402391845452E-2</v>
      </c>
      <c r="J429" s="294">
        <f t="shared" si="18"/>
        <v>164636.73638456815</v>
      </c>
      <c r="K429" s="294">
        <f t="shared" si="19"/>
        <v>164845.70404049396</v>
      </c>
      <c r="L429" s="281">
        <f t="shared" si="20"/>
        <v>1</v>
      </c>
    </row>
    <row r="430" spans="2:12" x14ac:dyDescent="0.15">
      <c r="B430" s="281">
        <v>423</v>
      </c>
      <c r="C430" s="294">
        <v>22145.680075395976</v>
      </c>
      <c r="D430" s="392">
        <v>6.2893560682406617</v>
      </c>
      <c r="E430" s="294">
        <v>22262.986707656499</v>
      </c>
      <c r="F430" s="272">
        <v>6.3034680191614658</v>
      </c>
      <c r="G430" s="272">
        <v>117.30663226052275</v>
      </c>
      <c r="H430" s="277">
        <v>1.4111950920804084E-2</v>
      </c>
      <c r="J430" s="294">
        <f t="shared" si="18"/>
        <v>166535.00197182389</v>
      </c>
      <c r="K430" s="294">
        <f t="shared" si="19"/>
        <v>166841.05386718747</v>
      </c>
      <c r="L430" s="281">
        <f t="shared" si="20"/>
        <v>1</v>
      </c>
    </row>
    <row r="431" spans="2:12" x14ac:dyDescent="0.15">
      <c r="B431" s="281">
        <v>424</v>
      </c>
      <c r="C431" s="294">
        <v>21375.248134488746</v>
      </c>
      <c r="D431" s="392">
        <v>6.2374363603991752</v>
      </c>
      <c r="E431" s="294">
        <v>21644.292924805264</v>
      </c>
      <c r="F431" s="272">
        <v>6.2811348252734298</v>
      </c>
      <c r="G431" s="272">
        <v>269.04479031651863</v>
      </c>
      <c r="H431" s="277">
        <v>4.3698464874254661E-2</v>
      </c>
      <c r="J431" s="294">
        <f t="shared" si="18"/>
        <v>165747.84267748651</v>
      </c>
      <c r="K431" s="294">
        <f t="shared" si="19"/>
        <v>166789.75183339763</v>
      </c>
      <c r="L431" s="281">
        <f t="shared" si="20"/>
        <v>1</v>
      </c>
    </row>
    <row r="432" spans="2:12" x14ac:dyDescent="0.15">
      <c r="B432" s="281">
        <v>425</v>
      </c>
      <c r="C432" s="294">
        <v>22877.866634392103</v>
      </c>
      <c r="D432" s="392">
        <v>6.3215744212009675</v>
      </c>
      <c r="E432" s="294">
        <v>23055.003378849673</v>
      </c>
      <c r="F432" s="272">
        <v>6.3594326200601978</v>
      </c>
      <c r="G432" s="272">
        <v>177.13674445756988</v>
      </c>
      <c r="H432" s="277">
        <v>3.7858198859230363E-2</v>
      </c>
      <c r="J432" s="294">
        <f t="shared" si="18"/>
        <v>166769.36600163692</v>
      </c>
      <c r="K432" s="294">
        <f t="shared" si="19"/>
        <v>167727.97522295624</v>
      </c>
      <c r="L432" s="281">
        <f t="shared" si="20"/>
        <v>1</v>
      </c>
    </row>
    <row r="433" spans="2:12" x14ac:dyDescent="0.15">
      <c r="B433" s="281">
        <v>426</v>
      </c>
      <c r="C433" s="294">
        <v>22161.617349058146</v>
      </c>
      <c r="D433" s="392">
        <v>6.2045218381876923</v>
      </c>
      <c r="E433" s="294">
        <v>22388.949613691442</v>
      </c>
      <c r="F433" s="272">
        <v>6.2388835531980291</v>
      </c>
      <c r="G433" s="272">
        <v>227.33226463329629</v>
      </c>
      <c r="H433" s="277">
        <v>3.4361715010336802E-2</v>
      </c>
      <c r="J433" s="294">
        <f t="shared" si="18"/>
        <v>163974.03779657261</v>
      </c>
      <c r="K433" s="294">
        <f t="shared" si="19"/>
        <v>164777.55698224943</v>
      </c>
      <c r="L433" s="281">
        <f t="shared" si="20"/>
        <v>1</v>
      </c>
    </row>
    <row r="434" spans="2:12" x14ac:dyDescent="0.15">
      <c r="B434" s="281">
        <v>427</v>
      </c>
      <c r="C434" s="294">
        <v>20652.849830346164</v>
      </c>
      <c r="D434" s="392">
        <v>6.2438932388138966</v>
      </c>
      <c r="E434" s="294">
        <v>20851.939388045877</v>
      </c>
      <c r="F434" s="272">
        <v>6.2786662517906562</v>
      </c>
      <c r="G434" s="272">
        <v>199.08955769971362</v>
      </c>
      <c r="H434" s="277">
        <v>3.477301297675961E-2</v>
      </c>
      <c r="J434" s="294">
        <f t="shared" si="18"/>
        <v>166663.94733407075</v>
      </c>
      <c r="K434" s="294">
        <f t="shared" si="19"/>
        <v>167508.04816567383</v>
      </c>
      <c r="L434" s="281">
        <f t="shared" si="20"/>
        <v>1</v>
      </c>
    </row>
    <row r="435" spans="2:12" x14ac:dyDescent="0.15">
      <c r="B435" s="281">
        <v>428</v>
      </c>
      <c r="C435" s="294">
        <v>22221.938774793805</v>
      </c>
      <c r="D435" s="392">
        <v>6.2356416354985846</v>
      </c>
      <c r="E435" s="294">
        <v>22439.180105672996</v>
      </c>
      <c r="F435" s="272">
        <v>6.265650277967886</v>
      </c>
      <c r="G435" s="272">
        <v>217.24133087919108</v>
      </c>
      <c r="H435" s="277">
        <v>3.000864246930135E-2</v>
      </c>
      <c r="J435" s="294">
        <f t="shared" si="18"/>
        <v>164847.31029016373</v>
      </c>
      <c r="K435" s="294">
        <f t="shared" si="19"/>
        <v>165530.32823336357</v>
      </c>
      <c r="L435" s="281">
        <f t="shared" si="20"/>
        <v>1</v>
      </c>
    </row>
    <row r="436" spans="2:12" x14ac:dyDescent="0.15">
      <c r="B436" s="281">
        <v>429</v>
      </c>
      <c r="C436" s="294">
        <v>22922.487115745036</v>
      </c>
      <c r="D436" s="392">
        <v>6.2805380404034992</v>
      </c>
      <c r="E436" s="294">
        <v>23213.145547646265</v>
      </c>
      <c r="F436" s="272">
        <v>6.3354251099693943</v>
      </c>
      <c r="G436" s="272">
        <v>290.65843190122905</v>
      </c>
      <c r="H436" s="277">
        <v>5.4887069565895175E-2</v>
      </c>
      <c r="J436" s="294">
        <f t="shared" si="18"/>
        <v>165493.65409635994</v>
      </c>
      <c r="K436" s="294">
        <f t="shared" si="19"/>
        <v>166849.60775143557</v>
      </c>
      <c r="L436" s="281">
        <f t="shared" si="20"/>
        <v>1</v>
      </c>
    </row>
    <row r="437" spans="2:12" x14ac:dyDescent="0.15">
      <c r="B437" s="281">
        <v>430</v>
      </c>
      <c r="C437" s="294">
        <v>20884.239663751945</v>
      </c>
      <c r="D437" s="392">
        <v>6.2740947743753965</v>
      </c>
      <c r="E437" s="294">
        <v>21055.246210771355</v>
      </c>
      <c r="F437" s="272">
        <v>6.2848292945709954</v>
      </c>
      <c r="G437" s="272">
        <v>171.00654701940948</v>
      </c>
      <c r="H437" s="277">
        <v>1.073452019559884E-2</v>
      </c>
      <c r="J437" s="294">
        <f t="shared" si="18"/>
        <v>167338.60356750994</v>
      </c>
      <c r="K437" s="294">
        <f t="shared" si="19"/>
        <v>167489.63262635851</v>
      </c>
      <c r="L437" s="281">
        <f t="shared" si="20"/>
        <v>1</v>
      </c>
    </row>
    <row r="438" spans="2:12" x14ac:dyDescent="0.15">
      <c r="B438" s="281">
        <v>431</v>
      </c>
      <c r="C438" s="294">
        <v>21290.378833432107</v>
      </c>
      <c r="D438" s="392">
        <v>6.30347936263645</v>
      </c>
      <c r="E438" s="294">
        <v>21650.11308905913</v>
      </c>
      <c r="F438" s="272">
        <v>6.3781559479965448</v>
      </c>
      <c r="G438" s="272">
        <v>359.73425562702323</v>
      </c>
      <c r="H438" s="277">
        <v>7.4676585360094805E-2</v>
      </c>
      <c r="J438" s="294">
        <f t="shared" si="18"/>
        <v>167814.00204566141</v>
      </c>
      <c r="K438" s="294">
        <f t="shared" si="19"/>
        <v>169694.56535083722</v>
      </c>
      <c r="L438" s="281">
        <f t="shared" si="20"/>
        <v>1</v>
      </c>
    </row>
    <row r="439" spans="2:12" x14ac:dyDescent="0.15">
      <c r="B439" s="281">
        <v>432</v>
      </c>
      <c r="C439" s="294">
        <v>21823.178174374982</v>
      </c>
      <c r="D439" s="392">
        <v>6.2986253982079994</v>
      </c>
      <c r="E439" s="294">
        <v>22140.219491627879</v>
      </c>
      <c r="F439" s="272">
        <v>6.361105993607115</v>
      </c>
      <c r="G439" s="272">
        <v>317.04131725289699</v>
      </c>
      <c r="H439" s="277">
        <v>6.2480595399115657E-2</v>
      </c>
      <c r="J439" s="294">
        <f t="shared" si="18"/>
        <v>167135.583771865</v>
      </c>
      <c r="K439" s="294">
        <f t="shared" si="19"/>
        <v>168692.96031658558</v>
      </c>
      <c r="L439" s="281">
        <f t="shared" si="20"/>
        <v>1</v>
      </c>
    </row>
    <row r="440" spans="2:12" x14ac:dyDescent="0.15">
      <c r="B440" s="281">
        <v>433</v>
      </c>
      <c r="C440" s="294">
        <v>19985.499353985426</v>
      </c>
      <c r="D440" s="392">
        <v>6.2704969257255829</v>
      </c>
      <c r="E440" s="294">
        <v>20271.718331840697</v>
      </c>
      <c r="F440" s="272">
        <v>6.2967658309033148</v>
      </c>
      <c r="G440" s="272">
        <v>286.21897785527108</v>
      </c>
      <c r="H440" s="277">
        <v>2.6268905177731838E-2</v>
      </c>
      <c r="J440" s="294">
        <f t="shared" si="18"/>
        <v>168129.40841778208</v>
      </c>
      <c r="K440" s="294">
        <f t="shared" si="19"/>
        <v>168631.25659525875</v>
      </c>
      <c r="L440" s="281">
        <f t="shared" si="20"/>
        <v>1</v>
      </c>
    </row>
    <row r="441" spans="2:12" x14ac:dyDescent="0.15">
      <c r="B441" s="281">
        <v>434</v>
      </c>
      <c r="C441" s="294">
        <v>21261.433636625639</v>
      </c>
      <c r="D441" s="392">
        <v>6.2307225483096813</v>
      </c>
      <c r="E441" s="294">
        <v>21447.237593859554</v>
      </c>
      <c r="F441" s="272">
        <v>6.2872066356420975</v>
      </c>
      <c r="G441" s="272">
        <v>185.80395723391484</v>
      </c>
      <c r="H441" s="277">
        <v>5.6484087332416166E-2</v>
      </c>
      <c r="J441" s="294">
        <f t="shared" si="18"/>
        <v>165660.2428126648</v>
      </c>
      <c r="K441" s="294">
        <f t="shared" si="19"/>
        <v>167168.96147540337</v>
      </c>
      <c r="L441" s="281">
        <f t="shared" si="20"/>
        <v>1</v>
      </c>
    </row>
    <row r="442" spans="2:12" x14ac:dyDescent="0.15">
      <c r="B442" s="281">
        <v>435</v>
      </c>
      <c r="C442" s="294">
        <v>22948.129932293494</v>
      </c>
      <c r="D442" s="392">
        <v>6.208086475584051</v>
      </c>
      <c r="E442" s="294">
        <v>23270.935936178674</v>
      </c>
      <c r="F442" s="272">
        <v>6.2520342413896488</v>
      </c>
      <c r="G442" s="272">
        <v>322.80600388517996</v>
      </c>
      <c r="H442" s="277">
        <v>4.3947765805597783E-2</v>
      </c>
      <c r="J442" s="294">
        <f t="shared" si="18"/>
        <v>163294.46433522803</v>
      </c>
      <c r="K442" s="294">
        <f t="shared" si="19"/>
        <v>164290.09130551081</v>
      </c>
      <c r="L442" s="281">
        <f t="shared" si="20"/>
        <v>1</v>
      </c>
    </row>
    <row r="443" spans="2:12" x14ac:dyDescent="0.15">
      <c r="B443" s="281">
        <v>436</v>
      </c>
      <c r="C443" s="294">
        <v>22008.752687320775</v>
      </c>
      <c r="D443" s="392">
        <v>6.291126374922885</v>
      </c>
      <c r="E443" s="294">
        <v>22341.044641076696</v>
      </c>
      <c r="F443" s="272">
        <v>6.3335939776686061</v>
      </c>
      <c r="G443" s="272">
        <v>332.29195375592099</v>
      </c>
      <c r="H443" s="277">
        <v>4.2467602745721145E-2</v>
      </c>
      <c r="J443" s="294">
        <f t="shared" si="18"/>
        <v>166725.03856036576</v>
      </c>
      <c r="K443" s="294">
        <f t="shared" si="19"/>
        <v>167666.77468898147</v>
      </c>
      <c r="L443" s="281">
        <f t="shared" si="20"/>
        <v>1</v>
      </c>
    </row>
    <row r="444" spans="2:12" x14ac:dyDescent="0.15">
      <c r="B444" s="281">
        <v>437</v>
      </c>
      <c r="C444" s="294">
        <v>21577.398397438967</v>
      </c>
      <c r="D444" s="392">
        <v>6.2752458716263551</v>
      </c>
      <c r="E444" s="294">
        <v>21816.334110170072</v>
      </c>
      <c r="F444" s="272">
        <v>6.3117095462811941</v>
      </c>
      <c r="G444" s="272">
        <v>238.93571273110501</v>
      </c>
      <c r="H444" s="277">
        <v>3.6463674654839018E-2</v>
      </c>
      <c r="J444" s="294">
        <f t="shared" si="18"/>
        <v>166679.97775135169</v>
      </c>
      <c r="K444" s="294">
        <f t="shared" si="19"/>
        <v>167534.95227826573</v>
      </c>
      <c r="L444" s="281">
        <f t="shared" si="20"/>
        <v>1</v>
      </c>
    </row>
    <row r="445" spans="2:12" x14ac:dyDescent="0.15">
      <c r="B445" s="281">
        <v>438</v>
      </c>
      <c r="C445" s="294">
        <v>21661.688618249467</v>
      </c>
      <c r="D445" s="392">
        <v>6.2866426027865412</v>
      </c>
      <c r="E445" s="294">
        <v>21883.27515832756</v>
      </c>
      <c r="F445" s="272">
        <v>6.3282336919993885</v>
      </c>
      <c r="G445" s="272">
        <v>221.58654007809309</v>
      </c>
      <c r="H445" s="277">
        <v>4.1591089212847265E-2</v>
      </c>
      <c r="J445" s="294">
        <f t="shared" si="18"/>
        <v>166937.58946534677</v>
      </c>
      <c r="K445" s="294">
        <f t="shared" si="19"/>
        <v>167963.73560165407</v>
      </c>
      <c r="L445" s="281">
        <f t="shared" si="20"/>
        <v>1</v>
      </c>
    </row>
    <row r="446" spans="2:12" x14ac:dyDescent="0.15">
      <c r="B446" s="281">
        <v>439</v>
      </c>
      <c r="C446" s="294">
        <v>19758.599456124146</v>
      </c>
      <c r="D446" s="392">
        <v>6.3125730313744572</v>
      </c>
      <c r="E446" s="294">
        <v>20006.305337725986</v>
      </c>
      <c r="F446" s="272">
        <v>6.3680351944967839</v>
      </c>
      <c r="G446" s="272">
        <v>247.70588160183979</v>
      </c>
      <c r="H446" s="277">
        <v>5.5462163122326658E-2</v>
      </c>
      <c r="J446" s="294">
        <f t="shared" si="18"/>
        <v>169618.59148510956</v>
      </c>
      <c r="K446" s="294">
        <f t="shared" si="19"/>
        <v>171034.75049717753</v>
      </c>
      <c r="L446" s="281">
        <f t="shared" si="20"/>
        <v>1</v>
      </c>
    </row>
    <row r="447" spans="2:12" x14ac:dyDescent="0.15">
      <c r="B447" s="281">
        <v>440</v>
      </c>
      <c r="C447" s="294">
        <v>21219.259201136858</v>
      </c>
      <c r="D447" s="392">
        <v>6.2966339964094979</v>
      </c>
      <c r="E447" s="294">
        <v>21538.250732127402</v>
      </c>
      <c r="F447" s="272">
        <v>6.3741670958638892</v>
      </c>
      <c r="G447" s="272">
        <v>318.99153099054456</v>
      </c>
      <c r="H447" s="277">
        <v>7.7533099454391241E-2</v>
      </c>
      <c r="J447" s="294">
        <f t="shared" si="18"/>
        <v>167679.76069114808</v>
      </c>
      <c r="K447" s="294">
        <f t="shared" si="19"/>
        <v>169686.76214378927</v>
      </c>
      <c r="L447" s="281">
        <f t="shared" si="20"/>
        <v>1</v>
      </c>
    </row>
    <row r="448" spans="2:12" x14ac:dyDescent="0.15">
      <c r="B448" s="281">
        <v>441</v>
      </c>
      <c r="C448" s="294">
        <v>22373.306354739321</v>
      </c>
      <c r="D448" s="392">
        <v>6.2550820939724563</v>
      </c>
      <c r="E448" s="294">
        <v>22594.293889411507</v>
      </c>
      <c r="F448" s="272">
        <v>6.3142068743265485</v>
      </c>
      <c r="G448" s="272">
        <v>220.98753467218557</v>
      </c>
      <c r="H448" s="277">
        <v>5.9124780354092188E-2</v>
      </c>
      <c r="J448" s="294">
        <f t="shared" si="18"/>
        <v>165279.15646443437</v>
      </c>
      <c r="K448" s="294">
        <f t="shared" si="19"/>
        <v>166831.91234038497</v>
      </c>
      <c r="L448" s="281">
        <f t="shared" si="20"/>
        <v>1</v>
      </c>
    </row>
    <row r="449" spans="2:12" x14ac:dyDescent="0.15">
      <c r="B449" s="281">
        <v>442</v>
      </c>
      <c r="C449" s="294">
        <v>21527.246209490251</v>
      </c>
      <c r="D449" s="392">
        <v>6.3100766514574742</v>
      </c>
      <c r="E449" s="294">
        <v>21725.672243665591</v>
      </c>
      <c r="F449" s="272">
        <v>6.347952792102233</v>
      </c>
      <c r="G449" s="272">
        <v>198.42603417533974</v>
      </c>
      <c r="H449" s="277">
        <v>3.7876140644758749E-2</v>
      </c>
      <c r="J449" s="294">
        <f t="shared" si="18"/>
        <v>167775.05333423396</v>
      </c>
      <c r="K449" s="294">
        <f t="shared" si="19"/>
        <v>168712.91151940142</v>
      </c>
      <c r="L449" s="281">
        <f t="shared" si="20"/>
        <v>1</v>
      </c>
    </row>
    <row r="450" spans="2:12" x14ac:dyDescent="0.15">
      <c r="B450" s="281">
        <v>443</v>
      </c>
      <c r="C450" s="294">
        <v>21758.502908109745</v>
      </c>
      <c r="D450" s="392">
        <v>6.2617994956575753</v>
      </c>
      <c r="E450" s="294">
        <v>21945.004165996383</v>
      </c>
      <c r="F450" s="272">
        <v>6.2962603370041137</v>
      </c>
      <c r="G450" s="272">
        <v>186.50125788663718</v>
      </c>
      <c r="H450" s="277">
        <v>3.4460841346538373E-2</v>
      </c>
      <c r="J450" s="294">
        <f t="shared" si="18"/>
        <v>166095.48196161751</v>
      </c>
      <c r="K450" s="294">
        <f t="shared" si="19"/>
        <v>166942.80594412703</v>
      </c>
      <c r="L450" s="281">
        <f t="shared" si="20"/>
        <v>1</v>
      </c>
    </row>
    <row r="451" spans="2:12" x14ac:dyDescent="0.15">
      <c r="B451" s="281">
        <v>444</v>
      </c>
      <c r="C451" s="294">
        <v>19435.782743268675</v>
      </c>
      <c r="D451" s="392">
        <v>6.3487986843436568</v>
      </c>
      <c r="E451" s="294">
        <v>19637.424654912702</v>
      </c>
      <c r="F451" s="272">
        <v>6.4046768130705303</v>
      </c>
      <c r="G451" s="272">
        <v>201.64191164402655</v>
      </c>
      <c r="H451" s="277">
        <v>5.5878128726873477E-2</v>
      </c>
      <c r="J451" s="294">
        <f t="shared" si="18"/>
        <v>171028.17778704103</v>
      </c>
      <c r="K451" s="294">
        <f t="shared" si="19"/>
        <v>172502.87973720321</v>
      </c>
      <c r="L451" s="281">
        <f t="shared" si="20"/>
        <v>1</v>
      </c>
    </row>
    <row r="452" spans="2:12" x14ac:dyDescent="0.15">
      <c r="B452" s="281">
        <v>445</v>
      </c>
      <c r="C452" s="294">
        <v>22326.736557558565</v>
      </c>
      <c r="D452" s="392">
        <v>6.1713947112692225</v>
      </c>
      <c r="E452" s="294">
        <v>22386.571044906126</v>
      </c>
      <c r="F452" s="272">
        <v>6.1727143762795444</v>
      </c>
      <c r="G452" s="272">
        <v>59.834487347561662</v>
      </c>
      <c r="H452" s="277">
        <v>1.3196650103219909E-3</v>
      </c>
      <c r="J452" s="294">
        <f t="shared" si="18"/>
        <v>162815.10478051813</v>
      </c>
      <c r="K452" s="294">
        <f t="shared" si="19"/>
        <v>162794.86024348022</v>
      </c>
      <c r="L452" s="281">
        <f t="shared" si="20"/>
        <v>0</v>
      </c>
    </row>
    <row r="453" spans="2:12" x14ac:dyDescent="0.15">
      <c r="B453" s="281">
        <v>446</v>
      </c>
      <c r="C453" s="294">
        <v>22275.359770027997</v>
      </c>
      <c r="D453" s="392">
        <v>6.3814364660672043</v>
      </c>
      <c r="E453" s="294">
        <v>22546.323286308725</v>
      </c>
      <c r="F453" s="272">
        <v>6.4458657185855817</v>
      </c>
      <c r="G453" s="272">
        <v>270.96351628072807</v>
      </c>
      <c r="H453" s="277">
        <v>6.4429252518377389E-2</v>
      </c>
      <c r="J453" s="294">
        <f t="shared" si="18"/>
        <v>169167.73421198811</v>
      </c>
      <c r="K453" s="294">
        <f t="shared" si="19"/>
        <v>170829.64827125872</v>
      </c>
      <c r="L453" s="281">
        <f t="shared" si="20"/>
        <v>1</v>
      </c>
    </row>
    <row r="454" spans="2:12" x14ac:dyDescent="0.15">
      <c r="B454" s="281">
        <v>447</v>
      </c>
      <c r="C454" s="294">
        <v>20819.505552969626</v>
      </c>
      <c r="D454" s="392">
        <v>6.335170350315245</v>
      </c>
      <c r="E454" s="294">
        <v>21093.794677640923</v>
      </c>
      <c r="F454" s="272">
        <v>6.3853631954088925</v>
      </c>
      <c r="G454" s="272">
        <v>274.28912467129703</v>
      </c>
      <c r="H454" s="277">
        <v>5.019284509364752E-2</v>
      </c>
      <c r="J454" s="294">
        <f t="shared" si="18"/>
        <v>169235.60495648772</v>
      </c>
      <c r="K454" s="294">
        <f t="shared" si="19"/>
        <v>170467.10118462585</v>
      </c>
      <c r="L454" s="281">
        <f t="shared" si="20"/>
        <v>1</v>
      </c>
    </row>
    <row r="455" spans="2:12" x14ac:dyDescent="0.15">
      <c r="B455" s="281">
        <v>448</v>
      </c>
      <c r="C455" s="294">
        <v>21513.595728502496</v>
      </c>
      <c r="D455" s="392">
        <v>6.402365101011811</v>
      </c>
      <c r="E455" s="294">
        <v>21702.709634220319</v>
      </c>
      <c r="F455" s="272">
        <v>6.4086120688098562</v>
      </c>
      <c r="G455" s="272">
        <v>189.11390571782249</v>
      </c>
      <c r="H455" s="277">
        <v>6.2469677980452332E-3</v>
      </c>
      <c r="J455" s="294">
        <f t="shared" si="18"/>
        <v>170557.35730185185</v>
      </c>
      <c r="K455" s="294">
        <f t="shared" si="19"/>
        <v>170555.65243007537</v>
      </c>
      <c r="L455" s="281">
        <f t="shared" si="20"/>
        <v>0</v>
      </c>
    </row>
    <row r="456" spans="2:12" x14ac:dyDescent="0.15">
      <c r="B456" s="281">
        <v>449</v>
      </c>
      <c r="C456" s="294">
        <v>22427.203206792095</v>
      </c>
      <c r="D456" s="392">
        <v>6.3344063260704404</v>
      </c>
      <c r="E456" s="294">
        <v>22649.547296945835</v>
      </c>
      <c r="F456" s="272">
        <v>6.3859898492378102</v>
      </c>
      <c r="G456" s="272">
        <v>222.34409015373967</v>
      </c>
      <c r="H456" s="277">
        <v>5.1583523167369805E-2</v>
      </c>
      <c r="J456" s="294">
        <f t="shared" ref="J456:J519" si="21">(D456*wtp)-C456</f>
        <v>167604.98657532112</v>
      </c>
      <c r="K456" s="294">
        <f t="shared" ref="K456:K519" si="22">(F456*wtp)-E456</f>
        <v>168930.14818018849</v>
      </c>
      <c r="L456" s="281">
        <f t="shared" si="20"/>
        <v>1</v>
      </c>
    </row>
    <row r="457" spans="2:12" x14ac:dyDescent="0.15">
      <c r="B457" s="281">
        <v>450</v>
      </c>
      <c r="C457" s="294">
        <v>22569.006786412352</v>
      </c>
      <c r="D457" s="392">
        <v>6.3506812682877145</v>
      </c>
      <c r="E457" s="294">
        <v>22794.578541158418</v>
      </c>
      <c r="F457" s="272">
        <v>6.392730565219507</v>
      </c>
      <c r="G457" s="272">
        <v>225.57175474606629</v>
      </c>
      <c r="H457" s="277">
        <v>4.204929693179249E-2</v>
      </c>
      <c r="J457" s="294">
        <f t="shared" si="21"/>
        <v>167951.43126221909</v>
      </c>
      <c r="K457" s="294">
        <f t="shared" si="22"/>
        <v>168987.33841542681</v>
      </c>
      <c r="L457" s="281">
        <f t="shared" ref="L457:L520" si="23">IF(K457&gt;J457,1,0)</f>
        <v>1</v>
      </c>
    </row>
    <row r="458" spans="2:12" x14ac:dyDescent="0.15">
      <c r="B458" s="281">
        <v>451</v>
      </c>
      <c r="C458" s="294">
        <v>22872.144806609223</v>
      </c>
      <c r="D458" s="392">
        <v>6.2947818054775038</v>
      </c>
      <c r="E458" s="294">
        <v>23174.019844824536</v>
      </c>
      <c r="F458" s="272">
        <v>6.3204063768674956</v>
      </c>
      <c r="G458" s="272">
        <v>301.87503821531209</v>
      </c>
      <c r="H458" s="277">
        <v>2.5624571389991857E-2</v>
      </c>
      <c r="J458" s="294">
        <f t="shared" si="21"/>
        <v>165971.30935771589</v>
      </c>
      <c r="K458" s="294">
        <f t="shared" si="22"/>
        <v>166438.17146120034</v>
      </c>
      <c r="L458" s="281">
        <f t="shared" si="23"/>
        <v>1</v>
      </c>
    </row>
    <row r="459" spans="2:12" x14ac:dyDescent="0.15">
      <c r="B459" s="281">
        <v>452</v>
      </c>
      <c r="C459" s="294">
        <v>21586.588841483397</v>
      </c>
      <c r="D459" s="392">
        <v>6.2843097770292751</v>
      </c>
      <c r="E459" s="294">
        <v>21664.728069376466</v>
      </c>
      <c r="F459" s="272">
        <v>6.2703946117647522</v>
      </c>
      <c r="G459" s="272">
        <v>78.139227893068892</v>
      </c>
      <c r="H459" s="277">
        <v>-1.3915165264522855E-2</v>
      </c>
      <c r="J459" s="294">
        <f t="shared" si="21"/>
        <v>166942.70446939484</v>
      </c>
      <c r="K459" s="294">
        <f t="shared" si="22"/>
        <v>166447.11028356611</v>
      </c>
      <c r="L459" s="281">
        <f t="shared" si="23"/>
        <v>0</v>
      </c>
    </row>
    <row r="460" spans="2:12" x14ac:dyDescent="0.15">
      <c r="B460" s="281">
        <v>453</v>
      </c>
      <c r="C460" s="294">
        <v>20634.485994457758</v>
      </c>
      <c r="D460" s="392">
        <v>6.2646961411222701</v>
      </c>
      <c r="E460" s="294">
        <v>20817.647379631577</v>
      </c>
      <c r="F460" s="272">
        <v>6.2723439652794308</v>
      </c>
      <c r="G460" s="272">
        <v>183.16138517381842</v>
      </c>
      <c r="H460" s="277">
        <v>7.6478241571606986E-3</v>
      </c>
      <c r="J460" s="294">
        <f t="shared" si="21"/>
        <v>167306.39823921034</v>
      </c>
      <c r="K460" s="294">
        <f t="shared" si="22"/>
        <v>167352.67157875135</v>
      </c>
      <c r="L460" s="281">
        <f t="shared" si="23"/>
        <v>1</v>
      </c>
    </row>
    <row r="461" spans="2:12" x14ac:dyDescent="0.15">
      <c r="B461" s="281">
        <v>454</v>
      </c>
      <c r="C461" s="294">
        <v>20727.477471436574</v>
      </c>
      <c r="D461" s="392">
        <v>6.3047866168484958</v>
      </c>
      <c r="E461" s="294">
        <v>20845.144059952065</v>
      </c>
      <c r="F461" s="272">
        <v>6.3355490013701532</v>
      </c>
      <c r="G461" s="272">
        <v>117.66658851549073</v>
      </c>
      <c r="H461" s="277">
        <v>3.076238452165736E-2</v>
      </c>
      <c r="J461" s="294">
        <f t="shared" si="21"/>
        <v>168416.12103401829</v>
      </c>
      <c r="K461" s="294">
        <f t="shared" si="22"/>
        <v>169221.32598115253</v>
      </c>
      <c r="L461" s="281">
        <f t="shared" si="23"/>
        <v>1</v>
      </c>
    </row>
    <row r="462" spans="2:12" x14ac:dyDescent="0.15">
      <c r="B462" s="281">
        <v>455</v>
      </c>
      <c r="C462" s="294">
        <v>20411.45177043377</v>
      </c>
      <c r="D462" s="392">
        <v>6.2913564264501805</v>
      </c>
      <c r="E462" s="294">
        <v>20687.458912212191</v>
      </c>
      <c r="F462" s="272">
        <v>6.3351574345507027</v>
      </c>
      <c r="G462" s="272">
        <v>276.00714177842019</v>
      </c>
      <c r="H462" s="277">
        <v>4.3801008100522232E-2</v>
      </c>
      <c r="J462" s="294">
        <f t="shared" si="21"/>
        <v>168329.24102307163</v>
      </c>
      <c r="K462" s="294">
        <f t="shared" si="22"/>
        <v>169367.26412430889</v>
      </c>
      <c r="L462" s="281">
        <f t="shared" si="23"/>
        <v>1</v>
      </c>
    </row>
    <row r="463" spans="2:12" x14ac:dyDescent="0.15">
      <c r="B463" s="281">
        <v>456</v>
      </c>
      <c r="C463" s="294">
        <v>21695.040231603009</v>
      </c>
      <c r="D463" s="392">
        <v>6.3314700951093519</v>
      </c>
      <c r="E463" s="294">
        <v>22046.961543425772</v>
      </c>
      <c r="F463" s="272">
        <v>6.3681659003552671</v>
      </c>
      <c r="G463" s="272">
        <v>351.92131182276353</v>
      </c>
      <c r="H463" s="277">
        <v>3.6695805245915203E-2</v>
      </c>
      <c r="J463" s="294">
        <f t="shared" si="21"/>
        <v>168249.06262167753</v>
      </c>
      <c r="K463" s="294">
        <f t="shared" si="22"/>
        <v>168998.01546723224</v>
      </c>
      <c r="L463" s="281">
        <f t="shared" si="23"/>
        <v>1</v>
      </c>
    </row>
    <row r="464" spans="2:12" x14ac:dyDescent="0.15">
      <c r="B464" s="281">
        <v>457</v>
      </c>
      <c r="C464" s="294">
        <v>21471.634671711185</v>
      </c>
      <c r="D464" s="392">
        <v>6.3239058848895926</v>
      </c>
      <c r="E464" s="294">
        <v>21693.333176004307</v>
      </c>
      <c r="F464" s="272">
        <v>6.3452822606584167</v>
      </c>
      <c r="G464" s="272">
        <v>221.69850429312282</v>
      </c>
      <c r="H464" s="277">
        <v>2.1376375768824118E-2</v>
      </c>
      <c r="J464" s="294">
        <f t="shared" si="21"/>
        <v>168245.5418749766</v>
      </c>
      <c r="K464" s="294">
        <f t="shared" si="22"/>
        <v>168665.13464374817</v>
      </c>
      <c r="L464" s="281">
        <f t="shared" si="23"/>
        <v>1</v>
      </c>
    </row>
    <row r="465" spans="2:12" x14ac:dyDescent="0.15">
      <c r="B465" s="281">
        <v>458</v>
      </c>
      <c r="C465" s="294">
        <v>20994.424841254273</v>
      </c>
      <c r="D465" s="392">
        <v>6.2506849753233187</v>
      </c>
      <c r="E465" s="294">
        <v>21246.119540950604</v>
      </c>
      <c r="F465" s="272">
        <v>6.2808902831620967</v>
      </c>
      <c r="G465" s="272">
        <v>251.69469969633064</v>
      </c>
      <c r="H465" s="277">
        <v>3.0205307838778062E-2</v>
      </c>
      <c r="J465" s="294">
        <f t="shared" si="21"/>
        <v>166526.12441844528</v>
      </c>
      <c r="K465" s="294">
        <f t="shared" si="22"/>
        <v>167180.58895391229</v>
      </c>
      <c r="L465" s="281">
        <f t="shared" si="23"/>
        <v>1</v>
      </c>
    </row>
    <row r="466" spans="2:12" x14ac:dyDescent="0.15">
      <c r="B466" s="281">
        <v>459</v>
      </c>
      <c r="C466" s="294">
        <v>20042.260656456787</v>
      </c>
      <c r="D466" s="392">
        <v>6.3323690118937916</v>
      </c>
      <c r="E466" s="294">
        <v>20206.304996267012</v>
      </c>
      <c r="F466" s="272">
        <v>6.3891580866857201</v>
      </c>
      <c r="G466" s="272">
        <v>164.04433981022521</v>
      </c>
      <c r="H466" s="277">
        <v>5.6789074791928407E-2</v>
      </c>
      <c r="J466" s="294">
        <f t="shared" si="21"/>
        <v>169928.80970035697</v>
      </c>
      <c r="K466" s="294">
        <f t="shared" si="22"/>
        <v>171468.43760430458</v>
      </c>
      <c r="L466" s="281">
        <f t="shared" si="23"/>
        <v>1</v>
      </c>
    </row>
    <row r="467" spans="2:12" x14ac:dyDescent="0.15">
      <c r="B467" s="281">
        <v>460</v>
      </c>
      <c r="C467" s="294">
        <v>21358.562824781795</v>
      </c>
      <c r="D467" s="392">
        <v>6.3752895535412497</v>
      </c>
      <c r="E467" s="294">
        <v>21643.563564686214</v>
      </c>
      <c r="F467" s="272">
        <v>6.4262761298745632</v>
      </c>
      <c r="G467" s="272">
        <v>285.00073990441888</v>
      </c>
      <c r="H467" s="277">
        <v>5.0986576333313494E-2</v>
      </c>
      <c r="J467" s="294">
        <f t="shared" si="21"/>
        <v>169900.12378145568</v>
      </c>
      <c r="K467" s="294">
        <f t="shared" si="22"/>
        <v>171144.72033155066</v>
      </c>
      <c r="L467" s="281">
        <f t="shared" si="23"/>
        <v>1</v>
      </c>
    </row>
    <row r="468" spans="2:12" x14ac:dyDescent="0.15">
      <c r="B468" s="281">
        <v>461</v>
      </c>
      <c r="C468" s="294">
        <v>20335.509846234945</v>
      </c>
      <c r="D468" s="392">
        <v>6.3047484220891103</v>
      </c>
      <c r="E468" s="294">
        <v>20593.985236520937</v>
      </c>
      <c r="F468" s="272">
        <v>6.3492693238198568</v>
      </c>
      <c r="G468" s="272">
        <v>258.47539028599203</v>
      </c>
      <c r="H468" s="277">
        <v>4.4520901730746409E-2</v>
      </c>
      <c r="J468" s="294">
        <f t="shared" si="21"/>
        <v>168806.94281643836</v>
      </c>
      <c r="K468" s="294">
        <f t="shared" si="22"/>
        <v>169884.09447807475</v>
      </c>
      <c r="L468" s="281">
        <f t="shared" si="23"/>
        <v>1</v>
      </c>
    </row>
    <row r="469" spans="2:12" x14ac:dyDescent="0.15">
      <c r="B469" s="281">
        <v>462</v>
      </c>
      <c r="C469" s="294">
        <v>21377.949281157729</v>
      </c>
      <c r="D469" s="392">
        <v>6.1916856000497278</v>
      </c>
      <c r="E469" s="294">
        <v>21612.831815829661</v>
      </c>
      <c r="F469" s="272">
        <v>6.2519958741420236</v>
      </c>
      <c r="G469" s="272">
        <v>234.88253467193135</v>
      </c>
      <c r="H469" s="277">
        <v>6.0310274092295835E-2</v>
      </c>
      <c r="J469" s="294">
        <f t="shared" si="21"/>
        <v>164372.61872033411</v>
      </c>
      <c r="K469" s="294">
        <f t="shared" si="22"/>
        <v>165947.04440843104</v>
      </c>
      <c r="L469" s="281">
        <f t="shared" si="23"/>
        <v>1</v>
      </c>
    </row>
    <row r="470" spans="2:12" x14ac:dyDescent="0.15">
      <c r="B470" s="281">
        <v>463</v>
      </c>
      <c r="C470" s="294">
        <v>21316.159389160923</v>
      </c>
      <c r="D470" s="392">
        <v>6.2376512640783996</v>
      </c>
      <c r="E470" s="294">
        <v>21435.381749893902</v>
      </c>
      <c r="F470" s="272">
        <v>6.233705526874096</v>
      </c>
      <c r="G470" s="272">
        <v>119.22236073297972</v>
      </c>
      <c r="H470" s="277">
        <v>-3.9457372043036898E-3</v>
      </c>
      <c r="J470" s="294">
        <f t="shared" si="21"/>
        <v>165813.37853319108</v>
      </c>
      <c r="K470" s="294">
        <f t="shared" si="22"/>
        <v>165575.78405632899</v>
      </c>
      <c r="L470" s="281">
        <f t="shared" si="23"/>
        <v>0</v>
      </c>
    </row>
    <row r="471" spans="2:12" x14ac:dyDescent="0.15">
      <c r="B471" s="281">
        <v>464</v>
      </c>
      <c r="C471" s="294">
        <v>21131.250301402641</v>
      </c>
      <c r="D471" s="392">
        <v>6.1374653215353128</v>
      </c>
      <c r="E471" s="294">
        <v>21294.380218564245</v>
      </c>
      <c r="F471" s="272">
        <v>6.1909421489691905</v>
      </c>
      <c r="G471" s="272">
        <v>163.12991716160468</v>
      </c>
      <c r="H471" s="277">
        <v>5.3476827433877716E-2</v>
      </c>
      <c r="J471" s="294">
        <f t="shared" si="21"/>
        <v>162992.70934465673</v>
      </c>
      <c r="K471" s="294">
        <f t="shared" si="22"/>
        <v>164433.88425051147</v>
      </c>
      <c r="L471" s="281">
        <f t="shared" si="23"/>
        <v>1</v>
      </c>
    </row>
    <row r="472" spans="2:12" x14ac:dyDescent="0.15">
      <c r="B472" s="281">
        <v>465</v>
      </c>
      <c r="C472" s="294">
        <v>20770.568983353478</v>
      </c>
      <c r="D472" s="392">
        <v>6.2462440788481421</v>
      </c>
      <c r="E472" s="294">
        <v>20849.066480054178</v>
      </c>
      <c r="F472" s="272">
        <v>6.2276946379382618</v>
      </c>
      <c r="G472" s="272">
        <v>78.49749670070014</v>
      </c>
      <c r="H472" s="277">
        <v>-1.854944090988031E-2</v>
      </c>
      <c r="J472" s="294">
        <f t="shared" si="21"/>
        <v>166616.7533820908</v>
      </c>
      <c r="K472" s="294">
        <f t="shared" si="22"/>
        <v>165981.77265809369</v>
      </c>
      <c r="L472" s="281">
        <f t="shared" si="23"/>
        <v>0</v>
      </c>
    </row>
    <row r="473" spans="2:12" x14ac:dyDescent="0.15">
      <c r="B473" s="281">
        <v>466</v>
      </c>
      <c r="C473" s="294">
        <v>22010.921176024374</v>
      </c>
      <c r="D473" s="392">
        <v>6.222987196058682</v>
      </c>
      <c r="E473" s="294">
        <v>22049.719086869092</v>
      </c>
      <c r="F473" s="272">
        <v>6.2018334728835987</v>
      </c>
      <c r="G473" s="272">
        <v>38.79791084471799</v>
      </c>
      <c r="H473" s="277">
        <v>-2.115372317508335E-2</v>
      </c>
      <c r="J473" s="294">
        <f t="shared" si="21"/>
        <v>164678.6947057361</v>
      </c>
      <c r="K473" s="294">
        <f t="shared" si="22"/>
        <v>164005.28509963886</v>
      </c>
      <c r="L473" s="281">
        <f t="shared" si="23"/>
        <v>0</v>
      </c>
    </row>
    <row r="474" spans="2:12" x14ac:dyDescent="0.15">
      <c r="B474" s="281">
        <v>467</v>
      </c>
      <c r="C474" s="294">
        <v>20781.519130648445</v>
      </c>
      <c r="D474" s="392">
        <v>6.2469834836767966</v>
      </c>
      <c r="E474" s="294">
        <v>21119.411850334673</v>
      </c>
      <c r="F474" s="272">
        <v>6.2838760488356158</v>
      </c>
      <c r="G474" s="272">
        <v>337.89271968622779</v>
      </c>
      <c r="H474" s="277">
        <v>3.6892565158819224E-2</v>
      </c>
      <c r="J474" s="294">
        <f t="shared" si="21"/>
        <v>166627.98537965547</v>
      </c>
      <c r="K474" s="294">
        <f t="shared" si="22"/>
        <v>167396.86961473379</v>
      </c>
      <c r="L474" s="281">
        <f t="shared" si="23"/>
        <v>1</v>
      </c>
    </row>
    <row r="475" spans="2:12" x14ac:dyDescent="0.15">
      <c r="B475" s="281">
        <v>468</v>
      </c>
      <c r="C475" s="294">
        <v>20167.888162507788</v>
      </c>
      <c r="D475" s="392">
        <v>6.3322692236860867</v>
      </c>
      <c r="E475" s="294">
        <v>20359.598854008316</v>
      </c>
      <c r="F475" s="272">
        <v>6.3619472416565541</v>
      </c>
      <c r="G475" s="272">
        <v>191.7106915005279</v>
      </c>
      <c r="H475" s="277">
        <v>2.967801797046743E-2</v>
      </c>
      <c r="J475" s="294">
        <f t="shared" si="21"/>
        <v>169800.1885480748</v>
      </c>
      <c r="K475" s="294">
        <f t="shared" si="22"/>
        <v>170498.81839568831</v>
      </c>
      <c r="L475" s="281">
        <f t="shared" si="23"/>
        <v>1</v>
      </c>
    </row>
    <row r="476" spans="2:12" x14ac:dyDescent="0.15">
      <c r="B476" s="281">
        <v>469</v>
      </c>
      <c r="C476" s="294">
        <v>22077.396377357676</v>
      </c>
      <c r="D476" s="392">
        <v>6.2893517454417456</v>
      </c>
      <c r="E476" s="294">
        <v>22275.937585645657</v>
      </c>
      <c r="F476" s="272">
        <v>6.3082460510809</v>
      </c>
      <c r="G476" s="272">
        <v>198.54120828798114</v>
      </c>
      <c r="H476" s="277">
        <v>1.8894305639154396E-2</v>
      </c>
      <c r="J476" s="294">
        <f t="shared" si="21"/>
        <v>166603.15598589467</v>
      </c>
      <c r="K476" s="294">
        <f t="shared" si="22"/>
        <v>166971.44394678136</v>
      </c>
      <c r="L476" s="281">
        <f t="shared" si="23"/>
        <v>1</v>
      </c>
    </row>
    <row r="477" spans="2:12" x14ac:dyDescent="0.15">
      <c r="B477" s="281">
        <v>470</v>
      </c>
      <c r="C477" s="294">
        <v>20373.309263695148</v>
      </c>
      <c r="D477" s="392">
        <v>6.2965949502684735</v>
      </c>
      <c r="E477" s="294">
        <v>20651.228285252473</v>
      </c>
      <c r="F477" s="272">
        <v>6.3286879612896003</v>
      </c>
      <c r="G477" s="272">
        <v>277.91902155732532</v>
      </c>
      <c r="H477" s="277">
        <v>3.2093011021126827E-2</v>
      </c>
      <c r="J477" s="294">
        <f t="shared" si="21"/>
        <v>168524.53924435907</v>
      </c>
      <c r="K477" s="294">
        <f t="shared" si="22"/>
        <v>169209.41055343553</v>
      </c>
      <c r="L477" s="281">
        <f t="shared" si="23"/>
        <v>1</v>
      </c>
    </row>
    <row r="478" spans="2:12" x14ac:dyDescent="0.15">
      <c r="B478" s="281">
        <v>471</v>
      </c>
      <c r="C478" s="294">
        <v>23157.808471442779</v>
      </c>
      <c r="D478" s="392">
        <v>6.3088701471533355</v>
      </c>
      <c r="E478" s="294">
        <v>23310.94165429538</v>
      </c>
      <c r="F478" s="272">
        <v>6.3422018132321059</v>
      </c>
      <c r="G478" s="272">
        <v>153.13318285260175</v>
      </c>
      <c r="H478" s="277">
        <v>3.3331666078770361E-2</v>
      </c>
      <c r="J478" s="294">
        <f t="shared" si="21"/>
        <v>166108.29594315728</v>
      </c>
      <c r="K478" s="294">
        <f t="shared" si="22"/>
        <v>166955.11274266781</v>
      </c>
      <c r="L478" s="281">
        <f t="shared" si="23"/>
        <v>1</v>
      </c>
    </row>
    <row r="479" spans="2:12" x14ac:dyDescent="0.15">
      <c r="B479" s="281">
        <v>472</v>
      </c>
      <c r="C479" s="294">
        <v>21552.07414916762</v>
      </c>
      <c r="D479" s="392">
        <v>6.3769127011702977</v>
      </c>
      <c r="E479" s="294">
        <v>21792.508619867491</v>
      </c>
      <c r="F479" s="272">
        <v>6.4254050251211012</v>
      </c>
      <c r="G479" s="272">
        <v>240.43447069987087</v>
      </c>
      <c r="H479" s="277">
        <v>4.8492323950803495E-2</v>
      </c>
      <c r="J479" s="294">
        <f t="shared" si="21"/>
        <v>169755.3068859413</v>
      </c>
      <c r="K479" s="294">
        <f t="shared" si="22"/>
        <v>170969.64213376553</v>
      </c>
      <c r="L479" s="281">
        <f t="shared" si="23"/>
        <v>1</v>
      </c>
    </row>
    <row r="480" spans="2:12" x14ac:dyDescent="0.15">
      <c r="B480" s="281">
        <v>473</v>
      </c>
      <c r="C480" s="294">
        <v>21398.698375623226</v>
      </c>
      <c r="D480" s="392">
        <v>6.3215724457329427</v>
      </c>
      <c r="E480" s="294">
        <v>21580.278213841895</v>
      </c>
      <c r="F480" s="272">
        <v>6.3518331370053671</v>
      </c>
      <c r="G480" s="272">
        <v>181.57983821866947</v>
      </c>
      <c r="H480" s="277">
        <v>3.0260691272424367E-2</v>
      </c>
      <c r="J480" s="294">
        <f t="shared" si="21"/>
        <v>168248.47499636505</v>
      </c>
      <c r="K480" s="294">
        <f t="shared" si="22"/>
        <v>168974.7158963191</v>
      </c>
      <c r="L480" s="281">
        <f t="shared" si="23"/>
        <v>1</v>
      </c>
    </row>
    <row r="481" spans="2:12" x14ac:dyDescent="0.15">
      <c r="B481" s="281">
        <v>474</v>
      </c>
      <c r="C481" s="294">
        <v>21586.17380971399</v>
      </c>
      <c r="D481" s="392">
        <v>6.2564121359946148</v>
      </c>
      <c r="E481" s="294">
        <v>21717.836384748349</v>
      </c>
      <c r="F481" s="272">
        <v>6.2547685531719903</v>
      </c>
      <c r="G481" s="272">
        <v>131.66257503435918</v>
      </c>
      <c r="H481" s="277">
        <v>-1.6435828226244453E-3</v>
      </c>
      <c r="J481" s="294">
        <f t="shared" si="21"/>
        <v>166106.19027012447</v>
      </c>
      <c r="K481" s="294">
        <f t="shared" si="22"/>
        <v>165925.22021041138</v>
      </c>
      <c r="L481" s="281">
        <f t="shared" si="23"/>
        <v>0</v>
      </c>
    </row>
    <row r="482" spans="2:12" x14ac:dyDescent="0.15">
      <c r="B482" s="281">
        <v>475</v>
      </c>
      <c r="C482" s="294">
        <v>22146.650492684108</v>
      </c>
      <c r="D482" s="392">
        <v>6.2975381957648553</v>
      </c>
      <c r="E482" s="294">
        <v>22408.182020556629</v>
      </c>
      <c r="F482" s="272">
        <v>6.3512247366494634</v>
      </c>
      <c r="G482" s="272">
        <v>261.53152787252111</v>
      </c>
      <c r="H482" s="277">
        <v>5.3686540884608114E-2</v>
      </c>
      <c r="J482" s="294">
        <f t="shared" si="21"/>
        <v>166779.49538026156</v>
      </c>
      <c r="K482" s="294">
        <f t="shared" si="22"/>
        <v>168128.56007892729</v>
      </c>
      <c r="L482" s="281">
        <f t="shared" si="23"/>
        <v>1</v>
      </c>
    </row>
    <row r="483" spans="2:12" x14ac:dyDescent="0.15">
      <c r="B483" s="281">
        <v>476</v>
      </c>
      <c r="C483" s="294">
        <v>20872.694106583083</v>
      </c>
      <c r="D483" s="392">
        <v>6.3064612313506387</v>
      </c>
      <c r="E483" s="294">
        <v>21116.275527828329</v>
      </c>
      <c r="F483" s="272">
        <v>6.3714937768701017</v>
      </c>
      <c r="G483" s="272">
        <v>243.58142124524602</v>
      </c>
      <c r="H483" s="277">
        <v>6.5032545519462914E-2</v>
      </c>
      <c r="J483" s="294">
        <f t="shared" si="21"/>
        <v>168321.14283393609</v>
      </c>
      <c r="K483" s="294">
        <f t="shared" si="22"/>
        <v>170028.53777827474</v>
      </c>
      <c r="L483" s="281">
        <f t="shared" si="23"/>
        <v>1</v>
      </c>
    </row>
    <row r="484" spans="2:12" x14ac:dyDescent="0.15">
      <c r="B484" s="281">
        <v>477</v>
      </c>
      <c r="C484" s="294">
        <v>21855.643107315831</v>
      </c>
      <c r="D484" s="392">
        <v>6.3348345073451791</v>
      </c>
      <c r="E484" s="294">
        <v>22130.890944297189</v>
      </c>
      <c r="F484" s="272">
        <v>6.3791854681962752</v>
      </c>
      <c r="G484" s="272">
        <v>275.24783698135798</v>
      </c>
      <c r="H484" s="277">
        <v>4.4350960851096133E-2</v>
      </c>
      <c r="J484" s="294">
        <f t="shared" si="21"/>
        <v>168189.39211303956</v>
      </c>
      <c r="K484" s="294">
        <f t="shared" si="22"/>
        <v>169244.67310159106</v>
      </c>
      <c r="L484" s="281">
        <f t="shared" si="23"/>
        <v>1</v>
      </c>
    </row>
    <row r="485" spans="2:12" x14ac:dyDescent="0.15">
      <c r="B485" s="281">
        <v>478</v>
      </c>
      <c r="C485" s="294">
        <v>21328.706384144469</v>
      </c>
      <c r="D485" s="392">
        <v>6.2049721637432329</v>
      </c>
      <c r="E485" s="294">
        <v>21534.744763642666</v>
      </c>
      <c r="F485" s="272">
        <v>6.2433236680173376</v>
      </c>
      <c r="G485" s="272">
        <v>206.03837949819717</v>
      </c>
      <c r="H485" s="277">
        <v>3.835150427410472E-2</v>
      </c>
      <c r="J485" s="294">
        <f t="shared" si="21"/>
        <v>164820.45852815252</v>
      </c>
      <c r="K485" s="294">
        <f t="shared" si="22"/>
        <v>165764.96527687745</v>
      </c>
      <c r="L485" s="281">
        <f t="shared" si="23"/>
        <v>1</v>
      </c>
    </row>
    <row r="486" spans="2:12" x14ac:dyDescent="0.15">
      <c r="B486" s="281">
        <v>479</v>
      </c>
      <c r="C486" s="294">
        <v>21701.589220249843</v>
      </c>
      <c r="D486" s="392">
        <v>6.2236286002077197</v>
      </c>
      <c r="E486" s="294">
        <v>22015.410271587352</v>
      </c>
      <c r="F486" s="272">
        <v>6.2729014600175041</v>
      </c>
      <c r="G486" s="272">
        <v>313.82105133750883</v>
      </c>
      <c r="H486" s="277">
        <v>4.9272859809784464E-2</v>
      </c>
      <c r="J486" s="294">
        <f t="shared" si="21"/>
        <v>165007.26878598175</v>
      </c>
      <c r="K486" s="294">
        <f t="shared" si="22"/>
        <v>166171.63352893779</v>
      </c>
      <c r="L486" s="281">
        <f t="shared" si="23"/>
        <v>1</v>
      </c>
    </row>
    <row r="487" spans="2:12" x14ac:dyDescent="0.15">
      <c r="B487" s="281">
        <v>480</v>
      </c>
      <c r="C487" s="294">
        <v>20932.703002742677</v>
      </c>
      <c r="D487" s="392">
        <v>6.3017309630069764</v>
      </c>
      <c r="E487" s="294">
        <v>21128.038672028848</v>
      </c>
      <c r="F487" s="272">
        <v>6.3369283175581019</v>
      </c>
      <c r="G487" s="272">
        <v>195.33566928617074</v>
      </c>
      <c r="H487" s="277">
        <v>3.5197354551125493E-2</v>
      </c>
      <c r="J487" s="294">
        <f t="shared" si="21"/>
        <v>168119.22588746663</v>
      </c>
      <c r="K487" s="294">
        <f t="shared" si="22"/>
        <v>168979.81085471422</v>
      </c>
      <c r="L487" s="281">
        <f t="shared" si="23"/>
        <v>1</v>
      </c>
    </row>
    <row r="488" spans="2:12" x14ac:dyDescent="0.15">
      <c r="B488" s="281">
        <v>481</v>
      </c>
      <c r="C488" s="294">
        <v>20717.529318661749</v>
      </c>
      <c r="D488" s="392">
        <v>6.2065989143104803</v>
      </c>
      <c r="E488" s="294">
        <v>21004.158998471179</v>
      </c>
      <c r="F488" s="272">
        <v>6.2647532147011757</v>
      </c>
      <c r="G488" s="272">
        <v>286.62967980942994</v>
      </c>
      <c r="H488" s="277">
        <v>5.8154300390695468E-2</v>
      </c>
      <c r="J488" s="294">
        <f t="shared" si="21"/>
        <v>165480.43811065267</v>
      </c>
      <c r="K488" s="294">
        <f t="shared" si="22"/>
        <v>166938.43744256409</v>
      </c>
      <c r="L488" s="281">
        <f t="shared" si="23"/>
        <v>1</v>
      </c>
    </row>
    <row r="489" spans="2:12" x14ac:dyDescent="0.15">
      <c r="B489" s="281">
        <v>482</v>
      </c>
      <c r="C489" s="294">
        <v>21074.689312737755</v>
      </c>
      <c r="D489" s="392">
        <v>6.2649139747281408</v>
      </c>
      <c r="E489" s="294">
        <v>21167.584901917588</v>
      </c>
      <c r="F489" s="272">
        <v>6.2716627430678971</v>
      </c>
      <c r="G489" s="272">
        <v>92.895589179832314</v>
      </c>
      <c r="H489" s="277">
        <v>6.7487683397562392E-3</v>
      </c>
      <c r="J489" s="294">
        <f t="shared" si="21"/>
        <v>166872.72992910646</v>
      </c>
      <c r="K489" s="294">
        <f t="shared" si="22"/>
        <v>166982.29739011932</v>
      </c>
      <c r="L489" s="281">
        <f t="shared" si="23"/>
        <v>1</v>
      </c>
    </row>
    <row r="490" spans="2:12" x14ac:dyDescent="0.15">
      <c r="B490" s="281">
        <v>483</v>
      </c>
      <c r="C490" s="294">
        <v>21883.59613216039</v>
      </c>
      <c r="D490" s="392">
        <v>6.2826396012274852</v>
      </c>
      <c r="E490" s="294">
        <v>22031.489331421712</v>
      </c>
      <c r="F490" s="272">
        <v>6.2917999020118884</v>
      </c>
      <c r="G490" s="272">
        <v>147.89319926132157</v>
      </c>
      <c r="H490" s="277">
        <v>9.1603007844032192E-3</v>
      </c>
      <c r="J490" s="294">
        <f t="shared" si="21"/>
        <v>166595.59190466415</v>
      </c>
      <c r="K490" s="294">
        <f t="shared" si="22"/>
        <v>166722.50772893496</v>
      </c>
      <c r="L490" s="281">
        <f t="shared" si="23"/>
        <v>1</v>
      </c>
    </row>
    <row r="491" spans="2:12" x14ac:dyDescent="0.15">
      <c r="B491" s="281">
        <v>484</v>
      </c>
      <c r="C491" s="294">
        <v>21349.1278418166</v>
      </c>
      <c r="D491" s="392">
        <v>6.202980358320425</v>
      </c>
      <c r="E491" s="294">
        <v>21530.472257231628</v>
      </c>
      <c r="F491" s="272">
        <v>6.2265347971126417</v>
      </c>
      <c r="G491" s="272">
        <v>181.34441541502747</v>
      </c>
      <c r="H491" s="277">
        <v>2.3554438792216637E-2</v>
      </c>
      <c r="J491" s="294">
        <f t="shared" si="21"/>
        <v>164740.28290779615</v>
      </c>
      <c r="K491" s="294">
        <f t="shared" si="22"/>
        <v>165265.57165614763</v>
      </c>
      <c r="L491" s="281">
        <f t="shared" si="23"/>
        <v>1</v>
      </c>
    </row>
    <row r="492" spans="2:12" x14ac:dyDescent="0.15">
      <c r="B492" s="281">
        <v>485</v>
      </c>
      <c r="C492" s="294">
        <v>20867.659006552112</v>
      </c>
      <c r="D492" s="392">
        <v>6.2389887567463846</v>
      </c>
      <c r="E492" s="294">
        <v>21023.77683527608</v>
      </c>
      <c r="F492" s="272">
        <v>6.2909358824724766</v>
      </c>
      <c r="G492" s="272">
        <v>156.11782872396725</v>
      </c>
      <c r="H492" s="277">
        <v>5.1947125726091947E-2</v>
      </c>
      <c r="J492" s="294">
        <f t="shared" si="21"/>
        <v>166302.00369583943</v>
      </c>
      <c r="K492" s="294">
        <f t="shared" si="22"/>
        <v>167704.29963889823</v>
      </c>
      <c r="L492" s="281">
        <f t="shared" si="23"/>
        <v>1</v>
      </c>
    </row>
    <row r="493" spans="2:12" x14ac:dyDescent="0.15">
      <c r="B493" s="281">
        <v>486</v>
      </c>
      <c r="C493" s="294">
        <v>21118.025091584768</v>
      </c>
      <c r="D493" s="392">
        <v>6.1683829817326687</v>
      </c>
      <c r="E493" s="294">
        <v>21284.78010121136</v>
      </c>
      <c r="F493" s="272">
        <v>6.2118316010720074</v>
      </c>
      <c r="G493" s="272">
        <v>166.75500962659135</v>
      </c>
      <c r="H493" s="277">
        <v>4.3448619339338634E-2</v>
      </c>
      <c r="J493" s="294">
        <f t="shared" si="21"/>
        <v>163933.4643603953</v>
      </c>
      <c r="K493" s="294">
        <f t="shared" si="22"/>
        <v>165070.16793094887</v>
      </c>
      <c r="L493" s="281">
        <f t="shared" si="23"/>
        <v>1</v>
      </c>
    </row>
    <row r="494" spans="2:12" x14ac:dyDescent="0.15">
      <c r="B494" s="281">
        <v>487</v>
      </c>
      <c r="C494" s="294">
        <v>20123.331947975865</v>
      </c>
      <c r="D494" s="392">
        <v>6.2749704131854953</v>
      </c>
      <c r="E494" s="294">
        <v>20312.613258723573</v>
      </c>
      <c r="F494" s="272">
        <v>6.3126568850857661</v>
      </c>
      <c r="G494" s="272">
        <v>189.28131074770863</v>
      </c>
      <c r="H494" s="277">
        <v>3.7686471900270746E-2</v>
      </c>
      <c r="J494" s="294">
        <f t="shared" si="21"/>
        <v>168125.780447589</v>
      </c>
      <c r="K494" s="294">
        <f t="shared" si="22"/>
        <v>169067.09329384941</v>
      </c>
      <c r="L494" s="281">
        <f t="shared" si="23"/>
        <v>1</v>
      </c>
    </row>
    <row r="495" spans="2:12" x14ac:dyDescent="0.15">
      <c r="B495" s="281">
        <v>488</v>
      </c>
      <c r="C495" s="294">
        <v>20750.251365874221</v>
      </c>
      <c r="D495" s="392">
        <v>6.3749160209182074</v>
      </c>
      <c r="E495" s="294">
        <v>21042.497492990216</v>
      </c>
      <c r="F495" s="272">
        <v>6.4150520948914238</v>
      </c>
      <c r="G495" s="272">
        <v>292.24612711599548</v>
      </c>
      <c r="H495" s="277">
        <v>4.0136073973216391E-2</v>
      </c>
      <c r="J495" s="294">
        <f t="shared" si="21"/>
        <v>170497.22926167201</v>
      </c>
      <c r="K495" s="294">
        <f t="shared" si="22"/>
        <v>171409.06535375249</v>
      </c>
      <c r="L495" s="281">
        <f t="shared" si="23"/>
        <v>1</v>
      </c>
    </row>
    <row r="496" spans="2:12" x14ac:dyDescent="0.15">
      <c r="B496" s="281">
        <v>489</v>
      </c>
      <c r="C496" s="294">
        <v>21105.449626585447</v>
      </c>
      <c r="D496" s="392">
        <v>6.2471455625245573</v>
      </c>
      <c r="E496" s="294">
        <v>21406.037566418661</v>
      </c>
      <c r="F496" s="272">
        <v>6.2940130642109198</v>
      </c>
      <c r="G496" s="272">
        <v>300.58793983321448</v>
      </c>
      <c r="H496" s="277">
        <v>4.6867501686362445E-2</v>
      </c>
      <c r="J496" s="294">
        <f t="shared" si="21"/>
        <v>166308.91724915127</v>
      </c>
      <c r="K496" s="294">
        <f t="shared" si="22"/>
        <v>167414.35435990893</v>
      </c>
      <c r="L496" s="281">
        <f t="shared" si="23"/>
        <v>1</v>
      </c>
    </row>
    <row r="497" spans="2:12" x14ac:dyDescent="0.15">
      <c r="B497" s="281">
        <v>490</v>
      </c>
      <c r="C497" s="294">
        <v>21495.251520342266</v>
      </c>
      <c r="D497" s="392">
        <v>6.2045473187768918</v>
      </c>
      <c r="E497" s="294">
        <v>21645.84891826797</v>
      </c>
      <c r="F497" s="272">
        <v>6.2334585895430017</v>
      </c>
      <c r="G497" s="272">
        <v>150.59739792570326</v>
      </c>
      <c r="H497" s="277">
        <v>2.8911270766109887E-2</v>
      </c>
      <c r="J497" s="294">
        <f t="shared" si="21"/>
        <v>164641.16804296448</v>
      </c>
      <c r="K497" s="294">
        <f t="shared" si="22"/>
        <v>165357.90876802208</v>
      </c>
      <c r="L497" s="281">
        <f t="shared" si="23"/>
        <v>1</v>
      </c>
    </row>
    <row r="498" spans="2:12" x14ac:dyDescent="0.15">
      <c r="B498" s="281">
        <v>491</v>
      </c>
      <c r="C498" s="294">
        <v>21935.683870538483</v>
      </c>
      <c r="D498" s="392">
        <v>6.1241200319953695</v>
      </c>
      <c r="E498" s="294">
        <v>22080.496393410347</v>
      </c>
      <c r="F498" s="272">
        <v>6.1722018105871674</v>
      </c>
      <c r="G498" s="272">
        <v>144.81252287186362</v>
      </c>
      <c r="H498" s="277">
        <v>4.8081778591797963E-2</v>
      </c>
      <c r="J498" s="294">
        <f t="shared" si="21"/>
        <v>161787.91708932261</v>
      </c>
      <c r="K498" s="294">
        <f t="shared" si="22"/>
        <v>163085.55792420468</v>
      </c>
      <c r="L498" s="281">
        <f t="shared" si="23"/>
        <v>1</v>
      </c>
    </row>
    <row r="499" spans="2:12" x14ac:dyDescent="0.15">
      <c r="B499" s="281">
        <v>492</v>
      </c>
      <c r="C499" s="294">
        <v>22345.9021200057</v>
      </c>
      <c r="D499" s="392">
        <v>6.3509789327918114</v>
      </c>
      <c r="E499" s="294">
        <v>22727.267995361562</v>
      </c>
      <c r="F499" s="272">
        <v>6.3907294761683913</v>
      </c>
      <c r="G499" s="272">
        <v>381.36587535586295</v>
      </c>
      <c r="H499" s="277">
        <v>3.9750543376579905E-2</v>
      </c>
      <c r="J499" s="294">
        <f t="shared" si="21"/>
        <v>168183.46586374866</v>
      </c>
      <c r="K499" s="294">
        <f t="shared" si="22"/>
        <v>168994.61628969017</v>
      </c>
      <c r="L499" s="281">
        <f t="shared" si="23"/>
        <v>1</v>
      </c>
    </row>
    <row r="500" spans="2:12" x14ac:dyDescent="0.15">
      <c r="B500" s="281">
        <v>493</v>
      </c>
      <c r="C500" s="294">
        <v>19816.01215235169</v>
      </c>
      <c r="D500" s="392">
        <v>6.1923138525034984</v>
      </c>
      <c r="E500" s="294">
        <v>19986.955997013254</v>
      </c>
      <c r="F500" s="272">
        <v>6.2025505347302108</v>
      </c>
      <c r="G500" s="272">
        <v>170.94384466156407</v>
      </c>
      <c r="H500" s="277">
        <v>1.0236682226712368E-2</v>
      </c>
      <c r="J500" s="294">
        <f t="shared" si="21"/>
        <v>165953.40342275324</v>
      </c>
      <c r="K500" s="294">
        <f t="shared" si="22"/>
        <v>166089.56004489306</v>
      </c>
      <c r="L500" s="281">
        <f t="shared" si="23"/>
        <v>1</v>
      </c>
    </row>
    <row r="501" spans="2:12" x14ac:dyDescent="0.15">
      <c r="B501" s="281">
        <v>494</v>
      </c>
      <c r="C501" s="294">
        <v>22955.29030707293</v>
      </c>
      <c r="D501" s="392">
        <v>6.319825368454735</v>
      </c>
      <c r="E501" s="294">
        <v>23229.338654005787</v>
      </c>
      <c r="F501" s="272">
        <v>6.3762106658946438</v>
      </c>
      <c r="G501" s="272">
        <v>274.04834693285738</v>
      </c>
      <c r="H501" s="277">
        <v>5.6385297439908832E-2</v>
      </c>
      <c r="J501" s="294">
        <f t="shared" si="21"/>
        <v>166639.47074656913</v>
      </c>
      <c r="K501" s="294">
        <f t="shared" si="22"/>
        <v>168056.98132283354</v>
      </c>
      <c r="L501" s="281">
        <f t="shared" si="23"/>
        <v>1</v>
      </c>
    </row>
    <row r="502" spans="2:12" x14ac:dyDescent="0.15">
      <c r="B502" s="281">
        <v>495</v>
      </c>
      <c r="C502" s="294">
        <v>22337.358004670426</v>
      </c>
      <c r="D502" s="392">
        <v>6.3062471387553289</v>
      </c>
      <c r="E502" s="294">
        <v>22417.303386269577</v>
      </c>
      <c r="F502" s="272">
        <v>6.2905294199572364</v>
      </c>
      <c r="G502" s="272">
        <v>79.945381599151006</v>
      </c>
      <c r="H502" s="277">
        <v>-1.5717718798092584E-2</v>
      </c>
      <c r="J502" s="294">
        <f t="shared" si="21"/>
        <v>166850.05615798946</v>
      </c>
      <c r="K502" s="294">
        <f t="shared" si="22"/>
        <v>166298.57921244751</v>
      </c>
      <c r="L502" s="281">
        <f t="shared" si="23"/>
        <v>0</v>
      </c>
    </row>
    <row r="503" spans="2:12" x14ac:dyDescent="0.15">
      <c r="B503" s="281">
        <v>496</v>
      </c>
      <c r="C503" s="294">
        <v>21718.136224056583</v>
      </c>
      <c r="D503" s="392">
        <v>6.2995825845015068</v>
      </c>
      <c r="E503" s="294">
        <v>22024.834723295993</v>
      </c>
      <c r="F503" s="272">
        <v>6.3565984980915822</v>
      </c>
      <c r="G503" s="272">
        <v>306.69849923941001</v>
      </c>
      <c r="H503" s="277">
        <v>5.7015913590075407E-2</v>
      </c>
      <c r="J503" s="294">
        <f t="shared" si="21"/>
        <v>167269.34131098862</v>
      </c>
      <c r="K503" s="294">
        <f t="shared" si="22"/>
        <v>168673.12021945146</v>
      </c>
      <c r="L503" s="281">
        <f t="shared" si="23"/>
        <v>1</v>
      </c>
    </row>
    <row r="504" spans="2:12" x14ac:dyDescent="0.15">
      <c r="B504" s="281">
        <v>497</v>
      </c>
      <c r="C504" s="294">
        <v>21998.470327694806</v>
      </c>
      <c r="D504" s="392">
        <v>6.2281886813391427</v>
      </c>
      <c r="E504" s="294">
        <v>22228.717037280676</v>
      </c>
      <c r="F504" s="272">
        <v>6.2623987955788509</v>
      </c>
      <c r="G504" s="272">
        <v>230.24670958587012</v>
      </c>
      <c r="H504" s="277">
        <v>3.4210114239708211E-2</v>
      </c>
      <c r="J504" s="294">
        <f t="shared" si="21"/>
        <v>164847.19011247947</v>
      </c>
      <c r="K504" s="294">
        <f t="shared" si="22"/>
        <v>165643.24683008486</v>
      </c>
      <c r="L504" s="281">
        <f t="shared" si="23"/>
        <v>1</v>
      </c>
    </row>
    <row r="505" spans="2:12" x14ac:dyDescent="0.15">
      <c r="B505" s="281">
        <v>498</v>
      </c>
      <c r="C505" s="294">
        <v>21028.432238813766</v>
      </c>
      <c r="D505" s="392">
        <v>6.235364676823183</v>
      </c>
      <c r="E505" s="294">
        <v>21077.236898668918</v>
      </c>
      <c r="F505" s="272">
        <v>6.2295002499973666</v>
      </c>
      <c r="G505" s="272">
        <v>48.80465985515184</v>
      </c>
      <c r="H505" s="277">
        <v>-5.8644268258163379E-3</v>
      </c>
      <c r="J505" s="294">
        <f t="shared" si="21"/>
        <v>166032.50806588173</v>
      </c>
      <c r="K505" s="294">
        <f t="shared" si="22"/>
        <v>165807.77060125206</v>
      </c>
      <c r="L505" s="281">
        <f t="shared" si="23"/>
        <v>0</v>
      </c>
    </row>
    <row r="506" spans="2:12" x14ac:dyDescent="0.15">
      <c r="B506" s="281">
        <v>499</v>
      </c>
      <c r="C506" s="294">
        <v>20386.932469234158</v>
      </c>
      <c r="D506" s="392">
        <v>6.3135082429649554</v>
      </c>
      <c r="E506" s="294">
        <v>20486.664155498245</v>
      </c>
      <c r="F506" s="272">
        <v>6.3247950797540575</v>
      </c>
      <c r="G506" s="272">
        <v>99.73168626408733</v>
      </c>
      <c r="H506" s="277">
        <v>1.1286836789102139E-2</v>
      </c>
      <c r="J506" s="294">
        <f t="shared" si="21"/>
        <v>169018.31481971449</v>
      </c>
      <c r="K506" s="294">
        <f t="shared" si="22"/>
        <v>169257.18823712348</v>
      </c>
      <c r="L506" s="281">
        <f t="shared" si="23"/>
        <v>1</v>
      </c>
    </row>
    <row r="507" spans="2:12" x14ac:dyDescent="0.15">
      <c r="B507" s="281">
        <v>500</v>
      </c>
      <c r="C507" s="294">
        <v>22509.477242575522</v>
      </c>
      <c r="D507" s="392">
        <v>6.1913212785118406</v>
      </c>
      <c r="E507" s="294">
        <v>22780.274094674191</v>
      </c>
      <c r="F507" s="272">
        <v>6.2322532749027086</v>
      </c>
      <c r="G507" s="272">
        <v>270.79685209866875</v>
      </c>
      <c r="H507" s="277">
        <v>4.0931996390868086E-2</v>
      </c>
      <c r="J507" s="294">
        <f t="shared" si="21"/>
        <v>163230.16111277969</v>
      </c>
      <c r="K507" s="294">
        <f t="shared" si="22"/>
        <v>164187.32415240706</v>
      </c>
      <c r="L507" s="281">
        <f t="shared" si="23"/>
        <v>1</v>
      </c>
    </row>
    <row r="508" spans="2:12" x14ac:dyDescent="0.15">
      <c r="B508" s="281">
        <v>501</v>
      </c>
      <c r="C508" s="294">
        <v>21581.972177708984</v>
      </c>
      <c r="D508" s="392">
        <v>6.1411994733035318</v>
      </c>
      <c r="E508" s="294">
        <v>21697.065098195329</v>
      </c>
      <c r="F508" s="272">
        <v>6.1581541290024173</v>
      </c>
      <c r="G508" s="272">
        <v>115.09292048634597</v>
      </c>
      <c r="H508" s="277">
        <v>1.6954655698885546E-2</v>
      </c>
      <c r="J508" s="294">
        <f t="shared" si="21"/>
        <v>162654.01202139698</v>
      </c>
      <c r="K508" s="294">
        <f t="shared" si="22"/>
        <v>163047.55877187717</v>
      </c>
      <c r="L508" s="281">
        <f t="shared" si="23"/>
        <v>1</v>
      </c>
    </row>
    <row r="509" spans="2:12" x14ac:dyDescent="0.15">
      <c r="B509" s="281">
        <v>502</v>
      </c>
      <c r="C509" s="294">
        <v>22935.659531777434</v>
      </c>
      <c r="D509" s="392">
        <v>6.2468401586623035</v>
      </c>
      <c r="E509" s="294">
        <v>23165.654650062992</v>
      </c>
      <c r="F509" s="272">
        <v>6.3021117348210547</v>
      </c>
      <c r="G509" s="272">
        <v>229.99511828555842</v>
      </c>
      <c r="H509" s="277">
        <v>5.5271576158751223E-2</v>
      </c>
      <c r="J509" s="294">
        <f t="shared" si="21"/>
        <v>164469.54522809168</v>
      </c>
      <c r="K509" s="294">
        <f t="shared" si="22"/>
        <v>165897.69739456865</v>
      </c>
      <c r="L509" s="281">
        <f t="shared" si="23"/>
        <v>1</v>
      </c>
    </row>
    <row r="510" spans="2:12" x14ac:dyDescent="0.15">
      <c r="B510" s="281">
        <v>503</v>
      </c>
      <c r="C510" s="294">
        <v>20201.990307523523</v>
      </c>
      <c r="D510" s="392">
        <v>6.2340646905948951</v>
      </c>
      <c r="E510" s="294">
        <v>20244.446516002172</v>
      </c>
      <c r="F510" s="272">
        <v>6.2252106507781928</v>
      </c>
      <c r="G510" s="272">
        <v>42.456208478648477</v>
      </c>
      <c r="H510" s="277">
        <v>-8.8540398167022971E-3</v>
      </c>
      <c r="J510" s="294">
        <f t="shared" si="21"/>
        <v>166819.95041032333</v>
      </c>
      <c r="K510" s="294">
        <f t="shared" si="22"/>
        <v>166511.87300734362</v>
      </c>
      <c r="L510" s="281">
        <f t="shared" si="23"/>
        <v>0</v>
      </c>
    </row>
    <row r="511" spans="2:12" x14ac:dyDescent="0.15">
      <c r="B511" s="281">
        <v>504</v>
      </c>
      <c r="C511" s="294">
        <v>22337.929687165943</v>
      </c>
      <c r="D511" s="392">
        <v>6.2059406585818859</v>
      </c>
      <c r="E511" s="294">
        <v>22579.038666383341</v>
      </c>
      <c r="F511" s="272">
        <v>6.2521805785188018</v>
      </c>
      <c r="G511" s="272">
        <v>241.10897921739888</v>
      </c>
      <c r="H511" s="277">
        <v>4.6239919936915896E-2</v>
      </c>
      <c r="J511" s="294">
        <f t="shared" si="21"/>
        <v>163840.29007029062</v>
      </c>
      <c r="K511" s="294">
        <f t="shared" si="22"/>
        <v>164986.37868918071</v>
      </c>
      <c r="L511" s="281">
        <f t="shared" si="23"/>
        <v>1</v>
      </c>
    </row>
    <row r="512" spans="2:12" x14ac:dyDescent="0.15">
      <c r="B512" s="281">
        <v>505</v>
      </c>
      <c r="C512" s="294">
        <v>22077.579396192785</v>
      </c>
      <c r="D512" s="392">
        <v>6.2507054070709041</v>
      </c>
      <c r="E512" s="294">
        <v>22048.68257449572</v>
      </c>
      <c r="F512" s="272">
        <v>6.2227218874565695</v>
      </c>
      <c r="G512" s="272">
        <v>-28.896821697064297</v>
      </c>
      <c r="H512" s="277">
        <v>-2.798351961433454E-2</v>
      </c>
      <c r="J512" s="294">
        <f t="shared" si="21"/>
        <v>165443.58281593432</v>
      </c>
      <c r="K512" s="294">
        <f t="shared" si="22"/>
        <v>164632.97404920135</v>
      </c>
      <c r="L512" s="281">
        <f t="shared" si="23"/>
        <v>0</v>
      </c>
    </row>
    <row r="513" spans="2:12" x14ac:dyDescent="0.15">
      <c r="B513" s="281">
        <v>506</v>
      </c>
      <c r="C513" s="294">
        <v>20912.160477770558</v>
      </c>
      <c r="D513" s="392">
        <v>6.3447070870417228</v>
      </c>
      <c r="E513" s="294">
        <v>21056.749367017124</v>
      </c>
      <c r="F513" s="272">
        <v>6.3648019602990598</v>
      </c>
      <c r="G513" s="272">
        <v>144.5888892465664</v>
      </c>
      <c r="H513" s="277">
        <v>2.0094873257336943E-2</v>
      </c>
      <c r="J513" s="294">
        <f t="shared" si="21"/>
        <v>169429.05213348113</v>
      </c>
      <c r="K513" s="294">
        <f t="shared" si="22"/>
        <v>169887.30944195465</v>
      </c>
      <c r="L513" s="281">
        <f t="shared" si="23"/>
        <v>1</v>
      </c>
    </row>
    <row r="514" spans="2:12" x14ac:dyDescent="0.15">
      <c r="B514" s="281">
        <v>507</v>
      </c>
      <c r="C514" s="294">
        <v>21337.633250537576</v>
      </c>
      <c r="D514" s="392">
        <v>6.336372123679431</v>
      </c>
      <c r="E514" s="294">
        <v>21553.796276057201</v>
      </c>
      <c r="F514" s="272">
        <v>6.383244646604556</v>
      </c>
      <c r="G514" s="272">
        <v>216.16302551962508</v>
      </c>
      <c r="H514" s="277">
        <v>4.6872522925125004E-2</v>
      </c>
      <c r="J514" s="294">
        <f t="shared" si="21"/>
        <v>168753.53045984538</v>
      </c>
      <c r="K514" s="294">
        <f t="shared" si="22"/>
        <v>169943.54312207949</v>
      </c>
      <c r="L514" s="281">
        <f t="shared" si="23"/>
        <v>1</v>
      </c>
    </row>
    <row r="515" spans="2:12" x14ac:dyDescent="0.15">
      <c r="B515" s="281">
        <v>508</v>
      </c>
      <c r="C515" s="294">
        <v>20693.724451600476</v>
      </c>
      <c r="D515" s="392">
        <v>6.2820085030919843</v>
      </c>
      <c r="E515" s="294">
        <v>20986.13079443375</v>
      </c>
      <c r="F515" s="272">
        <v>6.3488087682927707</v>
      </c>
      <c r="G515" s="272">
        <v>292.40634283327381</v>
      </c>
      <c r="H515" s="277">
        <v>6.6800265200786413E-2</v>
      </c>
      <c r="J515" s="294">
        <f t="shared" si="21"/>
        <v>167766.53064115904</v>
      </c>
      <c r="K515" s="294">
        <f t="shared" si="22"/>
        <v>169478.13225434936</v>
      </c>
      <c r="L515" s="281">
        <f t="shared" si="23"/>
        <v>1</v>
      </c>
    </row>
    <row r="516" spans="2:12" x14ac:dyDescent="0.15">
      <c r="B516" s="281">
        <v>509</v>
      </c>
      <c r="C516" s="294">
        <v>21245.039926266014</v>
      </c>
      <c r="D516" s="392">
        <v>6.2636186473250355</v>
      </c>
      <c r="E516" s="294">
        <v>21447.471293918854</v>
      </c>
      <c r="F516" s="272">
        <v>6.3113937020746533</v>
      </c>
      <c r="G516" s="272">
        <v>202.43136765283998</v>
      </c>
      <c r="H516" s="277">
        <v>4.7775054749617851E-2</v>
      </c>
      <c r="J516" s="294">
        <f t="shared" si="21"/>
        <v>166663.51949348504</v>
      </c>
      <c r="K516" s="294">
        <f t="shared" si="22"/>
        <v>167894.33976832076</v>
      </c>
      <c r="L516" s="281">
        <f t="shared" si="23"/>
        <v>1</v>
      </c>
    </row>
    <row r="517" spans="2:12" x14ac:dyDescent="0.15">
      <c r="B517" s="281">
        <v>510</v>
      </c>
      <c r="C517" s="294">
        <v>20840.024319972086</v>
      </c>
      <c r="D517" s="392">
        <v>6.3854127189750054</v>
      </c>
      <c r="E517" s="294">
        <v>21049.569607191326</v>
      </c>
      <c r="F517" s="272">
        <v>6.4416385628568689</v>
      </c>
      <c r="G517" s="272">
        <v>209.54528721923998</v>
      </c>
      <c r="H517" s="277">
        <v>5.6225843881863469E-2</v>
      </c>
      <c r="J517" s="294">
        <f t="shared" si="21"/>
        <v>170722.35724927808</v>
      </c>
      <c r="K517" s="294">
        <f t="shared" si="22"/>
        <v>172199.58727851475</v>
      </c>
      <c r="L517" s="281">
        <f t="shared" si="23"/>
        <v>1</v>
      </c>
    </row>
    <row r="518" spans="2:12" x14ac:dyDescent="0.15">
      <c r="B518" s="281">
        <v>511</v>
      </c>
      <c r="C518" s="294">
        <v>22670.89304859909</v>
      </c>
      <c r="D518" s="392">
        <v>6.1085873109508828</v>
      </c>
      <c r="E518" s="294">
        <v>22628.671070447188</v>
      </c>
      <c r="F518" s="272">
        <v>6.0623982880760812</v>
      </c>
      <c r="G518" s="272">
        <v>-42.221978151901567</v>
      </c>
      <c r="H518" s="277">
        <v>-4.6189022874801644E-2</v>
      </c>
      <c r="J518" s="294">
        <f t="shared" si="21"/>
        <v>160586.72627992739</v>
      </c>
      <c r="K518" s="294">
        <f t="shared" si="22"/>
        <v>159243.27757183523</v>
      </c>
      <c r="L518" s="281">
        <f t="shared" si="23"/>
        <v>0</v>
      </c>
    </row>
    <row r="519" spans="2:12" x14ac:dyDescent="0.15">
      <c r="B519" s="281">
        <v>512</v>
      </c>
      <c r="C519" s="294">
        <v>22749.113407171331</v>
      </c>
      <c r="D519" s="392">
        <v>6.2868280477358303</v>
      </c>
      <c r="E519" s="294">
        <v>23059.651554678803</v>
      </c>
      <c r="F519" s="272">
        <v>6.3339489185479732</v>
      </c>
      <c r="G519" s="272">
        <v>310.53814750747188</v>
      </c>
      <c r="H519" s="277">
        <v>4.712087081214289E-2</v>
      </c>
      <c r="J519" s="294">
        <f t="shared" si="21"/>
        <v>165855.72802490357</v>
      </c>
      <c r="K519" s="294">
        <f t="shared" si="22"/>
        <v>166958.8160017604</v>
      </c>
      <c r="L519" s="281">
        <f t="shared" si="23"/>
        <v>1</v>
      </c>
    </row>
    <row r="520" spans="2:12" x14ac:dyDescent="0.15">
      <c r="B520" s="281">
        <v>513</v>
      </c>
      <c r="C520" s="294">
        <v>21598.333164184638</v>
      </c>
      <c r="D520" s="392">
        <v>6.2991062004752667</v>
      </c>
      <c r="E520" s="294">
        <v>21813.673345927764</v>
      </c>
      <c r="F520" s="272">
        <v>6.3304638459213871</v>
      </c>
      <c r="G520" s="272">
        <v>215.34018174312587</v>
      </c>
      <c r="H520" s="277">
        <v>3.1357645446120408E-2</v>
      </c>
      <c r="J520" s="294">
        <f t="shared" ref="J520:J583" si="24">(D520*wtp)-C520</f>
        <v>167374.85285007337</v>
      </c>
      <c r="K520" s="294">
        <f t="shared" ref="K520:K583" si="25">(F520*wtp)-E520</f>
        <v>168100.24203171386</v>
      </c>
      <c r="L520" s="281">
        <f t="shared" si="23"/>
        <v>1</v>
      </c>
    </row>
    <row r="521" spans="2:12" x14ac:dyDescent="0.15">
      <c r="B521" s="281">
        <v>514</v>
      </c>
      <c r="C521" s="294">
        <v>20756.751019868687</v>
      </c>
      <c r="D521" s="392">
        <v>6.3019386620057389</v>
      </c>
      <c r="E521" s="294">
        <v>20910.367111202224</v>
      </c>
      <c r="F521" s="272">
        <v>6.3305044546500362</v>
      </c>
      <c r="G521" s="272">
        <v>153.61609133353704</v>
      </c>
      <c r="H521" s="277">
        <v>2.8565792644297261E-2</v>
      </c>
      <c r="J521" s="294">
        <f t="shared" si="24"/>
        <v>168301.40884030348</v>
      </c>
      <c r="K521" s="294">
        <f t="shared" si="25"/>
        <v>169004.76652829887</v>
      </c>
      <c r="L521" s="281">
        <f t="shared" ref="L521:L584" si="26">IF(K521&gt;J521,1,0)</f>
        <v>1</v>
      </c>
    </row>
    <row r="522" spans="2:12" x14ac:dyDescent="0.15">
      <c r="B522" s="281">
        <v>515</v>
      </c>
      <c r="C522" s="294">
        <v>21464.552060882677</v>
      </c>
      <c r="D522" s="392">
        <v>6.2569251835990967</v>
      </c>
      <c r="E522" s="294">
        <v>21730.843058962855</v>
      </c>
      <c r="F522" s="272">
        <v>6.3098950295546006</v>
      </c>
      <c r="G522" s="272">
        <v>266.29099808017781</v>
      </c>
      <c r="H522" s="277">
        <v>5.2969845955503914E-2</v>
      </c>
      <c r="J522" s="294">
        <f t="shared" si="24"/>
        <v>166243.20344709023</v>
      </c>
      <c r="K522" s="294">
        <f t="shared" si="25"/>
        <v>167566.00782767514</v>
      </c>
      <c r="L522" s="281">
        <f t="shared" si="26"/>
        <v>1</v>
      </c>
    </row>
    <row r="523" spans="2:12" x14ac:dyDescent="0.15">
      <c r="B523" s="281">
        <v>516</v>
      </c>
      <c r="C523" s="294">
        <v>21605.485393619456</v>
      </c>
      <c r="D523" s="392">
        <v>6.2788395244544262</v>
      </c>
      <c r="E523" s="294">
        <v>21833.937266746223</v>
      </c>
      <c r="F523" s="272">
        <v>6.3417179368452414</v>
      </c>
      <c r="G523" s="272">
        <v>228.45187312676717</v>
      </c>
      <c r="H523" s="277">
        <v>6.2878412390815264E-2</v>
      </c>
      <c r="J523" s="294">
        <f t="shared" si="24"/>
        <v>166759.70034001334</v>
      </c>
      <c r="K523" s="294">
        <f t="shared" si="25"/>
        <v>168417.60083861102</v>
      </c>
      <c r="L523" s="281">
        <f t="shared" si="26"/>
        <v>1</v>
      </c>
    </row>
    <row r="524" spans="2:12" x14ac:dyDescent="0.15">
      <c r="B524" s="281">
        <v>517</v>
      </c>
      <c r="C524" s="294">
        <v>22339.828039677122</v>
      </c>
      <c r="D524" s="392">
        <v>6.2260811847869562</v>
      </c>
      <c r="E524" s="294">
        <v>22574.431041674241</v>
      </c>
      <c r="F524" s="272">
        <v>6.2425563700132916</v>
      </c>
      <c r="G524" s="272">
        <v>234.60300199711855</v>
      </c>
      <c r="H524" s="277">
        <v>1.6475185226335398E-2</v>
      </c>
      <c r="J524" s="294">
        <f t="shared" si="24"/>
        <v>164442.60750393156</v>
      </c>
      <c r="K524" s="294">
        <f t="shared" si="25"/>
        <v>164702.2600587245</v>
      </c>
      <c r="L524" s="281">
        <f t="shared" si="26"/>
        <v>1</v>
      </c>
    </row>
    <row r="525" spans="2:12" x14ac:dyDescent="0.15">
      <c r="B525" s="281">
        <v>518</v>
      </c>
      <c r="C525" s="294">
        <v>20761.88684241673</v>
      </c>
      <c r="D525" s="392">
        <v>6.199866876467949</v>
      </c>
      <c r="E525" s="294">
        <v>21026.640695990402</v>
      </c>
      <c r="F525" s="272">
        <v>6.2712733005775609</v>
      </c>
      <c r="G525" s="272">
        <v>264.75385357367122</v>
      </c>
      <c r="H525" s="277">
        <v>7.1406424109611955E-2</v>
      </c>
      <c r="J525" s="294">
        <f t="shared" si="24"/>
        <v>165234.11945162172</v>
      </c>
      <c r="K525" s="294">
        <f t="shared" si="25"/>
        <v>167111.55832133643</v>
      </c>
      <c r="L525" s="281">
        <f t="shared" si="26"/>
        <v>1</v>
      </c>
    </row>
    <row r="526" spans="2:12" x14ac:dyDescent="0.15">
      <c r="B526" s="281">
        <v>519</v>
      </c>
      <c r="C526" s="294">
        <v>21124.657150086347</v>
      </c>
      <c r="D526" s="392">
        <v>6.2234185628608945</v>
      </c>
      <c r="E526" s="294">
        <v>21398.757575530624</v>
      </c>
      <c r="F526" s="272">
        <v>6.2880918917323889</v>
      </c>
      <c r="G526" s="272">
        <v>274.10042544427779</v>
      </c>
      <c r="H526" s="277">
        <v>6.4673328871494462E-2</v>
      </c>
      <c r="J526" s="294">
        <f t="shared" si="24"/>
        <v>165577.8997357405</v>
      </c>
      <c r="K526" s="294">
        <f t="shared" si="25"/>
        <v>167243.99917644105</v>
      </c>
      <c r="L526" s="281">
        <f t="shared" si="26"/>
        <v>1</v>
      </c>
    </row>
    <row r="527" spans="2:12" x14ac:dyDescent="0.15">
      <c r="B527" s="281">
        <v>520</v>
      </c>
      <c r="C527" s="294">
        <v>21501.17913836582</v>
      </c>
      <c r="D527" s="392">
        <v>6.294638927986802</v>
      </c>
      <c r="E527" s="294">
        <v>21719.875759905888</v>
      </c>
      <c r="F527" s="272">
        <v>6.3105758605842919</v>
      </c>
      <c r="G527" s="272">
        <v>218.69662154006801</v>
      </c>
      <c r="H527" s="277">
        <v>1.593693259748985E-2</v>
      </c>
      <c r="J527" s="294">
        <f t="shared" si="24"/>
        <v>167337.98870123824</v>
      </c>
      <c r="K527" s="294">
        <f t="shared" si="25"/>
        <v>167597.40005762287</v>
      </c>
      <c r="L527" s="281">
        <f t="shared" si="26"/>
        <v>1</v>
      </c>
    </row>
    <row r="528" spans="2:12" x14ac:dyDescent="0.15">
      <c r="B528" s="281">
        <v>521</v>
      </c>
      <c r="C528" s="294">
        <v>23023.0690942941</v>
      </c>
      <c r="D528" s="392">
        <v>6.2964813168912377</v>
      </c>
      <c r="E528" s="294">
        <v>23313.949995875817</v>
      </c>
      <c r="F528" s="272">
        <v>6.3086898509536899</v>
      </c>
      <c r="G528" s="272">
        <v>290.8809015817169</v>
      </c>
      <c r="H528" s="277">
        <v>1.2208534062452259E-2</v>
      </c>
      <c r="J528" s="294">
        <f t="shared" si="24"/>
        <v>165871.37041244304</v>
      </c>
      <c r="K528" s="294">
        <f t="shared" si="25"/>
        <v>165946.74553273487</v>
      </c>
      <c r="L528" s="281">
        <f t="shared" si="26"/>
        <v>1</v>
      </c>
    </row>
    <row r="529" spans="2:12" x14ac:dyDescent="0.15">
      <c r="B529" s="281">
        <v>522</v>
      </c>
      <c r="C529" s="294">
        <v>22409.828046389815</v>
      </c>
      <c r="D529" s="392">
        <v>6.2674151104926361</v>
      </c>
      <c r="E529" s="294">
        <v>22624.439290721628</v>
      </c>
      <c r="F529" s="272">
        <v>6.3270672029992863</v>
      </c>
      <c r="G529" s="272">
        <v>214.61124433181249</v>
      </c>
      <c r="H529" s="277">
        <v>5.9652092506650156E-2</v>
      </c>
      <c r="J529" s="294">
        <f t="shared" si="24"/>
        <v>165612.62526838927</v>
      </c>
      <c r="K529" s="294">
        <f t="shared" si="25"/>
        <v>167187.57679925696</v>
      </c>
      <c r="L529" s="281">
        <f t="shared" si="26"/>
        <v>1</v>
      </c>
    </row>
    <row r="530" spans="2:12" x14ac:dyDescent="0.15">
      <c r="B530" s="281">
        <v>523</v>
      </c>
      <c r="C530" s="294">
        <v>21221.931568290729</v>
      </c>
      <c r="D530" s="392">
        <v>6.3314002800404818</v>
      </c>
      <c r="E530" s="294">
        <v>21453.195960605011</v>
      </c>
      <c r="F530" s="272">
        <v>6.380319393500411</v>
      </c>
      <c r="G530" s="272">
        <v>231.2643923142823</v>
      </c>
      <c r="H530" s="277">
        <v>4.8919113459929164E-2</v>
      </c>
      <c r="J530" s="294">
        <f t="shared" si="24"/>
        <v>168720.07683292375</v>
      </c>
      <c r="K530" s="294">
        <f t="shared" si="25"/>
        <v>169956.38584440731</v>
      </c>
      <c r="L530" s="281">
        <f t="shared" si="26"/>
        <v>1</v>
      </c>
    </row>
    <row r="531" spans="2:12" x14ac:dyDescent="0.15">
      <c r="B531" s="281">
        <v>524</v>
      </c>
      <c r="C531" s="294">
        <v>22080.296460927591</v>
      </c>
      <c r="D531" s="392">
        <v>6.2317096452916525</v>
      </c>
      <c r="E531" s="294">
        <v>22366.008413162759</v>
      </c>
      <c r="F531" s="272">
        <v>6.2715303437957779</v>
      </c>
      <c r="G531" s="272">
        <v>285.7119522351677</v>
      </c>
      <c r="H531" s="277">
        <v>3.9820698504125396E-2</v>
      </c>
      <c r="J531" s="294">
        <f t="shared" si="24"/>
        <v>164870.992897822</v>
      </c>
      <c r="K531" s="294">
        <f t="shared" si="25"/>
        <v>165779.9019007106</v>
      </c>
      <c r="L531" s="281">
        <f t="shared" si="26"/>
        <v>1</v>
      </c>
    </row>
    <row r="532" spans="2:12" x14ac:dyDescent="0.15">
      <c r="B532" s="281">
        <v>525</v>
      </c>
      <c r="C532" s="294">
        <v>21789.705468726381</v>
      </c>
      <c r="D532" s="392">
        <v>6.2457684545643781</v>
      </c>
      <c r="E532" s="294">
        <v>22023.264385092782</v>
      </c>
      <c r="F532" s="272">
        <v>6.2935795286329617</v>
      </c>
      <c r="G532" s="272">
        <v>233.55891636640081</v>
      </c>
      <c r="H532" s="277">
        <v>4.7811074068583537E-2</v>
      </c>
      <c r="J532" s="294">
        <f t="shared" si="24"/>
        <v>165583.34816820498</v>
      </c>
      <c r="K532" s="294">
        <f t="shared" si="25"/>
        <v>166784.12147389608</v>
      </c>
      <c r="L532" s="281">
        <f t="shared" si="26"/>
        <v>1</v>
      </c>
    </row>
    <row r="533" spans="2:12" x14ac:dyDescent="0.15">
      <c r="B533" s="281">
        <v>526</v>
      </c>
      <c r="C533" s="294">
        <v>21959.397740962191</v>
      </c>
      <c r="D533" s="392">
        <v>6.3014778267423965</v>
      </c>
      <c r="E533" s="294">
        <v>22209.054370203641</v>
      </c>
      <c r="F533" s="272">
        <v>6.3417837459171524</v>
      </c>
      <c r="G533" s="272">
        <v>249.65662924144999</v>
      </c>
      <c r="H533" s="277">
        <v>4.03059191747559E-2</v>
      </c>
      <c r="J533" s="294">
        <f t="shared" si="24"/>
        <v>167084.9370613097</v>
      </c>
      <c r="K533" s="294">
        <f t="shared" si="25"/>
        <v>168044.45800731092</v>
      </c>
      <c r="L533" s="281">
        <f t="shared" si="26"/>
        <v>1</v>
      </c>
    </row>
    <row r="534" spans="2:12" x14ac:dyDescent="0.15">
      <c r="B534" s="281">
        <v>527</v>
      </c>
      <c r="C534" s="294">
        <v>21865.970318171738</v>
      </c>
      <c r="D534" s="392">
        <v>6.3253846929528104</v>
      </c>
      <c r="E534" s="294">
        <v>22202.905685988633</v>
      </c>
      <c r="F534" s="272">
        <v>6.3734080892794687</v>
      </c>
      <c r="G534" s="272">
        <v>336.93536781689545</v>
      </c>
      <c r="H534" s="277">
        <v>4.8023396326658307E-2</v>
      </c>
      <c r="J534" s="294">
        <f t="shared" si="24"/>
        <v>167895.57047041255</v>
      </c>
      <c r="K534" s="294">
        <f t="shared" si="25"/>
        <v>168999.33699239543</v>
      </c>
      <c r="L534" s="281">
        <f t="shared" si="26"/>
        <v>1</v>
      </c>
    </row>
    <row r="535" spans="2:12" x14ac:dyDescent="0.15">
      <c r="B535" s="281">
        <v>528</v>
      </c>
      <c r="C535" s="294">
        <v>21036.789869439031</v>
      </c>
      <c r="D535" s="392">
        <v>6.2174302391933738</v>
      </c>
      <c r="E535" s="294">
        <v>21237.117491720801</v>
      </c>
      <c r="F535" s="272">
        <v>6.2553990016113197</v>
      </c>
      <c r="G535" s="272">
        <v>200.32762228176944</v>
      </c>
      <c r="H535" s="277">
        <v>3.7968762417945889E-2</v>
      </c>
      <c r="J535" s="294">
        <f t="shared" si="24"/>
        <v>165486.11730636217</v>
      </c>
      <c r="K535" s="294">
        <f t="shared" si="25"/>
        <v>166424.8525566188</v>
      </c>
      <c r="L535" s="281">
        <f t="shared" si="26"/>
        <v>1</v>
      </c>
    </row>
    <row r="536" spans="2:12" x14ac:dyDescent="0.15">
      <c r="B536" s="281">
        <v>529</v>
      </c>
      <c r="C536" s="294">
        <v>21258.577796255562</v>
      </c>
      <c r="D536" s="392">
        <v>6.3157513774045704</v>
      </c>
      <c r="E536" s="294">
        <v>21340.302206312885</v>
      </c>
      <c r="F536" s="272">
        <v>6.2887599867651796</v>
      </c>
      <c r="G536" s="272">
        <v>81.72441005732253</v>
      </c>
      <c r="H536" s="277">
        <v>-2.6991390639390822E-2</v>
      </c>
      <c r="J536" s="294">
        <f t="shared" si="24"/>
        <v>168213.96352588155</v>
      </c>
      <c r="K536" s="294">
        <f t="shared" si="25"/>
        <v>167322.49739664249</v>
      </c>
      <c r="L536" s="281">
        <f t="shared" si="26"/>
        <v>0</v>
      </c>
    </row>
    <row r="537" spans="2:12" x14ac:dyDescent="0.15">
      <c r="B537" s="281">
        <v>530</v>
      </c>
      <c r="C537" s="294">
        <v>21556.575674453448</v>
      </c>
      <c r="D537" s="392">
        <v>6.339788976336898</v>
      </c>
      <c r="E537" s="294">
        <v>21792.272202027743</v>
      </c>
      <c r="F537" s="272">
        <v>6.3668347692959548</v>
      </c>
      <c r="G537" s="272">
        <v>235.69652757429503</v>
      </c>
      <c r="H537" s="277">
        <v>2.7045792959056847E-2</v>
      </c>
      <c r="J537" s="294">
        <f t="shared" si="24"/>
        <v>168637.09361565349</v>
      </c>
      <c r="K537" s="294">
        <f t="shared" si="25"/>
        <v>169212.77087685087</v>
      </c>
      <c r="L537" s="281">
        <f t="shared" si="26"/>
        <v>1</v>
      </c>
    </row>
    <row r="538" spans="2:12" x14ac:dyDescent="0.15">
      <c r="B538" s="281">
        <v>531</v>
      </c>
      <c r="C538" s="294">
        <v>23606.505389860391</v>
      </c>
      <c r="D538" s="392">
        <v>6.353343323016583</v>
      </c>
      <c r="E538" s="294">
        <v>23884.630278736418</v>
      </c>
      <c r="F538" s="272">
        <v>6.4069172121913489</v>
      </c>
      <c r="G538" s="272">
        <v>278.1248888760274</v>
      </c>
      <c r="H538" s="277">
        <v>5.357388917476591E-2</v>
      </c>
      <c r="J538" s="294">
        <f t="shared" si="24"/>
        <v>166993.79430063709</v>
      </c>
      <c r="K538" s="294">
        <f t="shared" si="25"/>
        <v>168322.88608700407</v>
      </c>
      <c r="L538" s="281">
        <f t="shared" si="26"/>
        <v>1</v>
      </c>
    </row>
    <row r="539" spans="2:12" x14ac:dyDescent="0.15">
      <c r="B539" s="281">
        <v>532</v>
      </c>
      <c r="C539" s="294">
        <v>21143.132983703508</v>
      </c>
      <c r="D539" s="392">
        <v>6.283776169400431</v>
      </c>
      <c r="E539" s="294">
        <v>21409.31746343329</v>
      </c>
      <c r="F539" s="272">
        <v>6.3317474082033218</v>
      </c>
      <c r="G539" s="272">
        <v>266.18447972978174</v>
      </c>
      <c r="H539" s="277">
        <v>4.7971238802890781E-2</v>
      </c>
      <c r="J539" s="294">
        <f t="shared" si="24"/>
        <v>167370.15209830942</v>
      </c>
      <c r="K539" s="294">
        <f t="shared" si="25"/>
        <v>168543.10478266637</v>
      </c>
      <c r="L539" s="281">
        <f t="shared" si="26"/>
        <v>1</v>
      </c>
    </row>
    <row r="540" spans="2:12" x14ac:dyDescent="0.15">
      <c r="B540" s="281">
        <v>533</v>
      </c>
      <c r="C540" s="294">
        <v>22572.109922892498</v>
      </c>
      <c r="D540" s="392">
        <v>6.3434964300154446</v>
      </c>
      <c r="E540" s="294">
        <v>22738.767663551942</v>
      </c>
      <c r="F540" s="272">
        <v>6.3562682588418085</v>
      </c>
      <c r="G540" s="272">
        <v>166.65774065944424</v>
      </c>
      <c r="H540" s="277">
        <v>1.2771828826363851E-2</v>
      </c>
      <c r="J540" s="294">
        <f t="shared" si="24"/>
        <v>167732.78297757084</v>
      </c>
      <c r="K540" s="294">
        <f t="shared" si="25"/>
        <v>167949.28010170232</v>
      </c>
      <c r="L540" s="281">
        <f t="shared" si="26"/>
        <v>1</v>
      </c>
    </row>
    <row r="541" spans="2:12" x14ac:dyDescent="0.15">
      <c r="B541" s="281">
        <v>534</v>
      </c>
      <c r="C541" s="294">
        <v>20925.806567564054</v>
      </c>
      <c r="D541" s="392">
        <v>6.251764359210954</v>
      </c>
      <c r="E541" s="294">
        <v>21038.433092878367</v>
      </c>
      <c r="F541" s="272">
        <v>6.2623053322041873</v>
      </c>
      <c r="G541" s="272">
        <v>112.62652531431377</v>
      </c>
      <c r="H541" s="277">
        <v>1.0540972993233311E-2</v>
      </c>
      <c r="J541" s="294">
        <f t="shared" si="24"/>
        <v>166627.12420876455</v>
      </c>
      <c r="K541" s="294">
        <f t="shared" si="25"/>
        <v>166830.72687324724</v>
      </c>
      <c r="L541" s="281">
        <f t="shared" si="26"/>
        <v>1</v>
      </c>
    </row>
    <row r="542" spans="2:12" x14ac:dyDescent="0.15">
      <c r="B542" s="281">
        <v>535</v>
      </c>
      <c r="C542" s="294">
        <v>22061.294505140071</v>
      </c>
      <c r="D542" s="392">
        <v>6.2316096291504017</v>
      </c>
      <c r="E542" s="294">
        <v>22234.711987604034</v>
      </c>
      <c r="F542" s="272">
        <v>6.2551769618830155</v>
      </c>
      <c r="G542" s="272">
        <v>173.4174824639631</v>
      </c>
      <c r="H542" s="277">
        <v>2.3567332732613799E-2</v>
      </c>
      <c r="J542" s="294">
        <f t="shared" si="24"/>
        <v>164886.99436937197</v>
      </c>
      <c r="K542" s="294">
        <f t="shared" si="25"/>
        <v>165420.59686888644</v>
      </c>
      <c r="L542" s="281">
        <f t="shared" si="26"/>
        <v>1</v>
      </c>
    </row>
    <row r="543" spans="2:12" x14ac:dyDescent="0.15">
      <c r="B543" s="281">
        <v>536</v>
      </c>
      <c r="C543" s="294">
        <v>21245.691691210312</v>
      </c>
      <c r="D543" s="392">
        <v>6.3090322354480257</v>
      </c>
      <c r="E543" s="294">
        <v>21419.407574504916</v>
      </c>
      <c r="F543" s="272">
        <v>6.3298988228580448</v>
      </c>
      <c r="G543" s="272">
        <v>173.71588329460428</v>
      </c>
      <c r="H543" s="277">
        <v>2.0866587410019122E-2</v>
      </c>
      <c r="J543" s="294">
        <f t="shared" si="24"/>
        <v>168025.27537223045</v>
      </c>
      <c r="K543" s="294">
        <f t="shared" si="25"/>
        <v>168477.55711123644</v>
      </c>
      <c r="L543" s="281">
        <f t="shared" si="26"/>
        <v>1</v>
      </c>
    </row>
    <row r="544" spans="2:12" x14ac:dyDescent="0.15">
      <c r="B544" s="281">
        <v>537</v>
      </c>
      <c r="C544" s="294">
        <v>21773.248671964026</v>
      </c>
      <c r="D544" s="392">
        <v>6.3682096945712514</v>
      </c>
      <c r="E544" s="294">
        <v>21940.678228472207</v>
      </c>
      <c r="F544" s="272">
        <v>6.3872158014026343</v>
      </c>
      <c r="G544" s="272">
        <v>167.42955650818112</v>
      </c>
      <c r="H544" s="277">
        <v>1.900610683138293E-2</v>
      </c>
      <c r="J544" s="294">
        <f t="shared" si="24"/>
        <v>169273.04216517354</v>
      </c>
      <c r="K544" s="294">
        <f t="shared" si="25"/>
        <v>169675.79581360682</v>
      </c>
      <c r="L544" s="281">
        <f t="shared" si="26"/>
        <v>1</v>
      </c>
    </row>
    <row r="545" spans="2:12" x14ac:dyDescent="0.15">
      <c r="B545" s="281">
        <v>538</v>
      </c>
      <c r="C545" s="294">
        <v>22385.139672963865</v>
      </c>
      <c r="D545" s="392">
        <v>6.3090029106045709</v>
      </c>
      <c r="E545" s="294">
        <v>22584.781521288787</v>
      </c>
      <c r="F545" s="272">
        <v>6.3502851921148276</v>
      </c>
      <c r="G545" s="272">
        <v>199.64184832492174</v>
      </c>
      <c r="H545" s="277">
        <v>4.1282281510256702E-2</v>
      </c>
      <c r="J545" s="294">
        <f t="shared" si="24"/>
        <v>166884.94764517323</v>
      </c>
      <c r="K545" s="294">
        <f t="shared" si="25"/>
        <v>167923.77424215604</v>
      </c>
      <c r="L545" s="281">
        <f t="shared" si="26"/>
        <v>1</v>
      </c>
    </row>
    <row r="546" spans="2:12" x14ac:dyDescent="0.15">
      <c r="B546" s="281">
        <v>539</v>
      </c>
      <c r="C546" s="294">
        <v>21500.939486518757</v>
      </c>
      <c r="D546" s="392">
        <v>6.2805760624765332</v>
      </c>
      <c r="E546" s="294">
        <v>21784.794650907636</v>
      </c>
      <c r="F546" s="272">
        <v>6.325677588106859</v>
      </c>
      <c r="G546" s="272">
        <v>283.85516438887862</v>
      </c>
      <c r="H546" s="277">
        <v>4.5101525630325767E-2</v>
      </c>
      <c r="J546" s="294">
        <f t="shared" si="24"/>
        <v>166916.34238777723</v>
      </c>
      <c r="K546" s="294">
        <f t="shared" si="25"/>
        <v>167985.53299229813</v>
      </c>
      <c r="L546" s="281">
        <f t="shared" si="26"/>
        <v>1</v>
      </c>
    </row>
    <row r="547" spans="2:12" x14ac:dyDescent="0.15">
      <c r="B547" s="281">
        <v>540</v>
      </c>
      <c r="C547" s="294">
        <v>20944.383758388882</v>
      </c>
      <c r="D547" s="392">
        <v>6.1420998720170736</v>
      </c>
      <c r="E547" s="294">
        <v>21161.074338861959</v>
      </c>
      <c r="F547" s="272">
        <v>6.1795953477382204</v>
      </c>
      <c r="G547" s="272">
        <v>216.69058047307772</v>
      </c>
      <c r="H547" s="277">
        <v>3.7495475721146754E-2</v>
      </c>
      <c r="J547" s="294">
        <f t="shared" si="24"/>
        <v>163318.61240212334</v>
      </c>
      <c r="K547" s="294">
        <f t="shared" si="25"/>
        <v>164226.78609328467</v>
      </c>
      <c r="L547" s="281">
        <f t="shared" si="26"/>
        <v>1</v>
      </c>
    </row>
    <row r="548" spans="2:12" x14ac:dyDescent="0.15">
      <c r="B548" s="281">
        <v>541</v>
      </c>
      <c r="C548" s="294">
        <v>20934.714841131594</v>
      </c>
      <c r="D548" s="392">
        <v>6.2954092547750538</v>
      </c>
      <c r="E548" s="294">
        <v>21072.689911532161</v>
      </c>
      <c r="F548" s="272">
        <v>6.3324171320275147</v>
      </c>
      <c r="G548" s="272">
        <v>137.97507040056735</v>
      </c>
      <c r="H548" s="277">
        <v>3.7007877252460908E-2</v>
      </c>
      <c r="J548" s="294">
        <f t="shared" si="24"/>
        <v>167927.56280212002</v>
      </c>
      <c r="K548" s="294">
        <f t="shared" si="25"/>
        <v>168899.8240492933</v>
      </c>
      <c r="L548" s="281">
        <f t="shared" si="26"/>
        <v>1</v>
      </c>
    </row>
    <row r="549" spans="2:12" x14ac:dyDescent="0.15">
      <c r="B549" s="281">
        <v>542</v>
      </c>
      <c r="C549" s="294">
        <v>20887.592752291788</v>
      </c>
      <c r="D549" s="392">
        <v>6.3920895124832651</v>
      </c>
      <c r="E549" s="294">
        <v>21165.05225336659</v>
      </c>
      <c r="F549" s="272">
        <v>6.4399072638379371</v>
      </c>
      <c r="G549" s="272">
        <v>277.45950107480166</v>
      </c>
      <c r="H549" s="277">
        <v>4.7817751354672033E-2</v>
      </c>
      <c r="J549" s="294">
        <f t="shared" si="24"/>
        <v>170875.09262220617</v>
      </c>
      <c r="K549" s="294">
        <f t="shared" si="25"/>
        <v>172032.16566177152</v>
      </c>
      <c r="L549" s="281">
        <f t="shared" si="26"/>
        <v>1</v>
      </c>
    </row>
    <row r="550" spans="2:12" x14ac:dyDescent="0.15">
      <c r="B550" s="281">
        <v>543</v>
      </c>
      <c r="C550" s="294">
        <v>20894.792471254535</v>
      </c>
      <c r="D550" s="392">
        <v>6.2185451159241083</v>
      </c>
      <c r="E550" s="294">
        <v>20879.070727881473</v>
      </c>
      <c r="F550" s="272">
        <v>6.1919035973357923</v>
      </c>
      <c r="G550" s="272">
        <v>-15.721743373062054</v>
      </c>
      <c r="H550" s="277">
        <v>-2.6641518588315982E-2</v>
      </c>
      <c r="J550" s="294">
        <f t="shared" si="24"/>
        <v>165661.56100646872</v>
      </c>
      <c r="K550" s="294">
        <f t="shared" si="25"/>
        <v>164878.03719219228</v>
      </c>
      <c r="L550" s="281">
        <f t="shared" si="26"/>
        <v>0</v>
      </c>
    </row>
    <row r="551" spans="2:12" x14ac:dyDescent="0.15">
      <c r="B551" s="281">
        <v>544</v>
      </c>
      <c r="C551" s="294">
        <v>21079.683053533103</v>
      </c>
      <c r="D551" s="392">
        <v>6.2015743574866615</v>
      </c>
      <c r="E551" s="294">
        <v>21265.202463763944</v>
      </c>
      <c r="F551" s="272">
        <v>6.2403498081551687</v>
      </c>
      <c r="G551" s="272">
        <v>185.51941023084146</v>
      </c>
      <c r="H551" s="277">
        <v>3.8775450668507183E-2</v>
      </c>
      <c r="J551" s="294">
        <f t="shared" si="24"/>
        <v>164967.54767106674</v>
      </c>
      <c r="K551" s="294">
        <f t="shared" si="25"/>
        <v>165945.29178089113</v>
      </c>
      <c r="L551" s="281">
        <f t="shared" si="26"/>
        <v>1</v>
      </c>
    </row>
    <row r="552" spans="2:12" x14ac:dyDescent="0.15">
      <c r="B552" s="281">
        <v>545</v>
      </c>
      <c r="C552" s="294">
        <v>21896.371101413966</v>
      </c>
      <c r="D552" s="392">
        <v>6.2467811339028207</v>
      </c>
      <c r="E552" s="294">
        <v>22073.942276589838</v>
      </c>
      <c r="F552" s="272">
        <v>6.2933710414474895</v>
      </c>
      <c r="G552" s="272">
        <v>177.57117517587176</v>
      </c>
      <c r="H552" s="277">
        <v>4.6589907544668741E-2</v>
      </c>
      <c r="J552" s="294">
        <f t="shared" si="24"/>
        <v>165507.06291567066</v>
      </c>
      <c r="K552" s="294">
        <f t="shared" si="25"/>
        <v>166727.18896683486</v>
      </c>
      <c r="L552" s="281">
        <f t="shared" si="26"/>
        <v>1</v>
      </c>
    </row>
    <row r="553" spans="2:12" x14ac:dyDescent="0.15">
      <c r="B553" s="281">
        <v>546</v>
      </c>
      <c r="C553" s="294">
        <v>20958.650083513217</v>
      </c>
      <c r="D553" s="392">
        <v>6.2728670084825318</v>
      </c>
      <c r="E553" s="294">
        <v>21180.450691603066</v>
      </c>
      <c r="F553" s="272">
        <v>6.3285974103976823</v>
      </c>
      <c r="G553" s="272">
        <v>221.80060808984854</v>
      </c>
      <c r="H553" s="277">
        <v>5.5730401915150551E-2</v>
      </c>
      <c r="J553" s="294">
        <f t="shared" si="24"/>
        <v>167227.36017096275</v>
      </c>
      <c r="K553" s="294">
        <f t="shared" si="25"/>
        <v>168677.47162032741</v>
      </c>
      <c r="L553" s="281">
        <f t="shared" si="26"/>
        <v>1</v>
      </c>
    </row>
    <row r="554" spans="2:12" x14ac:dyDescent="0.15">
      <c r="B554" s="281">
        <v>547</v>
      </c>
      <c r="C554" s="294">
        <v>20619.102588934802</v>
      </c>
      <c r="D554" s="392">
        <v>6.1751180383972688</v>
      </c>
      <c r="E554" s="294">
        <v>20776.123855974834</v>
      </c>
      <c r="F554" s="272">
        <v>6.18661341779928</v>
      </c>
      <c r="G554" s="272">
        <v>157.0212670400324</v>
      </c>
      <c r="H554" s="277">
        <v>1.1495379402011174E-2</v>
      </c>
      <c r="J554" s="294">
        <f t="shared" si="24"/>
        <v>164634.43856298327</v>
      </c>
      <c r="K554" s="294">
        <f t="shared" si="25"/>
        <v>164822.27867800355</v>
      </c>
      <c r="L554" s="281">
        <f t="shared" si="26"/>
        <v>1</v>
      </c>
    </row>
    <row r="555" spans="2:12" x14ac:dyDescent="0.15">
      <c r="B555" s="281">
        <v>548</v>
      </c>
      <c r="C555" s="294">
        <v>20603.91528444241</v>
      </c>
      <c r="D555" s="392">
        <v>6.2591411537849702</v>
      </c>
      <c r="E555" s="294">
        <v>20801.861683038394</v>
      </c>
      <c r="F555" s="272">
        <v>6.2875583586401049</v>
      </c>
      <c r="G555" s="272">
        <v>197.94639859598465</v>
      </c>
      <c r="H555" s="277">
        <v>2.841720485513477E-2</v>
      </c>
      <c r="J555" s="294">
        <f t="shared" si="24"/>
        <v>167170.31932910671</v>
      </c>
      <c r="K555" s="294">
        <f t="shared" si="25"/>
        <v>167824.88907616478</v>
      </c>
      <c r="L555" s="281">
        <f t="shared" si="26"/>
        <v>1</v>
      </c>
    </row>
    <row r="556" spans="2:12" x14ac:dyDescent="0.15">
      <c r="B556" s="281">
        <v>549</v>
      </c>
      <c r="C556" s="294">
        <v>21536.639186882949</v>
      </c>
      <c r="D556" s="392">
        <v>6.2611019786785187</v>
      </c>
      <c r="E556" s="294">
        <v>21700.304421412984</v>
      </c>
      <c r="F556" s="272">
        <v>6.2940844907249556</v>
      </c>
      <c r="G556" s="272">
        <v>163.66523453003538</v>
      </c>
      <c r="H556" s="277">
        <v>3.2982512046436874E-2</v>
      </c>
      <c r="J556" s="294">
        <f t="shared" si="24"/>
        <v>166296.42017347264</v>
      </c>
      <c r="K556" s="294">
        <f t="shared" si="25"/>
        <v>167122.23030033568</v>
      </c>
      <c r="L556" s="281">
        <f t="shared" si="26"/>
        <v>1</v>
      </c>
    </row>
    <row r="557" spans="2:12" x14ac:dyDescent="0.15">
      <c r="B557" s="281">
        <v>550</v>
      </c>
      <c r="C557" s="294">
        <v>19494.090296470815</v>
      </c>
      <c r="D557" s="392">
        <v>6.3548885105023407</v>
      </c>
      <c r="E557" s="294">
        <v>19665.279875036656</v>
      </c>
      <c r="F557" s="272">
        <v>6.386432104857338</v>
      </c>
      <c r="G557" s="272">
        <v>171.18957856584166</v>
      </c>
      <c r="H557" s="277">
        <v>3.1543594354997317E-2</v>
      </c>
      <c r="J557" s="294">
        <f t="shared" si="24"/>
        <v>171152.56501859939</v>
      </c>
      <c r="K557" s="294">
        <f t="shared" si="25"/>
        <v>171927.68327068348</v>
      </c>
      <c r="L557" s="281">
        <f t="shared" si="26"/>
        <v>1</v>
      </c>
    </row>
    <row r="558" spans="2:12" x14ac:dyDescent="0.15">
      <c r="B558" s="281">
        <v>551</v>
      </c>
      <c r="C558" s="294">
        <v>20798.791149919252</v>
      </c>
      <c r="D558" s="392">
        <v>6.2397626395341224</v>
      </c>
      <c r="E558" s="294">
        <v>20992.013802575198</v>
      </c>
      <c r="F558" s="272">
        <v>6.2608101087743808</v>
      </c>
      <c r="G558" s="272">
        <v>193.22265265594615</v>
      </c>
      <c r="H558" s="277">
        <v>2.1047469240258465E-2</v>
      </c>
      <c r="J558" s="294">
        <f t="shared" si="24"/>
        <v>166394.08803610443</v>
      </c>
      <c r="K558" s="294">
        <f t="shared" si="25"/>
        <v>166832.2894606562</v>
      </c>
      <c r="L558" s="281">
        <f t="shared" si="26"/>
        <v>1</v>
      </c>
    </row>
    <row r="559" spans="2:12" x14ac:dyDescent="0.15">
      <c r="B559" s="281">
        <v>552</v>
      </c>
      <c r="C559" s="294">
        <v>22641.845306710162</v>
      </c>
      <c r="D559" s="392">
        <v>6.2441414128031498</v>
      </c>
      <c r="E559" s="294">
        <v>22853.230331528037</v>
      </c>
      <c r="F559" s="272">
        <v>6.276306085570833</v>
      </c>
      <c r="G559" s="272">
        <v>211.38502481787509</v>
      </c>
      <c r="H559" s="277">
        <v>3.21646727676832E-2</v>
      </c>
      <c r="J559" s="294">
        <f t="shared" si="24"/>
        <v>164682.39707738432</v>
      </c>
      <c r="K559" s="294">
        <f t="shared" si="25"/>
        <v>165435.95223559695</v>
      </c>
      <c r="L559" s="281">
        <f t="shared" si="26"/>
        <v>1</v>
      </c>
    </row>
    <row r="560" spans="2:12" x14ac:dyDescent="0.15">
      <c r="B560" s="281">
        <v>553</v>
      </c>
      <c r="C560" s="294">
        <v>22635.514845614198</v>
      </c>
      <c r="D560" s="392">
        <v>6.2726371817144786</v>
      </c>
      <c r="E560" s="294">
        <v>22815.883133332307</v>
      </c>
      <c r="F560" s="272">
        <v>6.3004396349646932</v>
      </c>
      <c r="G560" s="272">
        <v>180.36828771810906</v>
      </c>
      <c r="H560" s="277">
        <v>2.7802453250214576E-2</v>
      </c>
      <c r="J560" s="294">
        <f t="shared" si="24"/>
        <v>165543.60060582016</v>
      </c>
      <c r="K560" s="294">
        <f t="shared" si="25"/>
        <v>166197.30591560848</v>
      </c>
      <c r="L560" s="281">
        <f t="shared" si="26"/>
        <v>1</v>
      </c>
    </row>
    <row r="561" spans="2:12" x14ac:dyDescent="0.15">
      <c r="B561" s="281">
        <v>554</v>
      </c>
      <c r="C561" s="294">
        <v>20535.245009468308</v>
      </c>
      <c r="D561" s="392">
        <v>6.371726755526792</v>
      </c>
      <c r="E561" s="294">
        <v>20618.712454116841</v>
      </c>
      <c r="F561" s="272">
        <v>6.3894953117094992</v>
      </c>
      <c r="G561" s="272">
        <v>83.467444648533274</v>
      </c>
      <c r="H561" s="277">
        <v>1.7768556182707229E-2</v>
      </c>
      <c r="J561" s="294">
        <f t="shared" si="24"/>
        <v>170616.55765633544</v>
      </c>
      <c r="K561" s="294">
        <f t="shared" si="25"/>
        <v>171066.14689716813</v>
      </c>
      <c r="L561" s="281">
        <f t="shared" si="26"/>
        <v>1</v>
      </c>
    </row>
    <row r="562" spans="2:12" x14ac:dyDescent="0.15">
      <c r="B562" s="281">
        <v>555</v>
      </c>
      <c r="C562" s="294">
        <v>21579.681079933849</v>
      </c>
      <c r="D562" s="392">
        <v>6.2528430811309974</v>
      </c>
      <c r="E562" s="294">
        <v>21781.759220995722</v>
      </c>
      <c r="F562" s="272">
        <v>6.30239455559418</v>
      </c>
      <c r="G562" s="272">
        <v>202.07814106187288</v>
      </c>
      <c r="H562" s="277">
        <v>4.9551474463182643E-2</v>
      </c>
      <c r="J562" s="294">
        <f t="shared" si="24"/>
        <v>166005.61135399606</v>
      </c>
      <c r="K562" s="294">
        <f t="shared" si="25"/>
        <v>167290.0774468297</v>
      </c>
      <c r="L562" s="281">
        <f t="shared" si="26"/>
        <v>1</v>
      </c>
    </row>
    <row r="563" spans="2:12" x14ac:dyDescent="0.15">
      <c r="B563" s="281">
        <v>556</v>
      </c>
      <c r="C563" s="294">
        <v>20848.485768852086</v>
      </c>
      <c r="D563" s="392">
        <v>6.3582842379337698</v>
      </c>
      <c r="E563" s="294">
        <v>21038.524519869006</v>
      </c>
      <c r="F563" s="272">
        <v>6.3867557404875761</v>
      </c>
      <c r="G563" s="272">
        <v>190.03875101692029</v>
      </c>
      <c r="H563" s="277">
        <v>2.847150255380626E-2</v>
      </c>
      <c r="J563" s="294">
        <f t="shared" si="24"/>
        <v>169900.04136916102</v>
      </c>
      <c r="K563" s="294">
        <f t="shared" si="25"/>
        <v>170564.14769475829</v>
      </c>
      <c r="L563" s="281">
        <f t="shared" si="26"/>
        <v>1</v>
      </c>
    </row>
    <row r="564" spans="2:12" x14ac:dyDescent="0.15">
      <c r="B564" s="281">
        <v>557</v>
      </c>
      <c r="C564" s="294">
        <v>22169.433525273915</v>
      </c>
      <c r="D564" s="392">
        <v>6.3365561092835083</v>
      </c>
      <c r="E564" s="294">
        <v>22436.015016186597</v>
      </c>
      <c r="F564" s="272">
        <v>6.3971386475693102</v>
      </c>
      <c r="G564" s="272">
        <v>266.58149091268206</v>
      </c>
      <c r="H564" s="277">
        <v>6.0582538285801846E-2</v>
      </c>
      <c r="J564" s="294">
        <f t="shared" si="24"/>
        <v>167927.24975323133</v>
      </c>
      <c r="K564" s="294">
        <f t="shared" si="25"/>
        <v>169478.14441089271</v>
      </c>
      <c r="L564" s="281">
        <f t="shared" si="26"/>
        <v>1</v>
      </c>
    </row>
    <row r="565" spans="2:12" x14ac:dyDescent="0.15">
      <c r="B565" s="281">
        <v>558</v>
      </c>
      <c r="C565" s="294">
        <v>22189.241960377458</v>
      </c>
      <c r="D565" s="392">
        <v>6.2359553709114683</v>
      </c>
      <c r="E565" s="294">
        <v>22451.021175936341</v>
      </c>
      <c r="F565" s="272">
        <v>6.2685558261119958</v>
      </c>
      <c r="G565" s="272">
        <v>261.77921555888315</v>
      </c>
      <c r="H565" s="277">
        <v>3.2600455200527456E-2</v>
      </c>
      <c r="J565" s="294">
        <f t="shared" si="24"/>
        <v>164889.41916696657</v>
      </c>
      <c r="K565" s="294">
        <f t="shared" si="25"/>
        <v>165605.65360742353</v>
      </c>
      <c r="L565" s="281">
        <f t="shared" si="26"/>
        <v>1</v>
      </c>
    </row>
    <row r="566" spans="2:12" x14ac:dyDescent="0.15">
      <c r="B566" s="281">
        <v>559</v>
      </c>
      <c r="C566" s="294">
        <v>21221.700529990187</v>
      </c>
      <c r="D566" s="392">
        <v>6.2620701561854437</v>
      </c>
      <c r="E566" s="294">
        <v>21531.885283142765</v>
      </c>
      <c r="F566" s="272">
        <v>6.3064689078714444</v>
      </c>
      <c r="G566" s="272">
        <v>310.1847531525782</v>
      </c>
      <c r="H566" s="277">
        <v>4.4398751686000715E-2</v>
      </c>
      <c r="J566" s="294">
        <f t="shared" si="24"/>
        <v>166640.40415557311</v>
      </c>
      <c r="K566" s="294">
        <f t="shared" si="25"/>
        <v>167662.18195300057</v>
      </c>
      <c r="L566" s="281">
        <f t="shared" si="26"/>
        <v>1</v>
      </c>
    </row>
    <row r="567" spans="2:12" x14ac:dyDescent="0.15">
      <c r="B567" s="281">
        <v>560</v>
      </c>
      <c r="C567" s="294">
        <v>20775.676038536771</v>
      </c>
      <c r="D567" s="392">
        <v>6.313659526135206</v>
      </c>
      <c r="E567" s="294">
        <v>21016.077554076572</v>
      </c>
      <c r="F567" s="272">
        <v>6.3635071949888067</v>
      </c>
      <c r="G567" s="272">
        <v>240.40151553980104</v>
      </c>
      <c r="H567" s="277">
        <v>4.9847668853600702E-2</v>
      </c>
      <c r="J567" s="294">
        <f t="shared" si="24"/>
        <v>168634.10974551941</v>
      </c>
      <c r="K567" s="294">
        <f t="shared" si="25"/>
        <v>169889.13829558765</v>
      </c>
      <c r="L567" s="281">
        <f t="shared" si="26"/>
        <v>1</v>
      </c>
    </row>
    <row r="568" spans="2:12" x14ac:dyDescent="0.15">
      <c r="B568" s="281">
        <v>561</v>
      </c>
      <c r="C568" s="294">
        <v>20786.926479106245</v>
      </c>
      <c r="D568" s="392">
        <v>6.1857436589022488</v>
      </c>
      <c r="E568" s="294">
        <v>21141.550295817735</v>
      </c>
      <c r="F568" s="272">
        <v>6.2233571460908497</v>
      </c>
      <c r="G568" s="272">
        <v>354.62381671148978</v>
      </c>
      <c r="H568" s="277">
        <v>3.7613487188600914E-2</v>
      </c>
      <c r="J568" s="294">
        <f t="shared" si="24"/>
        <v>164785.38328796122</v>
      </c>
      <c r="K568" s="294">
        <f t="shared" si="25"/>
        <v>165559.16408690775</v>
      </c>
      <c r="L568" s="281">
        <f t="shared" si="26"/>
        <v>1</v>
      </c>
    </row>
    <row r="569" spans="2:12" x14ac:dyDescent="0.15">
      <c r="B569" s="281">
        <v>562</v>
      </c>
      <c r="C569" s="294">
        <v>21821.832297312023</v>
      </c>
      <c r="D569" s="392">
        <v>6.3198152496984514</v>
      </c>
      <c r="E569" s="294">
        <v>22072.506866435986</v>
      </c>
      <c r="F569" s="272">
        <v>6.3630266905366044</v>
      </c>
      <c r="G569" s="272">
        <v>250.67456912396301</v>
      </c>
      <c r="H569" s="277">
        <v>4.3211440838152981E-2</v>
      </c>
      <c r="J569" s="294">
        <f t="shared" si="24"/>
        <v>167772.62519364152</v>
      </c>
      <c r="K569" s="294">
        <f t="shared" si="25"/>
        <v>168818.29384966215</v>
      </c>
      <c r="L569" s="281">
        <f t="shared" si="26"/>
        <v>1</v>
      </c>
    </row>
    <row r="570" spans="2:12" x14ac:dyDescent="0.15">
      <c r="B570" s="281">
        <v>563</v>
      </c>
      <c r="C570" s="294">
        <v>22806.707535289799</v>
      </c>
      <c r="D570" s="392">
        <v>6.2083708801670774</v>
      </c>
      <c r="E570" s="294">
        <v>22870.733199566679</v>
      </c>
      <c r="F570" s="272">
        <v>6.2395977044829909</v>
      </c>
      <c r="G570" s="272">
        <v>64.025664276879979</v>
      </c>
      <c r="H570" s="277">
        <v>3.1226824315913504E-2</v>
      </c>
      <c r="J570" s="294">
        <f t="shared" si="24"/>
        <v>163444.41886972252</v>
      </c>
      <c r="K570" s="294">
        <f t="shared" si="25"/>
        <v>164317.19793492302</v>
      </c>
      <c r="L570" s="281">
        <f t="shared" si="26"/>
        <v>1</v>
      </c>
    </row>
    <row r="571" spans="2:12" x14ac:dyDescent="0.15">
      <c r="B571" s="281">
        <v>564</v>
      </c>
      <c r="C571" s="294">
        <v>20752.639273384848</v>
      </c>
      <c r="D571" s="392">
        <v>6.3283816495764498</v>
      </c>
      <c r="E571" s="294">
        <v>20998.547212554946</v>
      </c>
      <c r="F571" s="272">
        <v>6.3811016880472087</v>
      </c>
      <c r="G571" s="272">
        <v>245.90793917009796</v>
      </c>
      <c r="H571" s="277">
        <v>5.2720038470758901E-2</v>
      </c>
      <c r="J571" s="294">
        <f t="shared" si="24"/>
        <v>169098.81021390864</v>
      </c>
      <c r="K571" s="294">
        <f t="shared" si="25"/>
        <v>170434.5034288613</v>
      </c>
      <c r="L571" s="281">
        <f t="shared" si="26"/>
        <v>1</v>
      </c>
    </row>
    <row r="572" spans="2:12" x14ac:dyDescent="0.15">
      <c r="B572" s="281">
        <v>565</v>
      </c>
      <c r="C572" s="294">
        <v>20285.402133196261</v>
      </c>
      <c r="D572" s="392">
        <v>6.2376464184827425</v>
      </c>
      <c r="E572" s="294">
        <v>20428.93679140466</v>
      </c>
      <c r="F572" s="272">
        <v>6.266390931221733</v>
      </c>
      <c r="G572" s="272">
        <v>143.53465820839847</v>
      </c>
      <c r="H572" s="277">
        <v>2.874451273899048E-2</v>
      </c>
      <c r="J572" s="294">
        <f t="shared" si="24"/>
        <v>166843.990421286</v>
      </c>
      <c r="K572" s="294">
        <f t="shared" si="25"/>
        <v>167562.79114524735</v>
      </c>
      <c r="L572" s="281">
        <f t="shared" si="26"/>
        <v>1</v>
      </c>
    </row>
    <row r="573" spans="2:12" x14ac:dyDescent="0.15">
      <c r="B573" s="281">
        <v>566</v>
      </c>
      <c r="C573" s="294">
        <v>20526.891827938944</v>
      </c>
      <c r="D573" s="392">
        <v>6.2762361010520404</v>
      </c>
      <c r="E573" s="294">
        <v>20809.358746087684</v>
      </c>
      <c r="F573" s="272">
        <v>6.3127098925936176</v>
      </c>
      <c r="G573" s="272">
        <v>282.46691814874066</v>
      </c>
      <c r="H573" s="277">
        <v>3.647379154157715E-2</v>
      </c>
      <c r="J573" s="294">
        <f t="shared" si="24"/>
        <v>167760.19120362229</v>
      </c>
      <c r="K573" s="294">
        <f t="shared" si="25"/>
        <v>168571.93803172084</v>
      </c>
      <c r="L573" s="281">
        <f t="shared" si="26"/>
        <v>1</v>
      </c>
    </row>
    <row r="574" spans="2:12" x14ac:dyDescent="0.15">
      <c r="B574" s="281">
        <v>567</v>
      </c>
      <c r="C574" s="294">
        <v>22924.77269124259</v>
      </c>
      <c r="D574" s="392">
        <v>6.2799293329833068</v>
      </c>
      <c r="E574" s="294">
        <v>23178.276018238783</v>
      </c>
      <c r="F574" s="272">
        <v>6.3412953547514919</v>
      </c>
      <c r="G574" s="272">
        <v>253.50332699619321</v>
      </c>
      <c r="H574" s="277">
        <v>6.1366021768185064E-2</v>
      </c>
      <c r="J574" s="294">
        <f t="shared" si="24"/>
        <v>165473.1072982566</v>
      </c>
      <c r="K574" s="294">
        <f t="shared" si="25"/>
        <v>167060.58462430598</v>
      </c>
      <c r="L574" s="281">
        <f t="shared" si="26"/>
        <v>1</v>
      </c>
    </row>
    <row r="575" spans="2:12" x14ac:dyDescent="0.15">
      <c r="B575" s="281">
        <v>568</v>
      </c>
      <c r="C575" s="294">
        <v>21123.561819563456</v>
      </c>
      <c r="D575" s="392">
        <v>6.2682940365827511</v>
      </c>
      <c r="E575" s="294">
        <v>21294.166911264463</v>
      </c>
      <c r="F575" s="272">
        <v>6.2593093478100519</v>
      </c>
      <c r="G575" s="272">
        <v>170.60509170100704</v>
      </c>
      <c r="H575" s="277">
        <v>-8.9846887726992009E-3</v>
      </c>
      <c r="J575" s="294">
        <f t="shared" si="24"/>
        <v>166925.25927791907</v>
      </c>
      <c r="K575" s="294">
        <f t="shared" si="25"/>
        <v>166485.11352303709</v>
      </c>
      <c r="L575" s="281">
        <f t="shared" si="26"/>
        <v>0</v>
      </c>
    </row>
    <row r="576" spans="2:12" x14ac:dyDescent="0.15">
      <c r="B576" s="281">
        <v>569</v>
      </c>
      <c r="C576" s="294">
        <v>21795.987526368594</v>
      </c>
      <c r="D576" s="392">
        <v>6.2002844538070221</v>
      </c>
      <c r="E576" s="294">
        <v>21990.491286838129</v>
      </c>
      <c r="F576" s="272">
        <v>6.227582097414551</v>
      </c>
      <c r="G576" s="272">
        <v>194.50376046953534</v>
      </c>
      <c r="H576" s="277">
        <v>2.7297643607528954E-2</v>
      </c>
      <c r="J576" s="294">
        <f t="shared" si="24"/>
        <v>164212.54608784209</v>
      </c>
      <c r="K576" s="294">
        <f t="shared" si="25"/>
        <v>164836.9716355984</v>
      </c>
      <c r="L576" s="281">
        <f t="shared" si="26"/>
        <v>1</v>
      </c>
    </row>
    <row r="577" spans="2:12" x14ac:dyDescent="0.15">
      <c r="B577" s="281">
        <v>570</v>
      </c>
      <c r="C577" s="294">
        <v>21097.02951551068</v>
      </c>
      <c r="D577" s="392">
        <v>6.2774120485739378</v>
      </c>
      <c r="E577" s="294">
        <v>21189.264961215638</v>
      </c>
      <c r="F577" s="272">
        <v>6.2935419203364908</v>
      </c>
      <c r="G577" s="272">
        <v>92.235445704958693</v>
      </c>
      <c r="H577" s="277">
        <v>1.6129871762553094E-2</v>
      </c>
      <c r="J577" s="294">
        <f t="shared" si="24"/>
        <v>167225.33194170744</v>
      </c>
      <c r="K577" s="294">
        <f t="shared" si="25"/>
        <v>167616.9926488791</v>
      </c>
      <c r="L577" s="281">
        <f t="shared" si="26"/>
        <v>1</v>
      </c>
    </row>
    <row r="578" spans="2:12" x14ac:dyDescent="0.15">
      <c r="B578" s="281">
        <v>571</v>
      </c>
      <c r="C578" s="294">
        <v>21315.614223779892</v>
      </c>
      <c r="D578" s="392">
        <v>6.3154976964888432</v>
      </c>
      <c r="E578" s="294">
        <v>21493.639739600487</v>
      </c>
      <c r="F578" s="272">
        <v>6.3476876306939536</v>
      </c>
      <c r="G578" s="272">
        <v>178.02551582059459</v>
      </c>
      <c r="H578" s="277">
        <v>3.2189934205110404E-2</v>
      </c>
      <c r="J578" s="294">
        <f t="shared" si="24"/>
        <v>168149.31667088543</v>
      </c>
      <c r="K578" s="294">
        <f t="shared" si="25"/>
        <v>168936.98918121814</v>
      </c>
      <c r="L578" s="281">
        <f t="shared" si="26"/>
        <v>1</v>
      </c>
    </row>
    <row r="579" spans="2:12" x14ac:dyDescent="0.15">
      <c r="B579" s="281">
        <v>572</v>
      </c>
      <c r="C579" s="294">
        <v>21400.13083418056</v>
      </c>
      <c r="D579" s="392">
        <v>6.2500701269889811</v>
      </c>
      <c r="E579" s="294">
        <v>21668.310104476695</v>
      </c>
      <c r="F579" s="272">
        <v>6.2953888634484407</v>
      </c>
      <c r="G579" s="272">
        <v>268.17927029613566</v>
      </c>
      <c r="H579" s="277">
        <v>4.5318736459459608E-2</v>
      </c>
      <c r="J579" s="294">
        <f t="shared" si="24"/>
        <v>166101.97297548887</v>
      </c>
      <c r="K579" s="294">
        <f t="shared" si="25"/>
        <v>167193.35579897652</v>
      </c>
      <c r="L579" s="281">
        <f t="shared" si="26"/>
        <v>1</v>
      </c>
    </row>
    <row r="580" spans="2:12" x14ac:dyDescent="0.15">
      <c r="B580" s="281">
        <v>573</v>
      </c>
      <c r="C580" s="294">
        <v>21292.945483056843</v>
      </c>
      <c r="D580" s="392">
        <v>6.2346364537100296</v>
      </c>
      <c r="E580" s="294">
        <v>21436.563638890155</v>
      </c>
      <c r="F580" s="272">
        <v>6.2592953428882776</v>
      </c>
      <c r="G580" s="272">
        <v>143.6181558333119</v>
      </c>
      <c r="H580" s="277">
        <v>2.4658889178247989E-2</v>
      </c>
      <c r="J580" s="294">
        <f t="shared" si="24"/>
        <v>165746.14812824404</v>
      </c>
      <c r="K580" s="294">
        <f t="shared" si="25"/>
        <v>166342.29664775816</v>
      </c>
      <c r="L580" s="281">
        <f t="shared" si="26"/>
        <v>1</v>
      </c>
    </row>
    <row r="581" spans="2:12" x14ac:dyDescent="0.15">
      <c r="B581" s="281">
        <v>574</v>
      </c>
      <c r="C581" s="294">
        <v>21031.420818364917</v>
      </c>
      <c r="D581" s="392">
        <v>6.2793205439083062</v>
      </c>
      <c r="E581" s="294">
        <v>21130.708525392511</v>
      </c>
      <c r="F581" s="272">
        <v>6.2922325628645188</v>
      </c>
      <c r="G581" s="272">
        <v>99.287707027593569</v>
      </c>
      <c r="H581" s="277">
        <v>1.2912018956212634E-2</v>
      </c>
      <c r="J581" s="294">
        <f t="shared" si="24"/>
        <v>167348.19549888428</v>
      </c>
      <c r="K581" s="294">
        <f t="shared" si="25"/>
        <v>167636.26836054304</v>
      </c>
      <c r="L581" s="281">
        <f t="shared" si="26"/>
        <v>1</v>
      </c>
    </row>
    <row r="582" spans="2:12" x14ac:dyDescent="0.15">
      <c r="B582" s="281">
        <v>575</v>
      </c>
      <c r="C582" s="294">
        <v>22429.51399357129</v>
      </c>
      <c r="D582" s="392">
        <v>6.2276219404591249</v>
      </c>
      <c r="E582" s="294">
        <v>22595.797459268102</v>
      </c>
      <c r="F582" s="272">
        <v>6.2616881963410007</v>
      </c>
      <c r="G582" s="272">
        <v>166.28346569681162</v>
      </c>
      <c r="H582" s="277">
        <v>3.406625588187584E-2</v>
      </c>
      <c r="J582" s="294">
        <f t="shared" si="24"/>
        <v>164399.14422020246</v>
      </c>
      <c r="K582" s="294">
        <f t="shared" si="25"/>
        <v>165254.84843096192</v>
      </c>
      <c r="L582" s="281">
        <f t="shared" si="26"/>
        <v>1</v>
      </c>
    </row>
    <row r="583" spans="2:12" x14ac:dyDescent="0.15">
      <c r="B583" s="281">
        <v>576</v>
      </c>
      <c r="C583" s="294">
        <v>20949.254237132125</v>
      </c>
      <c r="D583" s="392">
        <v>6.2803386876762195</v>
      </c>
      <c r="E583" s="294">
        <v>21182.858019939213</v>
      </c>
      <c r="F583" s="272">
        <v>6.3343867308784807</v>
      </c>
      <c r="G583" s="272">
        <v>233.60378280708755</v>
      </c>
      <c r="H583" s="277">
        <v>5.4048043202261198E-2</v>
      </c>
      <c r="J583" s="294">
        <f t="shared" si="24"/>
        <v>167460.90639315447</v>
      </c>
      <c r="K583" s="294">
        <f t="shared" si="25"/>
        <v>168848.74390641521</v>
      </c>
      <c r="L583" s="281">
        <f t="shared" si="26"/>
        <v>1</v>
      </c>
    </row>
    <row r="584" spans="2:12" x14ac:dyDescent="0.15">
      <c r="B584" s="281">
        <v>577</v>
      </c>
      <c r="C584" s="294">
        <v>22401.481632224823</v>
      </c>
      <c r="D584" s="392">
        <v>6.2396990935767791</v>
      </c>
      <c r="E584" s="294">
        <v>22666.437833730379</v>
      </c>
      <c r="F584" s="272">
        <v>6.2938314265715647</v>
      </c>
      <c r="G584" s="272">
        <v>264.95620150555624</v>
      </c>
      <c r="H584" s="277">
        <v>5.4132332994785592E-2</v>
      </c>
      <c r="J584" s="294">
        <f t="shared" ref="J584:J647" si="27">(D584*wtp)-C584</f>
        <v>164789.49117507855</v>
      </c>
      <c r="K584" s="294">
        <f t="shared" ref="K584:K647" si="28">(F584*wtp)-E584</f>
        <v>166148.50496341655</v>
      </c>
      <c r="L584" s="281">
        <f t="shared" si="26"/>
        <v>1</v>
      </c>
    </row>
    <row r="585" spans="2:12" x14ac:dyDescent="0.15">
      <c r="B585" s="281">
        <v>578</v>
      </c>
      <c r="C585" s="294">
        <v>21246.700312923895</v>
      </c>
      <c r="D585" s="392">
        <v>6.3422048444399701</v>
      </c>
      <c r="E585" s="294">
        <v>21297.796387859686</v>
      </c>
      <c r="F585" s="272">
        <v>6.3587361766718917</v>
      </c>
      <c r="G585" s="272">
        <v>51.096074935790966</v>
      </c>
      <c r="H585" s="277">
        <v>1.6531332231921603E-2</v>
      </c>
      <c r="J585" s="294">
        <f t="shared" si="27"/>
        <v>169019.44502027519</v>
      </c>
      <c r="K585" s="294">
        <f t="shared" si="28"/>
        <v>169464.28891229708</v>
      </c>
      <c r="L585" s="281">
        <f t="shared" ref="L585:L648" si="29">IF(K585&gt;J585,1,0)</f>
        <v>1</v>
      </c>
    </row>
    <row r="586" spans="2:12" x14ac:dyDescent="0.15">
      <c r="B586" s="281">
        <v>579</v>
      </c>
      <c r="C586" s="294">
        <v>20948.459322572919</v>
      </c>
      <c r="D586" s="392">
        <v>6.3255205388067868</v>
      </c>
      <c r="E586" s="294">
        <v>21230.446605739435</v>
      </c>
      <c r="F586" s="272">
        <v>6.350155983152896</v>
      </c>
      <c r="G586" s="272">
        <v>281.98728316651614</v>
      </c>
      <c r="H586" s="277">
        <v>2.4635444346109203E-2</v>
      </c>
      <c r="J586" s="294">
        <f t="shared" si="27"/>
        <v>168817.1568416307</v>
      </c>
      <c r="K586" s="294">
        <f t="shared" si="28"/>
        <v>169274.23288884744</v>
      </c>
      <c r="L586" s="281">
        <f t="shared" si="29"/>
        <v>1</v>
      </c>
    </row>
    <row r="587" spans="2:12" x14ac:dyDescent="0.15">
      <c r="B587" s="281">
        <v>580</v>
      </c>
      <c r="C587" s="294">
        <v>20360.127139410928</v>
      </c>
      <c r="D587" s="392">
        <v>6.2220508822404881</v>
      </c>
      <c r="E587" s="294">
        <v>20624.446801264527</v>
      </c>
      <c r="F587" s="272">
        <v>6.2537707670343172</v>
      </c>
      <c r="G587" s="272">
        <v>264.31966185359852</v>
      </c>
      <c r="H587" s="277">
        <v>3.1719884793829145E-2</v>
      </c>
      <c r="J587" s="294">
        <f t="shared" si="27"/>
        <v>166301.39932780369</v>
      </c>
      <c r="K587" s="294">
        <f t="shared" si="28"/>
        <v>166988.67620976499</v>
      </c>
      <c r="L587" s="281">
        <f t="shared" si="29"/>
        <v>1</v>
      </c>
    </row>
    <row r="588" spans="2:12" x14ac:dyDescent="0.15">
      <c r="B588" s="281">
        <v>581</v>
      </c>
      <c r="C588" s="294">
        <v>22740.657384436679</v>
      </c>
      <c r="D588" s="392">
        <v>6.2846118874881105</v>
      </c>
      <c r="E588" s="294">
        <v>22933.225762209146</v>
      </c>
      <c r="F588" s="272">
        <v>6.3256787174054994</v>
      </c>
      <c r="G588" s="272">
        <v>192.56837777246619</v>
      </c>
      <c r="H588" s="277">
        <v>4.1066829917388858E-2</v>
      </c>
      <c r="J588" s="294">
        <f t="shared" si="27"/>
        <v>165797.69924020662</v>
      </c>
      <c r="K588" s="294">
        <f t="shared" si="28"/>
        <v>166837.13575995583</v>
      </c>
      <c r="L588" s="281">
        <f t="shared" si="29"/>
        <v>1</v>
      </c>
    </row>
    <row r="589" spans="2:12" x14ac:dyDescent="0.15">
      <c r="B589" s="281">
        <v>582</v>
      </c>
      <c r="C589" s="294">
        <v>20284.323612276883</v>
      </c>
      <c r="D589" s="392">
        <v>6.1595158258844602</v>
      </c>
      <c r="E589" s="294">
        <v>20645.316266342183</v>
      </c>
      <c r="F589" s="272">
        <v>6.1922346842720675</v>
      </c>
      <c r="G589" s="272">
        <v>360.99265406529958</v>
      </c>
      <c r="H589" s="277">
        <v>3.2718858387607241E-2</v>
      </c>
      <c r="J589" s="294">
        <f t="shared" si="27"/>
        <v>164501.15116425694</v>
      </c>
      <c r="K589" s="294">
        <f t="shared" si="28"/>
        <v>165121.72426181985</v>
      </c>
      <c r="L589" s="281">
        <f t="shared" si="29"/>
        <v>1</v>
      </c>
    </row>
    <row r="590" spans="2:12" x14ac:dyDescent="0.15">
      <c r="B590" s="281">
        <v>583</v>
      </c>
      <c r="C590" s="294">
        <v>21911.449044828772</v>
      </c>
      <c r="D590" s="392">
        <v>6.3040342253765935</v>
      </c>
      <c r="E590" s="294">
        <v>22211.641965319144</v>
      </c>
      <c r="F590" s="272">
        <v>6.3625836961632389</v>
      </c>
      <c r="G590" s="272">
        <v>300.19292049037176</v>
      </c>
      <c r="H590" s="277">
        <v>5.8549470786645408E-2</v>
      </c>
      <c r="J590" s="294">
        <f t="shared" si="27"/>
        <v>167209.57771646904</v>
      </c>
      <c r="K590" s="294">
        <f t="shared" si="28"/>
        <v>168665.86891957803</v>
      </c>
      <c r="L590" s="281">
        <f t="shared" si="29"/>
        <v>1</v>
      </c>
    </row>
    <row r="591" spans="2:12" x14ac:dyDescent="0.15">
      <c r="B591" s="281">
        <v>584</v>
      </c>
      <c r="C591" s="294">
        <v>21630.8094407262</v>
      </c>
      <c r="D591" s="392">
        <v>6.2601958132532518</v>
      </c>
      <c r="E591" s="294">
        <v>21864.87903396515</v>
      </c>
      <c r="F591" s="272">
        <v>6.317555114621241</v>
      </c>
      <c r="G591" s="272">
        <v>234.06959323894989</v>
      </c>
      <c r="H591" s="277">
        <v>5.7359301367989168E-2</v>
      </c>
      <c r="J591" s="294">
        <f t="shared" si="27"/>
        <v>166175.06495687136</v>
      </c>
      <c r="K591" s="294">
        <f t="shared" si="28"/>
        <v>167661.77440467209</v>
      </c>
      <c r="L591" s="281">
        <f t="shared" si="29"/>
        <v>1</v>
      </c>
    </row>
    <row r="592" spans="2:12" x14ac:dyDescent="0.15">
      <c r="B592" s="281">
        <v>585</v>
      </c>
      <c r="C592" s="294">
        <v>20197.325542023027</v>
      </c>
      <c r="D592" s="392">
        <v>6.2140080751402103</v>
      </c>
      <c r="E592" s="294">
        <v>20337.232477558155</v>
      </c>
      <c r="F592" s="272">
        <v>6.2397236619067984</v>
      </c>
      <c r="G592" s="272">
        <v>139.90693553512756</v>
      </c>
      <c r="H592" s="277">
        <v>2.5715586766588139E-2</v>
      </c>
      <c r="J592" s="294">
        <f t="shared" si="27"/>
        <v>166222.91671218327</v>
      </c>
      <c r="K592" s="294">
        <f t="shared" si="28"/>
        <v>166854.47737964577</v>
      </c>
      <c r="L592" s="281">
        <f t="shared" si="29"/>
        <v>1</v>
      </c>
    </row>
    <row r="593" spans="2:12" x14ac:dyDescent="0.15">
      <c r="B593" s="281">
        <v>586</v>
      </c>
      <c r="C593" s="294">
        <v>22353.771326973638</v>
      </c>
      <c r="D593" s="392">
        <v>6.293623260147883</v>
      </c>
      <c r="E593" s="294">
        <v>22527.875659175395</v>
      </c>
      <c r="F593" s="272">
        <v>6.3124975505390735</v>
      </c>
      <c r="G593" s="272">
        <v>174.10433220175764</v>
      </c>
      <c r="H593" s="277">
        <v>1.8874290391190485E-2</v>
      </c>
      <c r="J593" s="294">
        <f t="shared" si="27"/>
        <v>166454.92647746287</v>
      </c>
      <c r="K593" s="294">
        <f t="shared" si="28"/>
        <v>166847.05085699682</v>
      </c>
      <c r="L593" s="281">
        <f t="shared" si="29"/>
        <v>1</v>
      </c>
    </row>
    <row r="594" spans="2:12" x14ac:dyDescent="0.15">
      <c r="B594" s="281">
        <v>587</v>
      </c>
      <c r="C594" s="294">
        <v>22743.670405124776</v>
      </c>
      <c r="D594" s="392">
        <v>6.1455763317380567</v>
      </c>
      <c r="E594" s="294">
        <v>23023.285874227786</v>
      </c>
      <c r="F594" s="272">
        <v>6.173933446028447</v>
      </c>
      <c r="G594" s="272">
        <v>279.61546910300967</v>
      </c>
      <c r="H594" s="277">
        <v>2.8357114290390228E-2</v>
      </c>
      <c r="J594" s="294">
        <f t="shared" si="27"/>
        <v>161623.61954701692</v>
      </c>
      <c r="K594" s="294">
        <f t="shared" si="28"/>
        <v>162194.71750662563</v>
      </c>
      <c r="L594" s="281">
        <f t="shared" si="29"/>
        <v>1</v>
      </c>
    </row>
    <row r="595" spans="2:12" x14ac:dyDescent="0.15">
      <c r="B595" s="281">
        <v>588</v>
      </c>
      <c r="C595" s="294">
        <v>21577.197453705267</v>
      </c>
      <c r="D595" s="392">
        <v>6.2972768546755162</v>
      </c>
      <c r="E595" s="294">
        <v>21804.131098102182</v>
      </c>
      <c r="F595" s="272">
        <v>6.3394733127904344</v>
      </c>
      <c r="G595" s="272">
        <v>226.93364439691504</v>
      </c>
      <c r="H595" s="277">
        <v>4.2196458114918123E-2</v>
      </c>
      <c r="J595" s="294">
        <f t="shared" si="27"/>
        <v>167341.10818656022</v>
      </c>
      <c r="K595" s="294">
        <f t="shared" si="28"/>
        <v>168380.06828561088</v>
      </c>
      <c r="L595" s="281">
        <f t="shared" si="29"/>
        <v>1</v>
      </c>
    </row>
    <row r="596" spans="2:12" x14ac:dyDescent="0.15">
      <c r="B596" s="281">
        <v>589</v>
      </c>
      <c r="C596" s="294">
        <v>20967.502807056841</v>
      </c>
      <c r="D596" s="392">
        <v>6.2343388394179957</v>
      </c>
      <c r="E596" s="294">
        <v>21100.223814643901</v>
      </c>
      <c r="F596" s="272">
        <v>6.2508260794431409</v>
      </c>
      <c r="G596" s="272">
        <v>132.72100758706074</v>
      </c>
      <c r="H596" s="277">
        <v>1.6487240025145233E-2</v>
      </c>
      <c r="J596" s="294">
        <f t="shared" si="27"/>
        <v>166062.66237548302</v>
      </c>
      <c r="K596" s="294">
        <f t="shared" si="28"/>
        <v>166424.55856865033</v>
      </c>
      <c r="L596" s="281">
        <f t="shared" si="29"/>
        <v>1</v>
      </c>
    </row>
    <row r="597" spans="2:12" x14ac:dyDescent="0.15">
      <c r="B597" s="281">
        <v>590</v>
      </c>
      <c r="C597" s="294">
        <v>21475.112396703298</v>
      </c>
      <c r="D597" s="392">
        <v>6.269287620039278</v>
      </c>
      <c r="E597" s="294">
        <v>21622.30560416908</v>
      </c>
      <c r="F597" s="272">
        <v>6.2942665598600405</v>
      </c>
      <c r="G597" s="272">
        <v>147.1932074657816</v>
      </c>
      <c r="H597" s="277">
        <v>2.4978939820762491E-2</v>
      </c>
      <c r="J597" s="294">
        <f t="shared" si="27"/>
        <v>166603.51620447505</v>
      </c>
      <c r="K597" s="294">
        <f t="shared" si="28"/>
        <v>167205.69119163213</v>
      </c>
      <c r="L597" s="281">
        <f t="shared" si="29"/>
        <v>1</v>
      </c>
    </row>
    <row r="598" spans="2:12" x14ac:dyDescent="0.15">
      <c r="B598" s="281">
        <v>591</v>
      </c>
      <c r="C598" s="294">
        <v>21303.947190796265</v>
      </c>
      <c r="D598" s="392">
        <v>6.2155533406776238</v>
      </c>
      <c r="E598" s="294">
        <v>21470.992607915887</v>
      </c>
      <c r="F598" s="272">
        <v>6.2480950603486107</v>
      </c>
      <c r="G598" s="272">
        <v>167.04541711962156</v>
      </c>
      <c r="H598" s="277">
        <v>3.2541719670986957E-2</v>
      </c>
      <c r="J598" s="294">
        <f t="shared" si="27"/>
        <v>165162.65302953246</v>
      </c>
      <c r="K598" s="294">
        <f t="shared" si="28"/>
        <v>165971.85920254243</v>
      </c>
      <c r="L598" s="281">
        <f t="shared" si="29"/>
        <v>1</v>
      </c>
    </row>
    <row r="599" spans="2:12" x14ac:dyDescent="0.15">
      <c r="B599" s="281">
        <v>592</v>
      </c>
      <c r="C599" s="294">
        <v>21706.873352049188</v>
      </c>
      <c r="D599" s="392">
        <v>6.3204814219100713</v>
      </c>
      <c r="E599" s="294">
        <v>22000.278425253713</v>
      </c>
      <c r="F599" s="272">
        <v>6.3632368570833133</v>
      </c>
      <c r="G599" s="272">
        <v>293.40507320452525</v>
      </c>
      <c r="H599" s="277">
        <v>4.2755435173241985E-2</v>
      </c>
      <c r="J599" s="294">
        <f t="shared" si="27"/>
        <v>167907.56930525295</v>
      </c>
      <c r="K599" s="294">
        <f t="shared" si="28"/>
        <v>168896.82728724569</v>
      </c>
      <c r="L599" s="281">
        <f t="shared" si="29"/>
        <v>1</v>
      </c>
    </row>
    <row r="600" spans="2:12" x14ac:dyDescent="0.15">
      <c r="B600" s="281">
        <v>593</v>
      </c>
      <c r="C600" s="294">
        <v>22826.926349923517</v>
      </c>
      <c r="D600" s="392">
        <v>6.2455977810005496</v>
      </c>
      <c r="E600" s="294">
        <v>23009.374860770135</v>
      </c>
      <c r="F600" s="272">
        <v>6.289276844093834</v>
      </c>
      <c r="G600" s="272">
        <v>182.44851084661786</v>
      </c>
      <c r="H600" s="277">
        <v>4.3679063093284398E-2</v>
      </c>
      <c r="J600" s="294">
        <f t="shared" si="27"/>
        <v>164541.00708009297</v>
      </c>
      <c r="K600" s="294">
        <f t="shared" si="28"/>
        <v>165668.9304620449</v>
      </c>
      <c r="L600" s="281">
        <f t="shared" si="29"/>
        <v>1</v>
      </c>
    </row>
    <row r="601" spans="2:12" x14ac:dyDescent="0.15">
      <c r="B601" s="281">
        <v>594</v>
      </c>
      <c r="C601" s="294">
        <v>21170.920131003651</v>
      </c>
      <c r="D601" s="392">
        <v>6.2724412108397818</v>
      </c>
      <c r="E601" s="294">
        <v>21312.142939406767</v>
      </c>
      <c r="F601" s="272">
        <v>6.304975169386891</v>
      </c>
      <c r="G601" s="272">
        <v>141.22280840311578</v>
      </c>
      <c r="H601" s="277">
        <v>3.2533958547109165E-2</v>
      </c>
      <c r="J601" s="294">
        <f t="shared" si="27"/>
        <v>167002.3161941898</v>
      </c>
      <c r="K601" s="294">
        <f t="shared" si="28"/>
        <v>167837.11214219997</v>
      </c>
      <c r="L601" s="281">
        <f t="shared" si="29"/>
        <v>1</v>
      </c>
    </row>
    <row r="602" spans="2:12" x14ac:dyDescent="0.15">
      <c r="B602" s="281">
        <v>595</v>
      </c>
      <c r="C602" s="294">
        <v>21008.51988217187</v>
      </c>
      <c r="D602" s="392">
        <v>6.242613440755477</v>
      </c>
      <c r="E602" s="294">
        <v>21161.748512440146</v>
      </c>
      <c r="F602" s="272">
        <v>6.2709514187979671</v>
      </c>
      <c r="G602" s="272">
        <v>153.2286302682769</v>
      </c>
      <c r="H602" s="277">
        <v>2.8337978042490164E-2</v>
      </c>
      <c r="J602" s="294">
        <f t="shared" si="27"/>
        <v>166269.88334049244</v>
      </c>
      <c r="K602" s="294">
        <f t="shared" si="28"/>
        <v>166966.79405149884</v>
      </c>
      <c r="L602" s="281">
        <f t="shared" si="29"/>
        <v>1</v>
      </c>
    </row>
    <row r="603" spans="2:12" x14ac:dyDescent="0.15">
      <c r="B603" s="281">
        <v>596</v>
      </c>
      <c r="C603" s="294">
        <v>19984.716696557582</v>
      </c>
      <c r="D603" s="392">
        <v>6.3453502369961994</v>
      </c>
      <c r="E603" s="294">
        <v>20103.95766141541</v>
      </c>
      <c r="F603" s="272">
        <v>6.369246310474395</v>
      </c>
      <c r="G603" s="272">
        <v>119.24096485782866</v>
      </c>
      <c r="H603" s="277">
        <v>2.3896073478195667E-2</v>
      </c>
      <c r="J603" s="294">
        <f t="shared" si="27"/>
        <v>170375.79041332839</v>
      </c>
      <c r="K603" s="294">
        <f t="shared" si="28"/>
        <v>170973.43165281642</v>
      </c>
      <c r="L603" s="281">
        <f t="shared" si="29"/>
        <v>1</v>
      </c>
    </row>
    <row r="604" spans="2:12" x14ac:dyDescent="0.15">
      <c r="B604" s="281">
        <v>597</v>
      </c>
      <c r="C604" s="294">
        <v>21092.736058035011</v>
      </c>
      <c r="D604" s="392">
        <v>6.3143519659240912</v>
      </c>
      <c r="E604" s="294">
        <v>21420.147520118484</v>
      </c>
      <c r="F604" s="272">
        <v>6.369598748019774</v>
      </c>
      <c r="G604" s="272">
        <v>327.41146208347345</v>
      </c>
      <c r="H604" s="277">
        <v>5.5246782095682789E-2</v>
      </c>
      <c r="J604" s="294">
        <f t="shared" si="27"/>
        <v>168337.82291968772</v>
      </c>
      <c r="K604" s="294">
        <f t="shared" si="28"/>
        <v>169667.81492047475</v>
      </c>
      <c r="L604" s="281">
        <f t="shared" si="29"/>
        <v>1</v>
      </c>
    </row>
    <row r="605" spans="2:12" x14ac:dyDescent="0.15">
      <c r="B605" s="281">
        <v>598</v>
      </c>
      <c r="C605" s="294">
        <v>21494.755745124887</v>
      </c>
      <c r="D605" s="392">
        <v>6.2371381445699106</v>
      </c>
      <c r="E605" s="294">
        <v>21764.658259724991</v>
      </c>
      <c r="F605" s="272">
        <v>6.2672895794262438</v>
      </c>
      <c r="G605" s="272">
        <v>269.90251460010404</v>
      </c>
      <c r="H605" s="277">
        <v>3.0151434856333204E-2</v>
      </c>
      <c r="J605" s="294">
        <f t="shared" si="27"/>
        <v>165619.38859197244</v>
      </c>
      <c r="K605" s="294">
        <f t="shared" si="28"/>
        <v>166254.02912306233</v>
      </c>
      <c r="L605" s="281">
        <f t="shared" si="29"/>
        <v>1</v>
      </c>
    </row>
    <row r="606" spans="2:12" x14ac:dyDescent="0.15">
      <c r="B606" s="281">
        <v>599</v>
      </c>
      <c r="C606" s="294">
        <v>22242.158309910978</v>
      </c>
      <c r="D606" s="392">
        <v>6.1370458806525807</v>
      </c>
      <c r="E606" s="294">
        <v>22389.213566101309</v>
      </c>
      <c r="F606" s="272">
        <v>6.1690677508303438</v>
      </c>
      <c r="G606" s="272">
        <v>147.05525619033142</v>
      </c>
      <c r="H606" s="277">
        <v>3.2021870177763034E-2</v>
      </c>
      <c r="J606" s="294">
        <f t="shared" si="27"/>
        <v>161869.21810966646</v>
      </c>
      <c r="K606" s="294">
        <f t="shared" si="28"/>
        <v>162682.81895880902</v>
      </c>
      <c r="L606" s="281">
        <f t="shared" si="29"/>
        <v>1</v>
      </c>
    </row>
    <row r="607" spans="2:12" x14ac:dyDescent="0.15">
      <c r="B607" s="281">
        <v>600</v>
      </c>
      <c r="C607" s="294">
        <v>20665.105837793421</v>
      </c>
      <c r="D607" s="392">
        <v>6.1015809921147142</v>
      </c>
      <c r="E607" s="294">
        <v>20890.423153838154</v>
      </c>
      <c r="F607" s="272">
        <v>6.1299514207571075</v>
      </c>
      <c r="G607" s="272">
        <v>225.31731604473316</v>
      </c>
      <c r="H607" s="277">
        <v>2.8370428642393364E-2</v>
      </c>
      <c r="J607" s="294">
        <f t="shared" si="27"/>
        <v>162382.323925648</v>
      </c>
      <c r="K607" s="294">
        <f t="shared" si="28"/>
        <v>163008.11946887508</v>
      </c>
      <c r="L607" s="281">
        <f t="shared" si="29"/>
        <v>1</v>
      </c>
    </row>
    <row r="608" spans="2:12" x14ac:dyDescent="0.15">
      <c r="B608" s="281">
        <v>601</v>
      </c>
      <c r="C608" s="294">
        <v>21887.577321363075</v>
      </c>
      <c r="D608" s="392">
        <v>6.2260204165644701</v>
      </c>
      <c r="E608" s="294">
        <v>22016.036480308358</v>
      </c>
      <c r="F608" s="272">
        <v>6.234973461033432</v>
      </c>
      <c r="G608" s="272">
        <v>128.45915894528298</v>
      </c>
      <c r="H608" s="277">
        <v>8.9530444689618349E-3</v>
      </c>
      <c r="J608" s="294">
        <f t="shared" si="27"/>
        <v>164893.03517557104</v>
      </c>
      <c r="K608" s="294">
        <f t="shared" si="28"/>
        <v>165033.1673506946</v>
      </c>
      <c r="L608" s="281">
        <f t="shared" si="29"/>
        <v>1</v>
      </c>
    </row>
    <row r="609" spans="2:12" x14ac:dyDescent="0.15">
      <c r="B609" s="281">
        <v>602</v>
      </c>
      <c r="C609" s="294">
        <v>21707.317459893118</v>
      </c>
      <c r="D609" s="392">
        <v>6.342704024749696</v>
      </c>
      <c r="E609" s="294">
        <v>21938.107164016248</v>
      </c>
      <c r="F609" s="272">
        <v>6.3926945318051924</v>
      </c>
      <c r="G609" s="272">
        <v>230.78970412312992</v>
      </c>
      <c r="H609" s="277">
        <v>4.9990507055496458E-2</v>
      </c>
      <c r="J609" s="294">
        <f t="shared" si="27"/>
        <v>168573.80328259777</v>
      </c>
      <c r="K609" s="294">
        <f t="shared" si="28"/>
        <v>169842.72879013952</v>
      </c>
      <c r="L609" s="281">
        <f t="shared" si="29"/>
        <v>1</v>
      </c>
    </row>
    <row r="610" spans="2:12" x14ac:dyDescent="0.15">
      <c r="B610" s="281">
        <v>603</v>
      </c>
      <c r="C610" s="294">
        <v>21442.24110357121</v>
      </c>
      <c r="D610" s="392">
        <v>6.2763416738281377</v>
      </c>
      <c r="E610" s="294">
        <v>21715.963522971899</v>
      </c>
      <c r="F610" s="272">
        <v>6.323388249618791</v>
      </c>
      <c r="G610" s="272">
        <v>273.72241940068852</v>
      </c>
      <c r="H610" s="277">
        <v>4.70465757906533E-2</v>
      </c>
      <c r="J610" s="294">
        <f t="shared" si="27"/>
        <v>166848.00911127293</v>
      </c>
      <c r="K610" s="294">
        <f t="shared" si="28"/>
        <v>167985.68396559183</v>
      </c>
      <c r="L610" s="281">
        <f t="shared" si="29"/>
        <v>1</v>
      </c>
    </row>
    <row r="611" spans="2:12" x14ac:dyDescent="0.15">
      <c r="B611" s="281">
        <v>604</v>
      </c>
      <c r="C611" s="294">
        <v>21150.877576032843</v>
      </c>
      <c r="D611" s="392">
        <v>6.1878411205067412</v>
      </c>
      <c r="E611" s="294">
        <v>21416.923647202606</v>
      </c>
      <c r="F611" s="272">
        <v>6.2324362303589202</v>
      </c>
      <c r="G611" s="272">
        <v>266.04607116976331</v>
      </c>
      <c r="H611" s="277">
        <v>4.4595109852179071E-2</v>
      </c>
      <c r="J611" s="294">
        <f t="shared" si="27"/>
        <v>164484.35603916942</v>
      </c>
      <c r="K611" s="294">
        <f t="shared" si="28"/>
        <v>165556.16326356499</v>
      </c>
      <c r="L611" s="281">
        <f t="shared" si="29"/>
        <v>1</v>
      </c>
    </row>
    <row r="612" spans="2:12" x14ac:dyDescent="0.15">
      <c r="B612" s="281">
        <v>605</v>
      </c>
      <c r="C612" s="294">
        <v>21075.701567568707</v>
      </c>
      <c r="D612" s="392">
        <v>6.2861198226986872</v>
      </c>
      <c r="E612" s="294">
        <v>21324.848484538667</v>
      </c>
      <c r="F612" s="272">
        <v>6.3054862874278106</v>
      </c>
      <c r="G612" s="272">
        <v>249.14691696995942</v>
      </c>
      <c r="H612" s="277">
        <v>1.93664647291234E-2</v>
      </c>
      <c r="J612" s="294">
        <f t="shared" si="27"/>
        <v>167507.89311339191</v>
      </c>
      <c r="K612" s="294">
        <f t="shared" si="28"/>
        <v>167839.74013829566</v>
      </c>
      <c r="L612" s="281">
        <f t="shared" si="29"/>
        <v>1</v>
      </c>
    </row>
    <row r="613" spans="2:12" x14ac:dyDescent="0.15">
      <c r="B613" s="281">
        <v>606</v>
      </c>
      <c r="C613" s="294">
        <v>20422.04490455208</v>
      </c>
      <c r="D613" s="392">
        <v>6.2488134917892344</v>
      </c>
      <c r="E613" s="294">
        <v>20694.606326779911</v>
      </c>
      <c r="F613" s="272">
        <v>6.2925410274003042</v>
      </c>
      <c r="G613" s="272">
        <v>272.56142222783092</v>
      </c>
      <c r="H613" s="277">
        <v>4.372753561106979E-2</v>
      </c>
      <c r="J613" s="294">
        <f t="shared" si="27"/>
        <v>167042.35984912494</v>
      </c>
      <c r="K613" s="294">
        <f t="shared" si="28"/>
        <v>168081.62449522922</v>
      </c>
      <c r="L613" s="281">
        <f t="shared" si="29"/>
        <v>1</v>
      </c>
    </row>
    <row r="614" spans="2:12" x14ac:dyDescent="0.15">
      <c r="B614" s="281">
        <v>607</v>
      </c>
      <c r="C614" s="294">
        <v>21401.34910045204</v>
      </c>
      <c r="D614" s="392">
        <v>6.3205636260106326</v>
      </c>
      <c r="E614" s="294">
        <v>21600.595727621312</v>
      </c>
      <c r="F614" s="272">
        <v>6.3765108241482205</v>
      </c>
      <c r="G614" s="272">
        <v>199.24662716927196</v>
      </c>
      <c r="H614" s="277">
        <v>5.5947198137587861E-2</v>
      </c>
      <c r="J614" s="294">
        <f t="shared" si="27"/>
        <v>168215.55967986694</v>
      </c>
      <c r="K614" s="294">
        <f t="shared" si="28"/>
        <v>169694.72899682529</v>
      </c>
      <c r="L614" s="281">
        <f t="shared" si="29"/>
        <v>1</v>
      </c>
    </row>
    <row r="615" spans="2:12" x14ac:dyDescent="0.15">
      <c r="B615" s="281">
        <v>608</v>
      </c>
      <c r="C615" s="294">
        <v>20292.042866682765</v>
      </c>
      <c r="D615" s="392">
        <v>6.2914758169572096</v>
      </c>
      <c r="E615" s="294">
        <v>20570.452362012016</v>
      </c>
      <c r="F615" s="272">
        <v>6.3369017328654387</v>
      </c>
      <c r="G615" s="272">
        <v>278.40949532925151</v>
      </c>
      <c r="H615" s="277">
        <v>4.5425915908229086E-2</v>
      </c>
      <c r="J615" s="294">
        <f t="shared" si="27"/>
        <v>168452.2316420335</v>
      </c>
      <c r="K615" s="294">
        <f t="shared" si="28"/>
        <v>169536.59962395113</v>
      </c>
      <c r="L615" s="281">
        <f t="shared" si="29"/>
        <v>1</v>
      </c>
    </row>
    <row r="616" spans="2:12" x14ac:dyDescent="0.15">
      <c r="B616" s="281">
        <v>609</v>
      </c>
      <c r="C616" s="294">
        <v>21945.896768027451</v>
      </c>
      <c r="D616" s="392">
        <v>6.2617667936536918</v>
      </c>
      <c r="E616" s="294">
        <v>22059.946141937889</v>
      </c>
      <c r="F616" s="272">
        <v>6.2868810994133639</v>
      </c>
      <c r="G616" s="272">
        <v>114.04937391043859</v>
      </c>
      <c r="H616" s="277">
        <v>2.5114305759672106E-2</v>
      </c>
      <c r="J616" s="294">
        <f t="shared" si="27"/>
        <v>165907.10704158331</v>
      </c>
      <c r="K616" s="294">
        <f t="shared" si="28"/>
        <v>166546.48684046301</v>
      </c>
      <c r="L616" s="281">
        <f t="shared" si="29"/>
        <v>1</v>
      </c>
    </row>
    <row r="617" spans="2:12" x14ac:dyDescent="0.15">
      <c r="B617" s="281">
        <v>610</v>
      </c>
      <c r="C617" s="294">
        <v>20643.642465982823</v>
      </c>
      <c r="D617" s="392">
        <v>6.2377812667829167</v>
      </c>
      <c r="E617" s="294">
        <v>20862.054988449156</v>
      </c>
      <c r="F617" s="272">
        <v>6.2741721576803533</v>
      </c>
      <c r="G617" s="272">
        <v>218.41252246633303</v>
      </c>
      <c r="H617" s="277">
        <v>3.6390890897436634E-2</v>
      </c>
      <c r="J617" s="294">
        <f t="shared" si="27"/>
        <v>166489.79553750469</v>
      </c>
      <c r="K617" s="294">
        <f t="shared" si="28"/>
        <v>167363.10974196144</v>
      </c>
      <c r="L617" s="281">
        <f t="shared" si="29"/>
        <v>1</v>
      </c>
    </row>
    <row r="618" spans="2:12" x14ac:dyDescent="0.15">
      <c r="B618" s="281">
        <v>611</v>
      </c>
      <c r="C618" s="294">
        <v>20542.098170276917</v>
      </c>
      <c r="D618" s="392">
        <v>6.2776172010044569</v>
      </c>
      <c r="E618" s="294">
        <v>20864.487764873007</v>
      </c>
      <c r="F618" s="272">
        <v>6.307143529986857</v>
      </c>
      <c r="G618" s="272">
        <v>322.38959459609032</v>
      </c>
      <c r="H618" s="277">
        <v>2.9526328982400152E-2</v>
      </c>
      <c r="J618" s="294">
        <f t="shared" si="27"/>
        <v>167786.4178598568</v>
      </c>
      <c r="K618" s="294">
        <f t="shared" si="28"/>
        <v>168349.81813473269</v>
      </c>
      <c r="L618" s="281">
        <f t="shared" si="29"/>
        <v>1</v>
      </c>
    </row>
    <row r="619" spans="2:12" x14ac:dyDescent="0.15">
      <c r="B619" s="281">
        <v>612</v>
      </c>
      <c r="C619" s="294">
        <v>22021.141149750143</v>
      </c>
      <c r="D619" s="392">
        <v>6.2526903944703784</v>
      </c>
      <c r="E619" s="294">
        <v>22341.334406513994</v>
      </c>
      <c r="F619" s="272">
        <v>6.3080724001801389</v>
      </c>
      <c r="G619" s="272">
        <v>320.19325676385051</v>
      </c>
      <c r="H619" s="277">
        <v>5.5382005709760485E-2</v>
      </c>
      <c r="J619" s="294">
        <f t="shared" si="27"/>
        <v>165559.57068436121</v>
      </c>
      <c r="K619" s="294">
        <f t="shared" si="28"/>
        <v>166900.83759889018</v>
      </c>
      <c r="L619" s="281">
        <f t="shared" si="29"/>
        <v>1</v>
      </c>
    </row>
    <row r="620" spans="2:12" x14ac:dyDescent="0.15">
      <c r="B620" s="281">
        <v>613</v>
      </c>
      <c r="C620" s="294">
        <v>22367.882136388784</v>
      </c>
      <c r="D620" s="392">
        <v>6.2522229124060562</v>
      </c>
      <c r="E620" s="294">
        <v>22568.008969400107</v>
      </c>
      <c r="F620" s="272">
        <v>6.2941854332374794</v>
      </c>
      <c r="G620" s="272">
        <v>200.12683301132347</v>
      </c>
      <c r="H620" s="277">
        <v>4.1962520831423156E-2</v>
      </c>
      <c r="J620" s="294">
        <f t="shared" si="27"/>
        <v>165198.80523579288</v>
      </c>
      <c r="K620" s="294">
        <f t="shared" si="28"/>
        <v>166257.55402772428</v>
      </c>
      <c r="L620" s="281">
        <f t="shared" si="29"/>
        <v>1</v>
      </c>
    </row>
    <row r="621" spans="2:12" x14ac:dyDescent="0.15">
      <c r="B621" s="281">
        <v>614</v>
      </c>
      <c r="C621" s="294">
        <v>21900.751090396203</v>
      </c>
      <c r="D621" s="392">
        <v>6.2444313976267516</v>
      </c>
      <c r="E621" s="294">
        <v>22279.133899165732</v>
      </c>
      <c r="F621" s="272">
        <v>6.2998312383118167</v>
      </c>
      <c r="G621" s="272">
        <v>378.38280876952922</v>
      </c>
      <c r="H621" s="277">
        <v>5.5399840685065094E-2</v>
      </c>
      <c r="J621" s="294">
        <f t="shared" si="27"/>
        <v>165432.19083840636</v>
      </c>
      <c r="K621" s="294">
        <f t="shared" si="28"/>
        <v>166715.80325018876</v>
      </c>
      <c r="L621" s="281">
        <f t="shared" si="29"/>
        <v>1</v>
      </c>
    </row>
    <row r="622" spans="2:12" x14ac:dyDescent="0.15">
      <c r="B622" s="281">
        <v>615</v>
      </c>
      <c r="C622" s="294">
        <v>21804.220998756544</v>
      </c>
      <c r="D622" s="392">
        <v>6.1999486026483321</v>
      </c>
      <c r="E622" s="294">
        <v>22062.196013745721</v>
      </c>
      <c r="F622" s="272">
        <v>6.2567166339809557</v>
      </c>
      <c r="G622" s="272">
        <v>257.975014989177</v>
      </c>
      <c r="H622" s="277">
        <v>5.6768031332623536E-2</v>
      </c>
      <c r="J622" s="294">
        <f t="shared" si="27"/>
        <v>164194.23708069342</v>
      </c>
      <c r="K622" s="294">
        <f t="shared" si="28"/>
        <v>165639.30300568294</v>
      </c>
      <c r="L622" s="281">
        <f t="shared" si="29"/>
        <v>1</v>
      </c>
    </row>
    <row r="623" spans="2:12" x14ac:dyDescent="0.15">
      <c r="B623" s="281">
        <v>616</v>
      </c>
      <c r="C623" s="294">
        <v>20576.522357815797</v>
      </c>
      <c r="D623" s="392">
        <v>6.3237942297145402</v>
      </c>
      <c r="E623" s="294">
        <v>20816.48431113582</v>
      </c>
      <c r="F623" s="272">
        <v>6.3642070805691429</v>
      </c>
      <c r="G623" s="272">
        <v>239.96195332002389</v>
      </c>
      <c r="H623" s="277">
        <v>4.0412850854602667E-2</v>
      </c>
      <c r="J623" s="294">
        <f t="shared" si="27"/>
        <v>169137.30453362042</v>
      </c>
      <c r="K623" s="294">
        <f t="shared" si="28"/>
        <v>170109.72810593847</v>
      </c>
      <c r="L623" s="281">
        <f t="shared" si="29"/>
        <v>1</v>
      </c>
    </row>
    <row r="624" spans="2:12" x14ac:dyDescent="0.15">
      <c r="B624" s="281">
        <v>617</v>
      </c>
      <c r="C624" s="294">
        <v>22563.098646758001</v>
      </c>
      <c r="D624" s="392">
        <v>6.3039619197016687</v>
      </c>
      <c r="E624" s="294">
        <v>22722.25586793679</v>
      </c>
      <c r="F624" s="272">
        <v>6.3149975676401517</v>
      </c>
      <c r="G624" s="272">
        <v>159.15722117878977</v>
      </c>
      <c r="H624" s="277">
        <v>1.1035647938482995E-2</v>
      </c>
      <c r="J624" s="294">
        <f t="shared" si="27"/>
        <v>166555.75894429206</v>
      </c>
      <c r="K624" s="294">
        <f t="shared" si="28"/>
        <v>166727.67116126776</v>
      </c>
      <c r="L624" s="281">
        <f t="shared" si="29"/>
        <v>1</v>
      </c>
    </row>
    <row r="625" spans="2:12" x14ac:dyDescent="0.15">
      <c r="B625" s="281">
        <v>618</v>
      </c>
      <c r="C625" s="294">
        <v>21169.005695257085</v>
      </c>
      <c r="D625" s="392">
        <v>6.2897471328887091</v>
      </c>
      <c r="E625" s="294">
        <v>21388.600650247859</v>
      </c>
      <c r="F625" s="272">
        <v>6.3305487180626692</v>
      </c>
      <c r="G625" s="272">
        <v>219.59495499077457</v>
      </c>
      <c r="H625" s="277">
        <v>4.0801585173960042E-2</v>
      </c>
      <c r="J625" s="294">
        <f t="shared" si="27"/>
        <v>167523.40829140419</v>
      </c>
      <c r="K625" s="294">
        <f t="shared" si="28"/>
        <v>168527.86089163221</v>
      </c>
      <c r="L625" s="281">
        <f t="shared" si="29"/>
        <v>1</v>
      </c>
    </row>
    <row r="626" spans="2:12" x14ac:dyDescent="0.15">
      <c r="B626" s="281">
        <v>619</v>
      </c>
      <c r="C626" s="294">
        <v>21926.02267259725</v>
      </c>
      <c r="D626" s="392">
        <v>6.3391582940023712</v>
      </c>
      <c r="E626" s="294">
        <v>22285.077477108436</v>
      </c>
      <c r="F626" s="272">
        <v>6.4005662815935667</v>
      </c>
      <c r="G626" s="272">
        <v>359.05480451118638</v>
      </c>
      <c r="H626" s="277">
        <v>6.1407987591195479E-2</v>
      </c>
      <c r="J626" s="294">
        <f t="shared" si="27"/>
        <v>168248.72614747388</v>
      </c>
      <c r="K626" s="294">
        <f t="shared" si="28"/>
        <v>169731.91097069858</v>
      </c>
      <c r="L626" s="281">
        <f t="shared" si="29"/>
        <v>1</v>
      </c>
    </row>
    <row r="627" spans="2:12" x14ac:dyDescent="0.15">
      <c r="B627" s="281">
        <v>620</v>
      </c>
      <c r="C627" s="294">
        <v>22498.209500288503</v>
      </c>
      <c r="D627" s="392">
        <v>6.2800902432172077</v>
      </c>
      <c r="E627" s="294">
        <v>22792.638261982444</v>
      </c>
      <c r="F627" s="272">
        <v>6.3153153417142658</v>
      </c>
      <c r="G627" s="272">
        <v>294.42876169394003</v>
      </c>
      <c r="H627" s="277">
        <v>3.5225098497058127E-2</v>
      </c>
      <c r="J627" s="294">
        <f t="shared" si="27"/>
        <v>165904.49779622772</v>
      </c>
      <c r="K627" s="294">
        <f t="shared" si="28"/>
        <v>166666.82198944554</v>
      </c>
      <c r="L627" s="281">
        <f t="shared" si="29"/>
        <v>1</v>
      </c>
    </row>
    <row r="628" spans="2:12" x14ac:dyDescent="0.15">
      <c r="B628" s="281">
        <v>621</v>
      </c>
      <c r="C628" s="294">
        <v>20869.798548877377</v>
      </c>
      <c r="D628" s="392">
        <v>6.2325619958444447</v>
      </c>
      <c r="E628" s="294">
        <v>20962.188724683336</v>
      </c>
      <c r="F628" s="272">
        <v>6.2272707706067409</v>
      </c>
      <c r="G628" s="272">
        <v>92.390175805958279</v>
      </c>
      <c r="H628" s="277">
        <v>-5.2912252377037561E-3</v>
      </c>
      <c r="J628" s="294">
        <f t="shared" si="27"/>
        <v>166107.06132645597</v>
      </c>
      <c r="K628" s="294">
        <f t="shared" si="28"/>
        <v>165855.9343935189</v>
      </c>
      <c r="L628" s="281">
        <f t="shared" si="29"/>
        <v>0</v>
      </c>
    </row>
    <row r="629" spans="2:12" x14ac:dyDescent="0.15">
      <c r="B629" s="281">
        <v>622</v>
      </c>
      <c r="C629" s="294">
        <v>21706.438272528769</v>
      </c>
      <c r="D629" s="392">
        <v>6.1139853999804448</v>
      </c>
      <c r="E629" s="294">
        <v>21971.119263266886</v>
      </c>
      <c r="F629" s="272">
        <v>6.1667441664672156</v>
      </c>
      <c r="G629" s="272">
        <v>264.68099073811754</v>
      </c>
      <c r="H629" s="277">
        <v>5.2758766486770803E-2</v>
      </c>
      <c r="J629" s="294">
        <f t="shared" si="27"/>
        <v>161713.12372688457</v>
      </c>
      <c r="K629" s="294">
        <f t="shared" si="28"/>
        <v>163031.20573074959</v>
      </c>
      <c r="L629" s="281">
        <f t="shared" si="29"/>
        <v>1</v>
      </c>
    </row>
    <row r="630" spans="2:12" x14ac:dyDescent="0.15">
      <c r="B630" s="281">
        <v>623</v>
      </c>
      <c r="C630" s="294">
        <v>21457.849272051328</v>
      </c>
      <c r="D630" s="392">
        <v>6.3300826008449489</v>
      </c>
      <c r="E630" s="294">
        <v>21704.367581684186</v>
      </c>
      <c r="F630" s="272">
        <v>6.3907283601817406</v>
      </c>
      <c r="G630" s="272">
        <v>246.51830963285829</v>
      </c>
      <c r="H630" s="277">
        <v>6.0645759336791727E-2</v>
      </c>
      <c r="J630" s="294">
        <f t="shared" si="27"/>
        <v>168444.62875329715</v>
      </c>
      <c r="K630" s="294">
        <f t="shared" si="28"/>
        <v>170017.48322376801</v>
      </c>
      <c r="L630" s="281">
        <f t="shared" si="29"/>
        <v>1</v>
      </c>
    </row>
    <row r="631" spans="2:12" x14ac:dyDescent="0.15">
      <c r="B631" s="281">
        <v>624</v>
      </c>
      <c r="C631" s="294">
        <v>21006.764110504253</v>
      </c>
      <c r="D631" s="392">
        <v>6.2756379729252068</v>
      </c>
      <c r="E631" s="294">
        <v>21189.744978382358</v>
      </c>
      <c r="F631" s="272">
        <v>6.3180057529467888</v>
      </c>
      <c r="G631" s="272">
        <v>182.98086787810462</v>
      </c>
      <c r="H631" s="277">
        <v>4.2367780021582035E-2</v>
      </c>
      <c r="J631" s="294">
        <f t="shared" si="27"/>
        <v>167262.37507725196</v>
      </c>
      <c r="K631" s="294">
        <f t="shared" si="28"/>
        <v>168350.42761002129</v>
      </c>
      <c r="L631" s="281">
        <f t="shared" si="29"/>
        <v>1</v>
      </c>
    </row>
    <row r="632" spans="2:12" x14ac:dyDescent="0.15">
      <c r="B632" s="281">
        <v>625</v>
      </c>
      <c r="C632" s="294">
        <v>22170.908565287842</v>
      </c>
      <c r="D632" s="392">
        <v>6.2708785721701448</v>
      </c>
      <c r="E632" s="294">
        <v>22419.764077649896</v>
      </c>
      <c r="F632" s="272">
        <v>6.3161321792462193</v>
      </c>
      <c r="G632" s="272">
        <v>248.85551236205356</v>
      </c>
      <c r="H632" s="277">
        <v>4.5253607076074509E-2</v>
      </c>
      <c r="J632" s="294">
        <f t="shared" si="27"/>
        <v>165955.44859981647</v>
      </c>
      <c r="K632" s="294">
        <f t="shared" si="28"/>
        <v>167064.20129973668</v>
      </c>
      <c r="L632" s="281">
        <f t="shared" si="29"/>
        <v>1</v>
      </c>
    </row>
    <row r="633" spans="2:12" x14ac:dyDescent="0.15">
      <c r="B633" s="281">
        <v>626</v>
      </c>
      <c r="C633" s="294">
        <v>21974.99582541523</v>
      </c>
      <c r="D633" s="392">
        <v>6.206815349260812</v>
      </c>
      <c r="E633" s="294">
        <v>22186.375250898484</v>
      </c>
      <c r="F633" s="272">
        <v>6.2443010959109806</v>
      </c>
      <c r="G633" s="272">
        <v>211.37942548325373</v>
      </c>
      <c r="H633" s="277">
        <v>3.7485746650168572E-2</v>
      </c>
      <c r="J633" s="294">
        <f t="shared" si="27"/>
        <v>164229.46465240914</v>
      </c>
      <c r="K633" s="294">
        <f t="shared" si="28"/>
        <v>165142.65762643094</v>
      </c>
      <c r="L633" s="281">
        <f t="shared" si="29"/>
        <v>1</v>
      </c>
    </row>
    <row r="634" spans="2:12" x14ac:dyDescent="0.15">
      <c r="B634" s="281">
        <v>627</v>
      </c>
      <c r="C634" s="294">
        <v>21214.710638248722</v>
      </c>
      <c r="D634" s="392">
        <v>6.2312130528067167</v>
      </c>
      <c r="E634" s="294">
        <v>21415.495030960279</v>
      </c>
      <c r="F634" s="272">
        <v>6.2554096257435106</v>
      </c>
      <c r="G634" s="272">
        <v>200.7843927115573</v>
      </c>
      <c r="H634" s="277">
        <v>2.4196572936793892E-2</v>
      </c>
      <c r="J634" s="294">
        <f t="shared" si="27"/>
        <v>165721.6809459528</v>
      </c>
      <c r="K634" s="294">
        <f t="shared" si="28"/>
        <v>166246.79374134506</v>
      </c>
      <c r="L634" s="281">
        <f t="shared" si="29"/>
        <v>1</v>
      </c>
    </row>
    <row r="635" spans="2:12" x14ac:dyDescent="0.15">
      <c r="B635" s="281">
        <v>628</v>
      </c>
      <c r="C635" s="294">
        <v>22384.624450924028</v>
      </c>
      <c r="D635" s="392">
        <v>6.1702721617096188</v>
      </c>
      <c r="E635" s="294">
        <v>22637.567866510952</v>
      </c>
      <c r="F635" s="272">
        <v>6.2116469750115879</v>
      </c>
      <c r="G635" s="272">
        <v>252.94341558692395</v>
      </c>
      <c r="H635" s="277">
        <v>4.1374813301969127E-2</v>
      </c>
      <c r="J635" s="294">
        <f t="shared" si="27"/>
        <v>162723.54040036455</v>
      </c>
      <c r="K635" s="294">
        <f t="shared" si="28"/>
        <v>163711.8413838367</v>
      </c>
      <c r="L635" s="281">
        <f t="shared" si="29"/>
        <v>1</v>
      </c>
    </row>
    <row r="636" spans="2:12" x14ac:dyDescent="0.15">
      <c r="B636" s="281">
        <v>629</v>
      </c>
      <c r="C636" s="294">
        <v>21040.766464781605</v>
      </c>
      <c r="D636" s="392">
        <v>6.3233134586244395</v>
      </c>
      <c r="E636" s="294">
        <v>21104.281735847002</v>
      </c>
      <c r="F636" s="272">
        <v>6.3061433219145133</v>
      </c>
      <c r="G636" s="272">
        <v>63.515271065396519</v>
      </c>
      <c r="H636" s="277">
        <v>-1.7170136709926176E-2</v>
      </c>
      <c r="J636" s="294">
        <f t="shared" si="27"/>
        <v>168658.63729395159</v>
      </c>
      <c r="K636" s="294">
        <f t="shared" si="28"/>
        <v>168080.01792158838</v>
      </c>
      <c r="L636" s="281">
        <f t="shared" si="29"/>
        <v>0</v>
      </c>
    </row>
    <row r="637" spans="2:12" x14ac:dyDescent="0.15">
      <c r="B637" s="281">
        <v>630</v>
      </c>
      <c r="C637" s="294">
        <v>21541.406710957242</v>
      </c>
      <c r="D637" s="392">
        <v>6.3491323546646949</v>
      </c>
      <c r="E637" s="294">
        <v>21825.629478985848</v>
      </c>
      <c r="F637" s="272">
        <v>6.4105898071821805</v>
      </c>
      <c r="G637" s="272">
        <v>284.22276802860506</v>
      </c>
      <c r="H637" s="277">
        <v>6.1457452517485578E-2</v>
      </c>
      <c r="J637" s="294">
        <f t="shared" si="27"/>
        <v>168932.56392898361</v>
      </c>
      <c r="K637" s="294">
        <f t="shared" si="28"/>
        <v>170492.06473647957</v>
      </c>
      <c r="L637" s="281">
        <f t="shared" si="29"/>
        <v>1</v>
      </c>
    </row>
    <row r="638" spans="2:12" x14ac:dyDescent="0.15">
      <c r="B638" s="281">
        <v>631</v>
      </c>
      <c r="C638" s="294">
        <v>23567.288975373795</v>
      </c>
      <c r="D638" s="392">
        <v>6.2357287602733109</v>
      </c>
      <c r="E638" s="294">
        <v>23783.660864419558</v>
      </c>
      <c r="F638" s="272">
        <v>6.2546332340582413</v>
      </c>
      <c r="G638" s="272">
        <v>216.37188904576396</v>
      </c>
      <c r="H638" s="277">
        <v>1.8904473784930431E-2</v>
      </c>
      <c r="J638" s="294">
        <f t="shared" si="27"/>
        <v>163504.57383282555</v>
      </c>
      <c r="K638" s="294">
        <f t="shared" si="28"/>
        <v>163855.33615732766</v>
      </c>
      <c r="L638" s="281">
        <f t="shared" si="29"/>
        <v>1</v>
      </c>
    </row>
    <row r="639" spans="2:12" x14ac:dyDescent="0.15">
      <c r="B639" s="281">
        <v>632</v>
      </c>
      <c r="C639" s="294">
        <v>22353.730027082744</v>
      </c>
      <c r="D639" s="392">
        <v>6.318422048557693</v>
      </c>
      <c r="E639" s="294">
        <v>22543.720196502789</v>
      </c>
      <c r="F639" s="272">
        <v>6.3499240736482276</v>
      </c>
      <c r="G639" s="272">
        <v>189.99016942004528</v>
      </c>
      <c r="H639" s="277">
        <v>3.150202509053468E-2</v>
      </c>
      <c r="J639" s="294">
        <f t="shared" si="27"/>
        <v>167198.93142964804</v>
      </c>
      <c r="K639" s="294">
        <f t="shared" si="28"/>
        <v>167954.00201294405</v>
      </c>
      <c r="L639" s="281">
        <f t="shared" si="29"/>
        <v>1</v>
      </c>
    </row>
    <row r="640" spans="2:12" x14ac:dyDescent="0.15">
      <c r="B640" s="281">
        <v>633</v>
      </c>
      <c r="C640" s="294">
        <v>22281.400639368345</v>
      </c>
      <c r="D640" s="392">
        <v>6.2682365481799618</v>
      </c>
      <c r="E640" s="294">
        <v>22547.670810457596</v>
      </c>
      <c r="F640" s="272">
        <v>6.3001476711371245</v>
      </c>
      <c r="G640" s="272">
        <v>266.27017108925065</v>
      </c>
      <c r="H640" s="277">
        <v>3.1911122957162696E-2</v>
      </c>
      <c r="J640" s="294">
        <f t="shared" si="27"/>
        <v>165765.6958060305</v>
      </c>
      <c r="K640" s="294">
        <f t="shared" si="28"/>
        <v>166456.75932365615</v>
      </c>
      <c r="L640" s="281">
        <f t="shared" si="29"/>
        <v>1</v>
      </c>
    </row>
    <row r="641" spans="2:12" x14ac:dyDescent="0.15">
      <c r="B641" s="281">
        <v>634</v>
      </c>
      <c r="C641" s="294">
        <v>22645.532680634991</v>
      </c>
      <c r="D641" s="392">
        <v>6.2875053897985911</v>
      </c>
      <c r="E641" s="294">
        <v>23042.538151743676</v>
      </c>
      <c r="F641" s="272">
        <v>6.351831941861068</v>
      </c>
      <c r="G641" s="272">
        <v>397.00547110868501</v>
      </c>
      <c r="H641" s="277">
        <v>6.4326552062476949E-2</v>
      </c>
      <c r="J641" s="294">
        <f t="shared" si="27"/>
        <v>165979.62901332273</v>
      </c>
      <c r="K641" s="294">
        <f t="shared" si="28"/>
        <v>167512.42010408838</v>
      </c>
      <c r="L641" s="281">
        <f t="shared" si="29"/>
        <v>1</v>
      </c>
    </row>
    <row r="642" spans="2:12" x14ac:dyDescent="0.15">
      <c r="B642" s="281">
        <v>635</v>
      </c>
      <c r="C642" s="294">
        <v>21786.746059333316</v>
      </c>
      <c r="D642" s="392">
        <v>6.2316373370732823</v>
      </c>
      <c r="E642" s="294">
        <v>22064.378683208492</v>
      </c>
      <c r="F642" s="272">
        <v>6.2683941597233748</v>
      </c>
      <c r="G642" s="272">
        <v>277.63262387517534</v>
      </c>
      <c r="H642" s="277">
        <v>3.6756822650092502E-2</v>
      </c>
      <c r="J642" s="294">
        <f t="shared" si="27"/>
        <v>165162.37405286514</v>
      </c>
      <c r="K642" s="294">
        <f t="shared" si="28"/>
        <v>165987.44610849276</v>
      </c>
      <c r="L642" s="281">
        <f t="shared" si="29"/>
        <v>1</v>
      </c>
    </row>
    <row r="643" spans="2:12" x14ac:dyDescent="0.15">
      <c r="B643" s="281">
        <v>636</v>
      </c>
      <c r="C643" s="294">
        <v>21925.244518506446</v>
      </c>
      <c r="D643" s="392">
        <v>6.2873982487163378</v>
      </c>
      <c r="E643" s="294">
        <v>22235.176737619815</v>
      </c>
      <c r="F643" s="272">
        <v>6.3488346077528428</v>
      </c>
      <c r="G643" s="272">
        <v>309.93221911336877</v>
      </c>
      <c r="H643" s="277">
        <v>6.1436359036505017E-2</v>
      </c>
      <c r="J643" s="294">
        <f t="shared" si="27"/>
        <v>166696.70294298368</v>
      </c>
      <c r="K643" s="294">
        <f t="shared" si="28"/>
        <v>168229.86149496544</v>
      </c>
      <c r="L643" s="281">
        <f t="shared" si="29"/>
        <v>1</v>
      </c>
    </row>
    <row r="644" spans="2:12" x14ac:dyDescent="0.15">
      <c r="B644" s="281">
        <v>637</v>
      </c>
      <c r="C644" s="294">
        <v>19940.692495379051</v>
      </c>
      <c r="D644" s="392">
        <v>6.3357219719806492</v>
      </c>
      <c r="E644" s="294">
        <v>20097.323897993214</v>
      </c>
      <c r="F644" s="272">
        <v>6.3626380511556357</v>
      </c>
      <c r="G644" s="272">
        <v>156.63140261416265</v>
      </c>
      <c r="H644" s="277">
        <v>2.6916079174986507E-2</v>
      </c>
      <c r="J644" s="294">
        <f t="shared" si="27"/>
        <v>170130.96666404043</v>
      </c>
      <c r="K644" s="294">
        <f t="shared" si="28"/>
        <v>170781.81763667584</v>
      </c>
      <c r="L644" s="281">
        <f t="shared" si="29"/>
        <v>1</v>
      </c>
    </row>
    <row r="645" spans="2:12" x14ac:dyDescent="0.15">
      <c r="B645" s="281">
        <v>638</v>
      </c>
      <c r="C645" s="294">
        <v>20983.13854386851</v>
      </c>
      <c r="D645" s="392">
        <v>6.1973380868243551</v>
      </c>
      <c r="E645" s="294">
        <v>21282.722587499382</v>
      </c>
      <c r="F645" s="272">
        <v>6.2777911586056501</v>
      </c>
      <c r="G645" s="272">
        <v>299.58404363087175</v>
      </c>
      <c r="H645" s="277">
        <v>8.0453071781295016E-2</v>
      </c>
      <c r="J645" s="294">
        <f t="shared" si="27"/>
        <v>164937.00406086212</v>
      </c>
      <c r="K645" s="294">
        <f t="shared" si="28"/>
        <v>167051.01217067012</v>
      </c>
      <c r="L645" s="281">
        <f t="shared" si="29"/>
        <v>1</v>
      </c>
    </row>
    <row r="646" spans="2:12" x14ac:dyDescent="0.15">
      <c r="B646" s="281">
        <v>639</v>
      </c>
      <c r="C646" s="294">
        <v>21796.688720949933</v>
      </c>
      <c r="D646" s="392">
        <v>6.1902984653340276</v>
      </c>
      <c r="E646" s="294">
        <v>21951.871714030021</v>
      </c>
      <c r="F646" s="272">
        <v>6.2234032786670683</v>
      </c>
      <c r="G646" s="272">
        <v>155.18299308008864</v>
      </c>
      <c r="H646" s="277">
        <v>3.3104813333040717E-2</v>
      </c>
      <c r="J646" s="294">
        <f t="shared" si="27"/>
        <v>163912.2652390709</v>
      </c>
      <c r="K646" s="294">
        <f t="shared" si="28"/>
        <v>164750.22664598204</v>
      </c>
      <c r="L646" s="281">
        <f t="shared" si="29"/>
        <v>1</v>
      </c>
    </row>
    <row r="647" spans="2:12" x14ac:dyDescent="0.15">
      <c r="B647" s="281">
        <v>640</v>
      </c>
      <c r="C647" s="294">
        <v>21620.690796227034</v>
      </c>
      <c r="D647" s="392">
        <v>6.3668626026897135</v>
      </c>
      <c r="E647" s="294">
        <v>21822.971383413274</v>
      </c>
      <c r="F647" s="272">
        <v>6.3947811589536618</v>
      </c>
      <c r="G647" s="272">
        <v>202.28058718624015</v>
      </c>
      <c r="H647" s="277">
        <v>2.7918556263948346E-2</v>
      </c>
      <c r="J647" s="294">
        <f t="shared" si="27"/>
        <v>169385.18728446437</v>
      </c>
      <c r="K647" s="294">
        <f t="shared" si="28"/>
        <v>170020.46338519658</v>
      </c>
      <c r="L647" s="281">
        <f t="shared" si="29"/>
        <v>1</v>
      </c>
    </row>
    <row r="648" spans="2:12" x14ac:dyDescent="0.15">
      <c r="B648" s="281">
        <v>641</v>
      </c>
      <c r="C648" s="294">
        <v>19966.859928484242</v>
      </c>
      <c r="D648" s="392">
        <v>6.2372596645531795</v>
      </c>
      <c r="E648" s="294">
        <v>20191.917789041137</v>
      </c>
      <c r="F648" s="272">
        <v>6.2915987473035218</v>
      </c>
      <c r="G648" s="272">
        <v>225.05786055689532</v>
      </c>
      <c r="H648" s="277">
        <v>5.4339082750342271E-2</v>
      </c>
      <c r="J648" s="294">
        <f t="shared" ref="J648:J711" si="30">(D648*wtp)-C648</f>
        <v>167150.93000811114</v>
      </c>
      <c r="K648" s="294">
        <f t="shared" ref="K648:K711" si="31">(F648*wtp)-E648</f>
        <v>168556.04463006451</v>
      </c>
      <c r="L648" s="281">
        <f t="shared" si="29"/>
        <v>1</v>
      </c>
    </row>
    <row r="649" spans="2:12" x14ac:dyDescent="0.15">
      <c r="B649" s="281">
        <v>642</v>
      </c>
      <c r="C649" s="294">
        <v>20154.988746076047</v>
      </c>
      <c r="D649" s="392">
        <v>6.2760556912643892</v>
      </c>
      <c r="E649" s="294">
        <v>20387.170418347338</v>
      </c>
      <c r="F649" s="272">
        <v>6.304402636225741</v>
      </c>
      <c r="G649" s="272">
        <v>232.18167227129015</v>
      </c>
      <c r="H649" s="277">
        <v>2.8346944961351817E-2</v>
      </c>
      <c r="J649" s="294">
        <f t="shared" si="30"/>
        <v>168126.68199185564</v>
      </c>
      <c r="K649" s="294">
        <f t="shared" si="31"/>
        <v>168744.90866842488</v>
      </c>
      <c r="L649" s="281">
        <f t="shared" ref="L649:L712" si="32">IF(K649&gt;J649,1,0)</f>
        <v>1</v>
      </c>
    </row>
    <row r="650" spans="2:12" x14ac:dyDescent="0.15">
      <c r="B650" s="281">
        <v>643</v>
      </c>
      <c r="C650" s="294">
        <v>21888.019971188241</v>
      </c>
      <c r="D650" s="392">
        <v>6.1858094988048853</v>
      </c>
      <c r="E650" s="294">
        <v>21985.030522615631</v>
      </c>
      <c r="F650" s="272">
        <v>6.1774388708612662</v>
      </c>
      <c r="G650" s="272">
        <v>97.010551427389146</v>
      </c>
      <c r="H650" s="277">
        <v>-8.3706279436190911E-3</v>
      </c>
      <c r="J650" s="294">
        <f t="shared" si="30"/>
        <v>163686.26499295831</v>
      </c>
      <c r="K650" s="294">
        <f t="shared" si="31"/>
        <v>163338.13560322236</v>
      </c>
      <c r="L650" s="281">
        <f t="shared" si="32"/>
        <v>0</v>
      </c>
    </row>
    <row r="651" spans="2:12" x14ac:dyDescent="0.15">
      <c r="B651" s="281">
        <v>644</v>
      </c>
      <c r="C651" s="294">
        <v>19875.405367894535</v>
      </c>
      <c r="D651" s="392">
        <v>6.2898374829442876</v>
      </c>
      <c r="E651" s="294">
        <v>20052.197982688904</v>
      </c>
      <c r="F651" s="272">
        <v>6.3441170607531872</v>
      </c>
      <c r="G651" s="272">
        <v>176.792614794369</v>
      </c>
      <c r="H651" s="277">
        <v>5.4279577808899582E-2</v>
      </c>
      <c r="J651" s="294">
        <f t="shared" si="30"/>
        <v>168819.71912043408</v>
      </c>
      <c r="K651" s="294">
        <f t="shared" si="31"/>
        <v>170271.31383990671</v>
      </c>
      <c r="L651" s="281">
        <f t="shared" si="32"/>
        <v>1</v>
      </c>
    </row>
    <row r="652" spans="2:12" x14ac:dyDescent="0.15">
      <c r="B652" s="281">
        <v>645</v>
      </c>
      <c r="C652" s="294">
        <v>21585.743354139031</v>
      </c>
      <c r="D652" s="392">
        <v>6.3524427114355522</v>
      </c>
      <c r="E652" s="294">
        <v>21833.370864051591</v>
      </c>
      <c r="F652" s="272">
        <v>6.3849867565902496</v>
      </c>
      <c r="G652" s="272">
        <v>247.62750991255962</v>
      </c>
      <c r="H652" s="277">
        <v>3.2544045154697443E-2</v>
      </c>
      <c r="J652" s="294">
        <f t="shared" si="30"/>
        <v>168987.53798892754</v>
      </c>
      <c r="K652" s="294">
        <f t="shared" si="31"/>
        <v>169716.23183365588</v>
      </c>
      <c r="L652" s="281">
        <f t="shared" si="32"/>
        <v>1</v>
      </c>
    </row>
    <row r="653" spans="2:12" x14ac:dyDescent="0.15">
      <c r="B653" s="281">
        <v>646</v>
      </c>
      <c r="C653" s="294">
        <v>20379.897257656663</v>
      </c>
      <c r="D653" s="392">
        <v>6.1874976288728325</v>
      </c>
      <c r="E653" s="294">
        <v>20739.502203452252</v>
      </c>
      <c r="F653" s="272">
        <v>6.2290453333482789</v>
      </c>
      <c r="G653" s="272">
        <v>359.60494579558872</v>
      </c>
      <c r="H653" s="277">
        <v>4.1547704475446423E-2</v>
      </c>
      <c r="J653" s="294">
        <f t="shared" si="30"/>
        <v>165245.03160852831</v>
      </c>
      <c r="K653" s="294">
        <f t="shared" si="31"/>
        <v>166131.8577969961</v>
      </c>
      <c r="L653" s="281">
        <f t="shared" si="32"/>
        <v>1</v>
      </c>
    </row>
    <row r="654" spans="2:12" x14ac:dyDescent="0.15">
      <c r="B654" s="281">
        <v>647</v>
      </c>
      <c r="C654" s="294">
        <v>21804.964707596489</v>
      </c>
      <c r="D654" s="392">
        <v>6.2576152965295941</v>
      </c>
      <c r="E654" s="294">
        <v>22048.43218515009</v>
      </c>
      <c r="F654" s="272">
        <v>6.2928452860747246</v>
      </c>
      <c r="G654" s="272">
        <v>243.46747755360047</v>
      </c>
      <c r="H654" s="277">
        <v>3.5229989545130458E-2</v>
      </c>
      <c r="J654" s="294">
        <f t="shared" si="30"/>
        <v>165923.49418829134</v>
      </c>
      <c r="K654" s="294">
        <f t="shared" si="31"/>
        <v>166736.92639709165</v>
      </c>
      <c r="L654" s="281">
        <f t="shared" si="32"/>
        <v>1</v>
      </c>
    </row>
    <row r="655" spans="2:12" x14ac:dyDescent="0.15">
      <c r="B655" s="281">
        <v>648</v>
      </c>
      <c r="C655" s="294">
        <v>20780.447022165528</v>
      </c>
      <c r="D655" s="392">
        <v>6.2744522455553788</v>
      </c>
      <c r="E655" s="294">
        <v>20958.205739326098</v>
      </c>
      <c r="F655" s="272">
        <v>6.3196530441447774</v>
      </c>
      <c r="G655" s="272">
        <v>177.75871716057009</v>
      </c>
      <c r="H655" s="277">
        <v>4.5200798589398516E-2</v>
      </c>
      <c r="J655" s="294">
        <f t="shared" si="30"/>
        <v>167453.12034449584</v>
      </c>
      <c r="K655" s="294">
        <f t="shared" si="31"/>
        <v>168631.38558501721</v>
      </c>
      <c r="L655" s="281">
        <f t="shared" si="32"/>
        <v>1</v>
      </c>
    </row>
    <row r="656" spans="2:12" x14ac:dyDescent="0.15">
      <c r="B656" s="281">
        <v>649</v>
      </c>
      <c r="C656" s="294">
        <v>21378.374491943199</v>
      </c>
      <c r="D656" s="392">
        <v>6.1581909720028021</v>
      </c>
      <c r="E656" s="294">
        <v>21425.49086081659</v>
      </c>
      <c r="F656" s="272">
        <v>6.1446321942069284</v>
      </c>
      <c r="G656" s="272">
        <v>47.116368873390456</v>
      </c>
      <c r="H656" s="277">
        <v>-1.3558777795873667E-2</v>
      </c>
      <c r="J656" s="294">
        <f t="shared" si="30"/>
        <v>163367.35466814088</v>
      </c>
      <c r="K656" s="294">
        <f t="shared" si="31"/>
        <v>162913.47496539127</v>
      </c>
      <c r="L656" s="281">
        <f t="shared" si="32"/>
        <v>0</v>
      </c>
    </row>
    <row r="657" spans="2:12" x14ac:dyDescent="0.15">
      <c r="B657" s="281">
        <v>650</v>
      </c>
      <c r="C657" s="294">
        <v>23487.025024483173</v>
      </c>
      <c r="D657" s="392">
        <v>6.3556706606992028</v>
      </c>
      <c r="E657" s="294">
        <v>23696.019647936955</v>
      </c>
      <c r="F657" s="272">
        <v>6.3961386728418725</v>
      </c>
      <c r="G657" s="272">
        <v>208.99462345378197</v>
      </c>
      <c r="H657" s="277">
        <v>4.0468012142669707E-2</v>
      </c>
      <c r="J657" s="294">
        <f t="shared" si="30"/>
        <v>167183.09479649289</v>
      </c>
      <c r="K657" s="294">
        <f t="shared" si="31"/>
        <v>168188.14053731924</v>
      </c>
      <c r="L657" s="281">
        <f t="shared" si="32"/>
        <v>1</v>
      </c>
    </row>
    <row r="658" spans="2:12" x14ac:dyDescent="0.15">
      <c r="B658" s="281">
        <v>651</v>
      </c>
      <c r="C658" s="294">
        <v>22618.439905253752</v>
      </c>
      <c r="D658" s="392">
        <v>6.2978007032991368</v>
      </c>
      <c r="E658" s="294">
        <v>22805.536230549133</v>
      </c>
      <c r="F658" s="272">
        <v>6.3271591057955616</v>
      </c>
      <c r="G658" s="272">
        <v>187.09632529538067</v>
      </c>
      <c r="H658" s="277">
        <v>2.9358402496424851E-2</v>
      </c>
      <c r="J658" s="294">
        <f t="shared" si="30"/>
        <v>166315.58119372034</v>
      </c>
      <c r="K658" s="294">
        <f t="shared" si="31"/>
        <v>167009.23694331772</v>
      </c>
      <c r="L658" s="281">
        <f t="shared" si="32"/>
        <v>1</v>
      </c>
    </row>
    <row r="659" spans="2:12" x14ac:dyDescent="0.15">
      <c r="B659" s="281">
        <v>652</v>
      </c>
      <c r="C659" s="294">
        <v>20956.902287570356</v>
      </c>
      <c r="D659" s="392">
        <v>6.1862960933221549</v>
      </c>
      <c r="E659" s="294">
        <v>21088.09115108852</v>
      </c>
      <c r="F659" s="272">
        <v>6.1888496796307511</v>
      </c>
      <c r="G659" s="272">
        <v>131.188863518164</v>
      </c>
      <c r="H659" s="277">
        <v>2.5535863085961452E-3</v>
      </c>
      <c r="J659" s="294">
        <f t="shared" si="30"/>
        <v>164631.98051209431</v>
      </c>
      <c r="K659" s="294">
        <f t="shared" si="31"/>
        <v>164577.39923783403</v>
      </c>
      <c r="L659" s="281">
        <f t="shared" si="32"/>
        <v>0</v>
      </c>
    </row>
    <row r="660" spans="2:12" x14ac:dyDescent="0.15">
      <c r="B660" s="281">
        <v>653</v>
      </c>
      <c r="C660" s="294">
        <v>21042.327135734668</v>
      </c>
      <c r="D660" s="392">
        <v>6.2371705313999426</v>
      </c>
      <c r="E660" s="294">
        <v>21242.084324488271</v>
      </c>
      <c r="F660" s="272">
        <v>6.2710925058283502</v>
      </c>
      <c r="G660" s="272">
        <v>199.75718875360326</v>
      </c>
      <c r="H660" s="277">
        <v>3.3921974428407609E-2</v>
      </c>
      <c r="J660" s="294">
        <f t="shared" si="30"/>
        <v>166072.78880626362</v>
      </c>
      <c r="K660" s="294">
        <f t="shared" si="31"/>
        <v>166890.69085036224</v>
      </c>
      <c r="L660" s="281">
        <f t="shared" si="32"/>
        <v>1</v>
      </c>
    </row>
    <row r="661" spans="2:12" x14ac:dyDescent="0.15">
      <c r="B661" s="281">
        <v>654</v>
      </c>
      <c r="C661" s="294">
        <v>21874.050688918069</v>
      </c>
      <c r="D661" s="392">
        <v>6.2765018116399434</v>
      </c>
      <c r="E661" s="294">
        <v>21999.311668226524</v>
      </c>
      <c r="F661" s="272">
        <v>6.3084136747981212</v>
      </c>
      <c r="G661" s="272">
        <v>125.26097930845572</v>
      </c>
      <c r="H661" s="277">
        <v>3.1911863158177844E-2</v>
      </c>
      <c r="J661" s="294">
        <f t="shared" si="30"/>
        <v>166421.00366028023</v>
      </c>
      <c r="K661" s="294">
        <f t="shared" si="31"/>
        <v>167253.0985757171</v>
      </c>
      <c r="L661" s="281">
        <f t="shared" si="32"/>
        <v>1</v>
      </c>
    </row>
    <row r="662" spans="2:12" x14ac:dyDescent="0.15">
      <c r="B662" s="281">
        <v>655</v>
      </c>
      <c r="C662" s="294">
        <v>20205.360282664162</v>
      </c>
      <c r="D662" s="392">
        <v>6.2776992835546173</v>
      </c>
      <c r="E662" s="294">
        <v>20446.309097806068</v>
      </c>
      <c r="F662" s="272">
        <v>6.3279426359486477</v>
      </c>
      <c r="G662" s="272">
        <v>240.94881514190638</v>
      </c>
      <c r="H662" s="277">
        <v>5.0243352394030438E-2</v>
      </c>
      <c r="J662" s="294">
        <f t="shared" si="30"/>
        <v>168125.61822397436</v>
      </c>
      <c r="K662" s="294">
        <f t="shared" si="31"/>
        <v>169391.96998065335</v>
      </c>
      <c r="L662" s="281">
        <f t="shared" si="32"/>
        <v>1</v>
      </c>
    </row>
    <row r="663" spans="2:12" x14ac:dyDescent="0.15">
      <c r="B663" s="281">
        <v>656</v>
      </c>
      <c r="C663" s="294">
        <v>21150.416380922597</v>
      </c>
      <c r="D663" s="392">
        <v>6.17155523666026</v>
      </c>
      <c r="E663" s="294">
        <v>21268.5648511125</v>
      </c>
      <c r="F663" s="272">
        <v>6.1889379014883241</v>
      </c>
      <c r="G663" s="272">
        <v>118.14847018990258</v>
      </c>
      <c r="H663" s="277">
        <v>1.7382664828064165E-2</v>
      </c>
      <c r="J663" s="294">
        <f t="shared" si="30"/>
        <v>163996.24071888521</v>
      </c>
      <c r="K663" s="294">
        <f t="shared" si="31"/>
        <v>164399.57219353723</v>
      </c>
      <c r="L663" s="281">
        <f t="shared" si="32"/>
        <v>1</v>
      </c>
    </row>
    <row r="664" spans="2:12" x14ac:dyDescent="0.15">
      <c r="B664" s="281">
        <v>657</v>
      </c>
      <c r="C664" s="294">
        <v>20976.295237957605</v>
      </c>
      <c r="D664" s="392">
        <v>6.2278185265973285</v>
      </c>
      <c r="E664" s="294">
        <v>21201.284316222063</v>
      </c>
      <c r="F664" s="272">
        <v>6.2820250562030058</v>
      </c>
      <c r="G664" s="272">
        <v>224.98907826445793</v>
      </c>
      <c r="H664" s="277">
        <v>5.4206529605677289E-2</v>
      </c>
      <c r="J664" s="294">
        <f t="shared" si="30"/>
        <v>165858.26055996225</v>
      </c>
      <c r="K664" s="294">
        <f t="shared" si="31"/>
        <v>167259.4673698681</v>
      </c>
      <c r="L664" s="281">
        <f t="shared" si="32"/>
        <v>1</v>
      </c>
    </row>
    <row r="665" spans="2:12" x14ac:dyDescent="0.15">
      <c r="B665" s="281">
        <v>658</v>
      </c>
      <c r="C665" s="294">
        <v>21249.496543771478</v>
      </c>
      <c r="D665" s="392">
        <v>6.3080246333182011</v>
      </c>
      <c r="E665" s="294">
        <v>21420.081993802421</v>
      </c>
      <c r="F665" s="272">
        <v>6.3371349624597579</v>
      </c>
      <c r="G665" s="272">
        <v>170.58545003094332</v>
      </c>
      <c r="H665" s="277">
        <v>2.9110329141556868E-2</v>
      </c>
      <c r="J665" s="294">
        <f t="shared" si="30"/>
        <v>167991.24245577457</v>
      </c>
      <c r="K665" s="294">
        <f t="shared" si="31"/>
        <v>168693.96687999033</v>
      </c>
      <c r="L665" s="281">
        <f t="shared" si="32"/>
        <v>1</v>
      </c>
    </row>
    <row r="666" spans="2:12" x14ac:dyDescent="0.15">
      <c r="B666" s="281">
        <v>659</v>
      </c>
      <c r="C666" s="294">
        <v>19340.370926943335</v>
      </c>
      <c r="D666" s="392">
        <v>6.2533349480391127</v>
      </c>
      <c r="E666" s="294">
        <v>19467.689867954417</v>
      </c>
      <c r="F666" s="272">
        <v>6.2753854262267161</v>
      </c>
      <c r="G666" s="272">
        <v>127.31894101108264</v>
      </c>
      <c r="H666" s="277">
        <v>2.2050478187603417E-2</v>
      </c>
      <c r="J666" s="294">
        <f t="shared" si="30"/>
        <v>168259.67751423005</v>
      </c>
      <c r="K666" s="294">
        <f t="shared" si="31"/>
        <v>168793.87291884708</v>
      </c>
      <c r="L666" s="281">
        <f t="shared" si="32"/>
        <v>1</v>
      </c>
    </row>
    <row r="667" spans="2:12" x14ac:dyDescent="0.15">
      <c r="B667" s="281">
        <v>660</v>
      </c>
      <c r="C667" s="294">
        <v>21888.629282570797</v>
      </c>
      <c r="D667" s="392">
        <v>6.2786022090052027</v>
      </c>
      <c r="E667" s="294">
        <v>22119.979495371474</v>
      </c>
      <c r="F667" s="272">
        <v>6.3262085898921088</v>
      </c>
      <c r="G667" s="272">
        <v>231.35021280067667</v>
      </c>
      <c r="H667" s="277">
        <v>4.7606380886906052E-2</v>
      </c>
      <c r="J667" s="294">
        <f t="shared" si="30"/>
        <v>166469.4369875853</v>
      </c>
      <c r="K667" s="294">
        <f t="shared" si="31"/>
        <v>167666.2782013918</v>
      </c>
      <c r="L667" s="281">
        <f t="shared" si="32"/>
        <v>1</v>
      </c>
    </row>
    <row r="668" spans="2:12" x14ac:dyDescent="0.15">
      <c r="B668" s="281">
        <v>661</v>
      </c>
      <c r="C668" s="294">
        <v>21836.876939211357</v>
      </c>
      <c r="D668" s="392">
        <v>6.3082857778485328</v>
      </c>
      <c r="E668" s="294">
        <v>22023.832572344145</v>
      </c>
      <c r="F668" s="272">
        <v>6.3266532032447529</v>
      </c>
      <c r="G668" s="272">
        <v>186.95563313278763</v>
      </c>
      <c r="H668" s="277">
        <v>1.836742539622005E-2</v>
      </c>
      <c r="J668" s="294">
        <f t="shared" si="30"/>
        <v>167411.69639624463</v>
      </c>
      <c r="K668" s="294">
        <f t="shared" si="31"/>
        <v>167775.76352499845</v>
      </c>
      <c r="L668" s="281">
        <f t="shared" si="32"/>
        <v>1</v>
      </c>
    </row>
    <row r="669" spans="2:12" x14ac:dyDescent="0.15">
      <c r="B669" s="281">
        <v>662</v>
      </c>
      <c r="C669" s="294">
        <v>21524.11488251411</v>
      </c>
      <c r="D669" s="392">
        <v>6.2882155077062949</v>
      </c>
      <c r="E669" s="294">
        <v>21765.14331846992</v>
      </c>
      <c r="F669" s="272">
        <v>6.3394667539031753</v>
      </c>
      <c r="G669" s="272">
        <v>241.02843595580998</v>
      </c>
      <c r="H669" s="277">
        <v>5.1251246196880373E-2</v>
      </c>
      <c r="J669" s="294">
        <f t="shared" si="30"/>
        <v>167122.35034867472</v>
      </c>
      <c r="K669" s="294">
        <f t="shared" si="31"/>
        <v>168418.85929862532</v>
      </c>
      <c r="L669" s="281">
        <f t="shared" si="32"/>
        <v>1</v>
      </c>
    </row>
    <row r="670" spans="2:12" x14ac:dyDescent="0.15">
      <c r="B670" s="281">
        <v>663</v>
      </c>
      <c r="C670" s="294">
        <v>20879.25535992294</v>
      </c>
      <c r="D670" s="392">
        <v>6.2388461800660355</v>
      </c>
      <c r="E670" s="294">
        <v>21084.621873714674</v>
      </c>
      <c r="F670" s="272">
        <v>6.2602655773315581</v>
      </c>
      <c r="G670" s="272">
        <v>205.36651379173418</v>
      </c>
      <c r="H670" s="277">
        <v>2.1419397265522555E-2</v>
      </c>
      <c r="J670" s="294">
        <f t="shared" si="30"/>
        <v>166286.13004205812</v>
      </c>
      <c r="K670" s="294">
        <f t="shared" si="31"/>
        <v>166723.34544623207</v>
      </c>
      <c r="L670" s="281">
        <f t="shared" si="32"/>
        <v>1</v>
      </c>
    </row>
    <row r="671" spans="2:12" x14ac:dyDescent="0.15">
      <c r="B671" s="281">
        <v>664</v>
      </c>
      <c r="C671" s="294">
        <v>22390.938510365108</v>
      </c>
      <c r="D671" s="392">
        <v>6.2884072507003204</v>
      </c>
      <c r="E671" s="294">
        <v>22561.490373873214</v>
      </c>
      <c r="F671" s="272">
        <v>6.3357243527558271</v>
      </c>
      <c r="G671" s="272">
        <v>170.55186350810618</v>
      </c>
      <c r="H671" s="277">
        <v>4.7317102055506766E-2</v>
      </c>
      <c r="J671" s="294">
        <f t="shared" si="30"/>
        <v>166261.2790106445</v>
      </c>
      <c r="K671" s="294">
        <f t="shared" si="31"/>
        <v>167510.24020880161</v>
      </c>
      <c r="L671" s="281">
        <f t="shared" si="32"/>
        <v>1</v>
      </c>
    </row>
    <row r="672" spans="2:12" x14ac:dyDescent="0.15">
      <c r="B672" s="281">
        <v>665</v>
      </c>
      <c r="C672" s="294">
        <v>21321.752956332755</v>
      </c>
      <c r="D672" s="392">
        <v>6.2371272412582126</v>
      </c>
      <c r="E672" s="294">
        <v>21657.512015197473</v>
      </c>
      <c r="F672" s="272">
        <v>6.2984866281926752</v>
      </c>
      <c r="G672" s="272">
        <v>335.7590588647181</v>
      </c>
      <c r="H672" s="277">
        <v>6.1359386934462634E-2</v>
      </c>
      <c r="J672" s="294">
        <f t="shared" si="30"/>
        <v>165792.06428141362</v>
      </c>
      <c r="K672" s="294">
        <f t="shared" si="31"/>
        <v>167297.08683058276</v>
      </c>
      <c r="L672" s="281">
        <f t="shared" si="32"/>
        <v>1</v>
      </c>
    </row>
    <row r="673" spans="2:12" x14ac:dyDescent="0.15">
      <c r="B673" s="281">
        <v>666</v>
      </c>
      <c r="C673" s="294">
        <v>20582.915136896903</v>
      </c>
      <c r="D673" s="392">
        <v>6.2340062257400897</v>
      </c>
      <c r="E673" s="294">
        <v>20859.015472706706</v>
      </c>
      <c r="F673" s="272">
        <v>6.2840368725707432</v>
      </c>
      <c r="G673" s="272">
        <v>276.10033580980235</v>
      </c>
      <c r="H673" s="277">
        <v>5.0030646830653502E-2</v>
      </c>
      <c r="J673" s="294">
        <f t="shared" si="30"/>
        <v>166437.27163530578</v>
      </c>
      <c r="K673" s="294">
        <f t="shared" si="31"/>
        <v>167662.0907044156</v>
      </c>
      <c r="L673" s="281">
        <f t="shared" si="32"/>
        <v>1</v>
      </c>
    </row>
    <row r="674" spans="2:12" x14ac:dyDescent="0.15">
      <c r="B674" s="281">
        <v>667</v>
      </c>
      <c r="C674" s="294">
        <v>19359.130585299648</v>
      </c>
      <c r="D674" s="392">
        <v>6.3532429087841713</v>
      </c>
      <c r="E674" s="294">
        <v>19517.248871012827</v>
      </c>
      <c r="F674" s="272">
        <v>6.3688904551355616</v>
      </c>
      <c r="G674" s="272">
        <v>158.11828571317892</v>
      </c>
      <c r="H674" s="277">
        <v>1.5647546351390318E-2</v>
      </c>
      <c r="J674" s="294">
        <f t="shared" si="30"/>
        <v>171238.15667822547</v>
      </c>
      <c r="K674" s="294">
        <f t="shared" si="31"/>
        <v>171549.46478305402</v>
      </c>
      <c r="L674" s="281">
        <f t="shared" si="32"/>
        <v>1</v>
      </c>
    </row>
    <row r="675" spans="2:12" x14ac:dyDescent="0.15">
      <c r="B675" s="281">
        <v>668</v>
      </c>
      <c r="C675" s="294">
        <v>20906.903324921077</v>
      </c>
      <c r="D675" s="392">
        <v>6.3087457657852006</v>
      </c>
      <c r="E675" s="294">
        <v>21109.685876706786</v>
      </c>
      <c r="F675" s="272">
        <v>6.3513203954701281</v>
      </c>
      <c r="G675" s="272">
        <v>202.78255178570907</v>
      </c>
      <c r="H675" s="277">
        <v>4.2574629684927423E-2</v>
      </c>
      <c r="J675" s="294">
        <f t="shared" si="30"/>
        <v>168355.46964863496</v>
      </c>
      <c r="K675" s="294">
        <f t="shared" si="31"/>
        <v>169429.92598739706</v>
      </c>
      <c r="L675" s="281">
        <f t="shared" si="32"/>
        <v>1</v>
      </c>
    </row>
    <row r="676" spans="2:12" x14ac:dyDescent="0.15">
      <c r="B676" s="281">
        <v>669</v>
      </c>
      <c r="C676" s="294">
        <v>20636.876706318362</v>
      </c>
      <c r="D676" s="392">
        <v>6.3584055158530353</v>
      </c>
      <c r="E676" s="294">
        <v>20929.588518743727</v>
      </c>
      <c r="F676" s="272">
        <v>6.4008166118403853</v>
      </c>
      <c r="G676" s="272">
        <v>292.71181242536477</v>
      </c>
      <c r="H676" s="277">
        <v>4.2411095987350045E-2</v>
      </c>
      <c r="J676" s="294">
        <f t="shared" si="30"/>
        <v>170115.28876927268</v>
      </c>
      <c r="K676" s="294">
        <f t="shared" si="31"/>
        <v>171094.90983646785</v>
      </c>
      <c r="L676" s="281">
        <f t="shared" si="32"/>
        <v>1</v>
      </c>
    </row>
    <row r="677" spans="2:12" x14ac:dyDescent="0.15">
      <c r="B677" s="281">
        <v>670</v>
      </c>
      <c r="C677" s="294">
        <v>22331.236673126834</v>
      </c>
      <c r="D677" s="392">
        <v>6.2276213105227196</v>
      </c>
      <c r="E677" s="294">
        <v>22583.847154017021</v>
      </c>
      <c r="F677" s="272">
        <v>6.2590213927692737</v>
      </c>
      <c r="G677" s="272">
        <v>252.61048089018732</v>
      </c>
      <c r="H677" s="277">
        <v>3.1400082246554106E-2</v>
      </c>
      <c r="J677" s="294">
        <f t="shared" si="30"/>
        <v>164497.40264255475</v>
      </c>
      <c r="K677" s="294">
        <f t="shared" si="31"/>
        <v>165186.79462906119</v>
      </c>
      <c r="L677" s="281">
        <f t="shared" si="32"/>
        <v>1</v>
      </c>
    </row>
    <row r="678" spans="2:12" x14ac:dyDescent="0.15">
      <c r="B678" s="281">
        <v>671</v>
      </c>
      <c r="C678" s="294">
        <v>22632.359215322398</v>
      </c>
      <c r="D678" s="392">
        <v>6.1753184970376118</v>
      </c>
      <c r="E678" s="294">
        <v>22781.663931497067</v>
      </c>
      <c r="F678" s="272">
        <v>6.1917629325246741</v>
      </c>
      <c r="G678" s="272">
        <v>149.30471617466901</v>
      </c>
      <c r="H678" s="277">
        <v>1.6444435487062314E-2</v>
      </c>
      <c r="J678" s="294">
        <f t="shared" si="30"/>
        <v>162627.19569580597</v>
      </c>
      <c r="K678" s="294">
        <f t="shared" si="31"/>
        <v>162971.22404424316</v>
      </c>
      <c r="L678" s="281">
        <f t="shared" si="32"/>
        <v>1</v>
      </c>
    </row>
    <row r="679" spans="2:12" x14ac:dyDescent="0.15">
      <c r="B679" s="281">
        <v>672</v>
      </c>
      <c r="C679" s="294">
        <v>21723.367402967287</v>
      </c>
      <c r="D679" s="392">
        <v>6.2637801967078008</v>
      </c>
      <c r="E679" s="294">
        <v>22019.690095785831</v>
      </c>
      <c r="F679" s="272">
        <v>6.3178264396137749</v>
      </c>
      <c r="G679" s="272">
        <v>296.32269281854315</v>
      </c>
      <c r="H679" s="277">
        <v>5.404624290597404E-2</v>
      </c>
      <c r="J679" s="294">
        <f t="shared" si="30"/>
        <v>166190.03849826672</v>
      </c>
      <c r="K679" s="294">
        <f t="shared" si="31"/>
        <v>167515.10309262743</v>
      </c>
      <c r="L679" s="281">
        <f t="shared" si="32"/>
        <v>1</v>
      </c>
    </row>
    <row r="680" spans="2:12" x14ac:dyDescent="0.15">
      <c r="B680" s="281">
        <v>673</v>
      </c>
      <c r="C680" s="294">
        <v>21832.78828350563</v>
      </c>
      <c r="D680" s="392">
        <v>6.2602977553963859</v>
      </c>
      <c r="E680" s="294">
        <v>22062.809078562113</v>
      </c>
      <c r="F680" s="272">
        <v>6.3251149796378829</v>
      </c>
      <c r="G680" s="272">
        <v>230.02079505648362</v>
      </c>
      <c r="H680" s="277">
        <v>6.4817224241497051E-2</v>
      </c>
      <c r="J680" s="294">
        <f t="shared" si="30"/>
        <v>165976.14437838594</v>
      </c>
      <c r="K680" s="294">
        <f t="shared" si="31"/>
        <v>167690.64031057438</v>
      </c>
      <c r="L680" s="281">
        <f t="shared" si="32"/>
        <v>1</v>
      </c>
    </row>
    <row r="681" spans="2:12" x14ac:dyDescent="0.15">
      <c r="B681" s="281">
        <v>674</v>
      </c>
      <c r="C681" s="294">
        <v>20757.88050033274</v>
      </c>
      <c r="D681" s="392">
        <v>6.2897102718379552</v>
      </c>
      <c r="E681" s="294">
        <v>21042.268012588764</v>
      </c>
      <c r="F681" s="272">
        <v>6.3417489015755688</v>
      </c>
      <c r="G681" s="272">
        <v>284.38751225602391</v>
      </c>
      <c r="H681" s="277">
        <v>5.203862973761364E-2</v>
      </c>
      <c r="J681" s="294">
        <f t="shared" si="30"/>
        <v>167933.42765480591</v>
      </c>
      <c r="K681" s="294">
        <f t="shared" si="31"/>
        <v>169210.19903467831</v>
      </c>
      <c r="L681" s="281">
        <f t="shared" si="32"/>
        <v>1</v>
      </c>
    </row>
    <row r="682" spans="2:12" x14ac:dyDescent="0.15">
      <c r="B682" s="281">
        <v>675</v>
      </c>
      <c r="C682" s="294">
        <v>21148.311728664215</v>
      </c>
      <c r="D682" s="392">
        <v>6.3167148351968416</v>
      </c>
      <c r="E682" s="294">
        <v>21337.13415358997</v>
      </c>
      <c r="F682" s="272">
        <v>6.3323482455982694</v>
      </c>
      <c r="G682" s="272">
        <v>188.8224249257546</v>
      </c>
      <c r="H682" s="277">
        <v>1.5633410401427739E-2</v>
      </c>
      <c r="J682" s="294">
        <f t="shared" si="30"/>
        <v>168353.13332724103</v>
      </c>
      <c r="K682" s="294">
        <f t="shared" si="31"/>
        <v>168633.31321435812</v>
      </c>
      <c r="L682" s="281">
        <f t="shared" si="32"/>
        <v>1</v>
      </c>
    </row>
    <row r="683" spans="2:12" x14ac:dyDescent="0.15">
      <c r="B683" s="281">
        <v>676</v>
      </c>
      <c r="C683" s="294">
        <v>20469.986216920413</v>
      </c>
      <c r="D683" s="392">
        <v>6.1900620826965813</v>
      </c>
      <c r="E683" s="294">
        <v>20510.353213386516</v>
      </c>
      <c r="F683" s="272">
        <v>6.1888416166478262</v>
      </c>
      <c r="G683" s="272">
        <v>40.366996466102137</v>
      </c>
      <c r="H683" s="277">
        <v>-1.2204660487551422E-3</v>
      </c>
      <c r="J683" s="294">
        <f t="shared" si="30"/>
        <v>165231.87626397703</v>
      </c>
      <c r="K683" s="294">
        <f t="shared" si="31"/>
        <v>165154.89528604827</v>
      </c>
      <c r="L683" s="281">
        <f t="shared" si="32"/>
        <v>0</v>
      </c>
    </row>
    <row r="684" spans="2:12" x14ac:dyDescent="0.15">
      <c r="B684" s="281">
        <v>677</v>
      </c>
      <c r="C684" s="294">
        <v>21569.056414435225</v>
      </c>
      <c r="D684" s="392">
        <v>6.2600102684097312</v>
      </c>
      <c r="E684" s="294">
        <v>21834.787926106277</v>
      </c>
      <c r="F684" s="272">
        <v>6.3104323394711308</v>
      </c>
      <c r="G684" s="272">
        <v>265.73151167105243</v>
      </c>
      <c r="H684" s="277">
        <v>5.042207106139962E-2</v>
      </c>
      <c r="J684" s="294">
        <f t="shared" si="30"/>
        <v>166231.25163785671</v>
      </c>
      <c r="K684" s="294">
        <f t="shared" si="31"/>
        <v>167478.18225802763</v>
      </c>
      <c r="L684" s="281">
        <f t="shared" si="32"/>
        <v>1</v>
      </c>
    </row>
    <row r="685" spans="2:12" x14ac:dyDescent="0.15">
      <c r="B685" s="281">
        <v>678</v>
      </c>
      <c r="C685" s="294">
        <v>21959.85154708866</v>
      </c>
      <c r="D685" s="392">
        <v>6.3188183484436244</v>
      </c>
      <c r="E685" s="294">
        <v>22241.276019575656</v>
      </c>
      <c r="F685" s="272">
        <v>6.3580819881311541</v>
      </c>
      <c r="G685" s="272">
        <v>281.42447248699682</v>
      </c>
      <c r="H685" s="277">
        <v>3.9263639687529661E-2</v>
      </c>
      <c r="J685" s="294">
        <f t="shared" si="30"/>
        <v>167604.69890622009</v>
      </c>
      <c r="K685" s="294">
        <f t="shared" si="31"/>
        <v>168501.18362435896</v>
      </c>
      <c r="L685" s="281">
        <f t="shared" si="32"/>
        <v>1</v>
      </c>
    </row>
    <row r="686" spans="2:12" x14ac:dyDescent="0.15">
      <c r="B686" s="281">
        <v>679</v>
      </c>
      <c r="C686" s="294">
        <v>22073.645474605466</v>
      </c>
      <c r="D686" s="392">
        <v>6.1870854286584658</v>
      </c>
      <c r="E686" s="294">
        <v>22239.807406059877</v>
      </c>
      <c r="F686" s="272">
        <v>6.2267467752421117</v>
      </c>
      <c r="G686" s="272">
        <v>166.16193145441139</v>
      </c>
      <c r="H686" s="277">
        <v>3.9661346583645951E-2</v>
      </c>
      <c r="J686" s="294">
        <f t="shared" si="30"/>
        <v>163538.9173851485</v>
      </c>
      <c r="K686" s="294">
        <f t="shared" si="31"/>
        <v>164562.59585120348</v>
      </c>
      <c r="L686" s="281">
        <f t="shared" si="32"/>
        <v>1</v>
      </c>
    </row>
    <row r="687" spans="2:12" x14ac:dyDescent="0.15">
      <c r="B687" s="281">
        <v>680</v>
      </c>
      <c r="C687" s="294">
        <v>21465.164635802143</v>
      </c>
      <c r="D687" s="392">
        <v>6.2421616069596171</v>
      </c>
      <c r="E687" s="294">
        <v>21766.456557572452</v>
      </c>
      <c r="F687" s="272">
        <v>6.3117262892592754</v>
      </c>
      <c r="G687" s="272">
        <v>301.29192177030927</v>
      </c>
      <c r="H687" s="277">
        <v>6.9564682299658287E-2</v>
      </c>
      <c r="J687" s="294">
        <f t="shared" si="30"/>
        <v>165799.68357298637</v>
      </c>
      <c r="K687" s="294">
        <f t="shared" si="31"/>
        <v>167585.33212020583</v>
      </c>
      <c r="L687" s="281">
        <f t="shared" si="32"/>
        <v>1</v>
      </c>
    </row>
    <row r="688" spans="2:12" x14ac:dyDescent="0.15">
      <c r="B688" s="281">
        <v>681</v>
      </c>
      <c r="C688" s="294">
        <v>21661.850741930248</v>
      </c>
      <c r="D688" s="392">
        <v>6.2100107469851382</v>
      </c>
      <c r="E688" s="294">
        <v>22075.363874750561</v>
      </c>
      <c r="F688" s="272">
        <v>6.264632805175955</v>
      </c>
      <c r="G688" s="272">
        <v>413.51313282031333</v>
      </c>
      <c r="H688" s="277">
        <v>5.462205819081678E-2</v>
      </c>
      <c r="J688" s="294">
        <f t="shared" si="30"/>
        <v>164638.4716676239</v>
      </c>
      <c r="K688" s="294">
        <f t="shared" si="31"/>
        <v>165863.62028052809</v>
      </c>
      <c r="L688" s="281">
        <f t="shared" si="32"/>
        <v>1</v>
      </c>
    </row>
    <row r="689" spans="2:12" x14ac:dyDescent="0.15">
      <c r="B689" s="281">
        <v>682</v>
      </c>
      <c r="C689" s="294">
        <v>21351.079862256764</v>
      </c>
      <c r="D689" s="392">
        <v>6.3527173934380237</v>
      </c>
      <c r="E689" s="294">
        <v>21610.708024678264</v>
      </c>
      <c r="F689" s="272">
        <v>6.3799071303836641</v>
      </c>
      <c r="G689" s="272">
        <v>259.62816242150075</v>
      </c>
      <c r="H689" s="277">
        <v>2.7189736945640419E-2</v>
      </c>
      <c r="J689" s="294">
        <f t="shared" si="30"/>
        <v>169230.44194088393</v>
      </c>
      <c r="K689" s="294">
        <f t="shared" si="31"/>
        <v>169786.50588683167</v>
      </c>
      <c r="L689" s="281">
        <f t="shared" si="32"/>
        <v>1</v>
      </c>
    </row>
    <row r="690" spans="2:12" x14ac:dyDescent="0.15">
      <c r="B690" s="281">
        <v>683</v>
      </c>
      <c r="C690" s="294">
        <v>20963.219312173267</v>
      </c>
      <c r="D690" s="392">
        <v>6.3092553610192335</v>
      </c>
      <c r="E690" s="294">
        <v>21101.163937272457</v>
      </c>
      <c r="F690" s="272">
        <v>6.3330549120765243</v>
      </c>
      <c r="G690" s="272">
        <v>137.94462509918958</v>
      </c>
      <c r="H690" s="277">
        <v>2.3799551057290813E-2</v>
      </c>
      <c r="J690" s="294">
        <f t="shared" si="30"/>
        <v>168314.44151840374</v>
      </c>
      <c r="K690" s="294">
        <f t="shared" si="31"/>
        <v>168890.4834250233</v>
      </c>
      <c r="L690" s="281">
        <f t="shared" si="32"/>
        <v>1</v>
      </c>
    </row>
    <row r="691" spans="2:12" x14ac:dyDescent="0.15">
      <c r="B691" s="281">
        <v>684</v>
      </c>
      <c r="C691" s="294">
        <v>22224.722106820711</v>
      </c>
      <c r="D691" s="392">
        <v>6.3283124041899219</v>
      </c>
      <c r="E691" s="294">
        <v>22560.444327085705</v>
      </c>
      <c r="F691" s="272">
        <v>6.3792984218575715</v>
      </c>
      <c r="G691" s="272">
        <v>335.72222026499367</v>
      </c>
      <c r="H691" s="277">
        <v>5.0986017667649541E-2</v>
      </c>
      <c r="J691" s="294">
        <f t="shared" si="30"/>
        <v>167624.65001887697</v>
      </c>
      <c r="K691" s="294">
        <f t="shared" si="31"/>
        <v>168818.50832864142</v>
      </c>
      <c r="L691" s="281">
        <f t="shared" si="32"/>
        <v>1</v>
      </c>
    </row>
    <row r="692" spans="2:12" x14ac:dyDescent="0.15">
      <c r="B692" s="281">
        <v>685</v>
      </c>
      <c r="C692" s="294">
        <v>22475.497482520466</v>
      </c>
      <c r="D692" s="392">
        <v>6.3462380069233859</v>
      </c>
      <c r="E692" s="294">
        <v>22634.582855849363</v>
      </c>
      <c r="F692" s="272">
        <v>6.3489566187819726</v>
      </c>
      <c r="G692" s="272">
        <v>159.08537332889682</v>
      </c>
      <c r="H692" s="277">
        <v>2.7186118585866836E-3</v>
      </c>
      <c r="J692" s="294">
        <f t="shared" si="30"/>
        <v>167911.6427251811</v>
      </c>
      <c r="K692" s="294">
        <f t="shared" si="31"/>
        <v>167834.11570760983</v>
      </c>
      <c r="L692" s="281">
        <f t="shared" si="32"/>
        <v>0</v>
      </c>
    </row>
    <row r="693" spans="2:12" x14ac:dyDescent="0.15">
      <c r="B693" s="281">
        <v>686</v>
      </c>
      <c r="C693" s="294">
        <v>21652.939886213793</v>
      </c>
      <c r="D693" s="392">
        <v>6.3681561319563871</v>
      </c>
      <c r="E693" s="294">
        <v>21864.74138073784</v>
      </c>
      <c r="F693" s="272">
        <v>6.3864894500296208</v>
      </c>
      <c r="G693" s="272">
        <v>211.80149452404657</v>
      </c>
      <c r="H693" s="277">
        <v>1.8333318073233684E-2</v>
      </c>
      <c r="J693" s="294">
        <f t="shared" si="30"/>
        <v>169391.7440724778</v>
      </c>
      <c r="K693" s="294">
        <f t="shared" si="31"/>
        <v>169729.94212015078</v>
      </c>
      <c r="L693" s="281">
        <f t="shared" si="32"/>
        <v>1</v>
      </c>
    </row>
    <row r="694" spans="2:12" x14ac:dyDescent="0.15">
      <c r="B694" s="281">
        <v>687</v>
      </c>
      <c r="C694" s="294">
        <v>21867.960889496801</v>
      </c>
      <c r="D694" s="392">
        <v>6.2600710822449104</v>
      </c>
      <c r="E694" s="294">
        <v>22143.666773393808</v>
      </c>
      <c r="F694" s="272">
        <v>6.2991485431507304</v>
      </c>
      <c r="G694" s="272">
        <v>275.70588389700788</v>
      </c>
      <c r="H694" s="277">
        <v>3.9077460905819983E-2</v>
      </c>
      <c r="J694" s="294">
        <f t="shared" si="30"/>
        <v>165934.1715778505</v>
      </c>
      <c r="K694" s="294">
        <f t="shared" si="31"/>
        <v>166830.78952112811</v>
      </c>
      <c r="L694" s="281">
        <f t="shared" si="32"/>
        <v>1</v>
      </c>
    </row>
    <row r="695" spans="2:12" x14ac:dyDescent="0.15">
      <c r="B695" s="281">
        <v>688</v>
      </c>
      <c r="C695" s="294">
        <v>22934.190408118135</v>
      </c>
      <c r="D695" s="392">
        <v>6.3155893998478474</v>
      </c>
      <c r="E695" s="294">
        <v>23208.133363283257</v>
      </c>
      <c r="F695" s="272">
        <v>6.36424593598126</v>
      </c>
      <c r="G695" s="272">
        <v>273.94295516512284</v>
      </c>
      <c r="H695" s="277">
        <v>4.8656536133412587E-2</v>
      </c>
      <c r="J695" s="294">
        <f t="shared" si="30"/>
        <v>166533.49158731729</v>
      </c>
      <c r="K695" s="294">
        <f t="shared" si="31"/>
        <v>167719.24471615453</v>
      </c>
      <c r="L695" s="281">
        <f t="shared" si="32"/>
        <v>1</v>
      </c>
    </row>
    <row r="696" spans="2:12" x14ac:dyDescent="0.15">
      <c r="B696" s="281">
        <v>689</v>
      </c>
      <c r="C696" s="294">
        <v>20509.029767818301</v>
      </c>
      <c r="D696" s="392">
        <v>6.2433565748014646</v>
      </c>
      <c r="E696" s="294">
        <v>20732.374470395207</v>
      </c>
      <c r="F696" s="272">
        <v>6.263264103706212</v>
      </c>
      <c r="G696" s="272">
        <v>223.34470257690555</v>
      </c>
      <c r="H696" s="277">
        <v>1.9907528904747451E-2</v>
      </c>
      <c r="J696" s="294">
        <f t="shared" si="30"/>
        <v>166791.66747622562</v>
      </c>
      <c r="K696" s="294">
        <f t="shared" si="31"/>
        <v>167165.54864079115</v>
      </c>
      <c r="L696" s="281">
        <f t="shared" si="32"/>
        <v>1</v>
      </c>
    </row>
    <row r="697" spans="2:12" x14ac:dyDescent="0.15">
      <c r="B697" s="281">
        <v>690</v>
      </c>
      <c r="C697" s="294">
        <v>20712.701843340059</v>
      </c>
      <c r="D697" s="392">
        <v>6.2388434757790101</v>
      </c>
      <c r="E697" s="294">
        <v>20950.898148907228</v>
      </c>
      <c r="F697" s="272">
        <v>6.3038959089840612</v>
      </c>
      <c r="G697" s="272">
        <v>238.19630556716947</v>
      </c>
      <c r="H697" s="277">
        <v>6.5052433205051052E-2</v>
      </c>
      <c r="J697" s="294">
        <f t="shared" si="30"/>
        <v>166452.60243003024</v>
      </c>
      <c r="K697" s="294">
        <f t="shared" si="31"/>
        <v>168165.97912061459</v>
      </c>
      <c r="L697" s="281">
        <f t="shared" si="32"/>
        <v>1</v>
      </c>
    </row>
    <row r="698" spans="2:12" x14ac:dyDescent="0.15">
      <c r="B698" s="281">
        <v>691</v>
      </c>
      <c r="C698" s="294">
        <v>22240.345916685088</v>
      </c>
      <c r="D698" s="392">
        <v>6.2336954889075153</v>
      </c>
      <c r="E698" s="294">
        <v>22461.224098575945</v>
      </c>
      <c r="F698" s="272">
        <v>6.2952941179538788</v>
      </c>
      <c r="G698" s="272">
        <v>220.87818189085738</v>
      </c>
      <c r="H698" s="277">
        <v>6.1598629046363484E-2</v>
      </c>
      <c r="J698" s="294">
        <f t="shared" si="30"/>
        <v>164770.51875054036</v>
      </c>
      <c r="K698" s="294">
        <f t="shared" si="31"/>
        <v>166397.59944004042</v>
      </c>
      <c r="L698" s="281">
        <f t="shared" si="32"/>
        <v>1</v>
      </c>
    </row>
    <row r="699" spans="2:12" x14ac:dyDescent="0.15">
      <c r="B699" s="281">
        <v>692</v>
      </c>
      <c r="C699" s="294">
        <v>21588.348802406046</v>
      </c>
      <c r="D699" s="392">
        <v>6.29678341026671</v>
      </c>
      <c r="E699" s="294">
        <v>21793.859752498931</v>
      </c>
      <c r="F699" s="272">
        <v>6.3539372949729813</v>
      </c>
      <c r="G699" s="272">
        <v>205.51095009288474</v>
      </c>
      <c r="H699" s="277">
        <v>5.7153884706271363E-2</v>
      </c>
      <c r="J699" s="294">
        <f t="shared" si="30"/>
        <v>167315.15350559526</v>
      </c>
      <c r="K699" s="294">
        <f t="shared" si="31"/>
        <v>168824.25909669051</v>
      </c>
      <c r="L699" s="281">
        <f t="shared" si="32"/>
        <v>1</v>
      </c>
    </row>
    <row r="700" spans="2:12" x14ac:dyDescent="0.15">
      <c r="B700" s="281">
        <v>693</v>
      </c>
      <c r="C700" s="294">
        <v>19818.514212456965</v>
      </c>
      <c r="D700" s="392">
        <v>6.3444121214932983</v>
      </c>
      <c r="E700" s="294">
        <v>20142.055617860537</v>
      </c>
      <c r="F700" s="272">
        <v>6.4004868071596626</v>
      </c>
      <c r="G700" s="272">
        <v>323.54140540357184</v>
      </c>
      <c r="H700" s="277">
        <v>5.607468566636431E-2</v>
      </c>
      <c r="J700" s="294">
        <f t="shared" si="30"/>
        <v>170513.84943234199</v>
      </c>
      <c r="K700" s="294">
        <f t="shared" si="31"/>
        <v>171872.54859692932</v>
      </c>
      <c r="L700" s="281">
        <f t="shared" si="32"/>
        <v>1</v>
      </c>
    </row>
    <row r="701" spans="2:12" x14ac:dyDescent="0.15">
      <c r="B701" s="281">
        <v>694</v>
      </c>
      <c r="C701" s="294">
        <v>22702.477896307708</v>
      </c>
      <c r="D701" s="392">
        <v>6.304500782510841</v>
      </c>
      <c r="E701" s="294">
        <v>22872.914048363265</v>
      </c>
      <c r="F701" s="272">
        <v>6.2880884230534466</v>
      </c>
      <c r="G701" s="272">
        <v>170.43615205555761</v>
      </c>
      <c r="H701" s="277">
        <v>-1.6412359457394388E-2</v>
      </c>
      <c r="J701" s="294">
        <f t="shared" si="30"/>
        <v>166432.54557901752</v>
      </c>
      <c r="K701" s="294">
        <f t="shared" si="31"/>
        <v>165769.73864324013</v>
      </c>
      <c r="L701" s="281">
        <f t="shared" si="32"/>
        <v>0</v>
      </c>
    </row>
    <row r="702" spans="2:12" x14ac:dyDescent="0.15">
      <c r="B702" s="281">
        <v>695</v>
      </c>
      <c r="C702" s="294">
        <v>21952.510078616811</v>
      </c>
      <c r="D702" s="392">
        <v>6.3192483202726901</v>
      </c>
      <c r="E702" s="294">
        <v>22258.018385662275</v>
      </c>
      <c r="F702" s="272">
        <v>6.36939834508303</v>
      </c>
      <c r="G702" s="272">
        <v>305.50830704546388</v>
      </c>
      <c r="H702" s="277">
        <v>5.0150024810339922E-2</v>
      </c>
      <c r="J702" s="294">
        <f t="shared" si="30"/>
        <v>167624.93952956388</v>
      </c>
      <c r="K702" s="294">
        <f t="shared" si="31"/>
        <v>168823.93196682865</v>
      </c>
      <c r="L702" s="281">
        <f t="shared" si="32"/>
        <v>1</v>
      </c>
    </row>
    <row r="703" spans="2:12" x14ac:dyDescent="0.15">
      <c r="B703" s="281">
        <v>696</v>
      </c>
      <c r="C703" s="294">
        <v>22934.042570738548</v>
      </c>
      <c r="D703" s="392">
        <v>6.3215997514377653</v>
      </c>
      <c r="E703" s="294">
        <v>23075.413300358097</v>
      </c>
      <c r="F703" s="272">
        <v>6.3326223994353334</v>
      </c>
      <c r="G703" s="272">
        <v>141.37072961954982</v>
      </c>
      <c r="H703" s="277">
        <v>1.1022647997568136E-2</v>
      </c>
      <c r="J703" s="294">
        <f t="shared" si="30"/>
        <v>166713.94997239439</v>
      </c>
      <c r="K703" s="294">
        <f t="shared" si="31"/>
        <v>166903.25868270188</v>
      </c>
      <c r="L703" s="281">
        <f t="shared" si="32"/>
        <v>1</v>
      </c>
    </row>
    <row r="704" spans="2:12" x14ac:dyDescent="0.15">
      <c r="B704" s="281">
        <v>697</v>
      </c>
      <c r="C704" s="294">
        <v>23643.321338386704</v>
      </c>
      <c r="D704" s="392">
        <v>6.2784480828363405</v>
      </c>
      <c r="E704" s="294">
        <v>24027.689096542046</v>
      </c>
      <c r="F704" s="272">
        <v>6.3450628830042524</v>
      </c>
      <c r="G704" s="272">
        <v>384.36775815534202</v>
      </c>
      <c r="H704" s="277">
        <v>6.6614800167911881E-2</v>
      </c>
      <c r="J704" s="294">
        <f t="shared" si="30"/>
        <v>164710.12114670352</v>
      </c>
      <c r="K704" s="294">
        <f t="shared" si="31"/>
        <v>166324.19739358552</v>
      </c>
      <c r="L704" s="281">
        <f t="shared" si="32"/>
        <v>1</v>
      </c>
    </row>
    <row r="705" spans="2:12" x14ac:dyDescent="0.15">
      <c r="B705" s="281">
        <v>698</v>
      </c>
      <c r="C705" s="294">
        <v>21568.058426015385</v>
      </c>
      <c r="D705" s="392">
        <v>6.1191127267460903</v>
      </c>
      <c r="E705" s="294">
        <v>21797.225946599745</v>
      </c>
      <c r="F705" s="272">
        <v>6.1622449635026362</v>
      </c>
      <c r="G705" s="272">
        <v>229.16752058436032</v>
      </c>
      <c r="H705" s="277">
        <v>4.3132236756545872E-2</v>
      </c>
      <c r="J705" s="294">
        <f t="shared" si="30"/>
        <v>162005.32337636733</v>
      </c>
      <c r="K705" s="294">
        <f t="shared" si="31"/>
        <v>163070.12295847936</v>
      </c>
      <c r="L705" s="281">
        <f t="shared" si="32"/>
        <v>1</v>
      </c>
    </row>
    <row r="706" spans="2:12" x14ac:dyDescent="0.15">
      <c r="B706" s="281">
        <v>699</v>
      </c>
      <c r="C706" s="294">
        <v>21727.05776481254</v>
      </c>
      <c r="D706" s="392">
        <v>6.3178140589609502</v>
      </c>
      <c r="E706" s="294">
        <v>21939.170532182066</v>
      </c>
      <c r="F706" s="272">
        <v>6.3587490143688248</v>
      </c>
      <c r="G706" s="272">
        <v>212.11276736952641</v>
      </c>
      <c r="H706" s="277">
        <v>4.0934955407874618E-2</v>
      </c>
      <c r="J706" s="294">
        <f t="shared" si="30"/>
        <v>167807.36400401595</v>
      </c>
      <c r="K706" s="294">
        <f t="shared" si="31"/>
        <v>168823.29989888269</v>
      </c>
      <c r="L706" s="281">
        <f t="shared" si="32"/>
        <v>1</v>
      </c>
    </row>
    <row r="707" spans="2:12" x14ac:dyDescent="0.15">
      <c r="B707" s="281">
        <v>700</v>
      </c>
      <c r="C707" s="294">
        <v>22232.488774183639</v>
      </c>
      <c r="D707" s="392">
        <v>6.2759274557119316</v>
      </c>
      <c r="E707" s="294">
        <v>22481.391340130547</v>
      </c>
      <c r="F707" s="272">
        <v>6.3078905889938266</v>
      </c>
      <c r="G707" s="272">
        <v>248.902565946908</v>
      </c>
      <c r="H707" s="277">
        <v>3.196313328189504E-2</v>
      </c>
      <c r="J707" s="294">
        <f t="shared" si="30"/>
        <v>166045.3348971743</v>
      </c>
      <c r="K707" s="294">
        <f t="shared" si="31"/>
        <v>166755.32632968423</v>
      </c>
      <c r="L707" s="281">
        <f t="shared" si="32"/>
        <v>1</v>
      </c>
    </row>
    <row r="708" spans="2:12" x14ac:dyDescent="0.15">
      <c r="B708" s="281">
        <v>701</v>
      </c>
      <c r="C708" s="294">
        <v>21175.729598638965</v>
      </c>
      <c r="D708" s="392">
        <v>6.1938229533932816</v>
      </c>
      <c r="E708" s="294">
        <v>21349.421754834329</v>
      </c>
      <c r="F708" s="272">
        <v>6.2126955889733457</v>
      </c>
      <c r="G708" s="272">
        <v>173.69215619536408</v>
      </c>
      <c r="H708" s="277">
        <v>1.8872635580064134E-2</v>
      </c>
      <c r="J708" s="294">
        <f t="shared" si="30"/>
        <v>164638.95900315949</v>
      </c>
      <c r="K708" s="294">
        <f t="shared" si="31"/>
        <v>165031.44591436605</v>
      </c>
      <c r="L708" s="281">
        <f t="shared" si="32"/>
        <v>1</v>
      </c>
    </row>
    <row r="709" spans="2:12" x14ac:dyDescent="0.15">
      <c r="B709" s="281">
        <v>702</v>
      </c>
      <c r="C709" s="294">
        <v>21646.059242335505</v>
      </c>
      <c r="D709" s="392">
        <v>6.2633203545809701</v>
      </c>
      <c r="E709" s="294">
        <v>21816.847942711374</v>
      </c>
      <c r="F709" s="272">
        <v>6.3128745611550219</v>
      </c>
      <c r="G709" s="272">
        <v>170.78870037586967</v>
      </c>
      <c r="H709" s="277">
        <v>4.955420657405174E-2</v>
      </c>
      <c r="J709" s="294">
        <f t="shared" si="30"/>
        <v>166253.55139509361</v>
      </c>
      <c r="K709" s="294">
        <f t="shared" si="31"/>
        <v>167569.38889193928</v>
      </c>
      <c r="L709" s="281">
        <f t="shared" si="32"/>
        <v>1</v>
      </c>
    </row>
    <row r="710" spans="2:12" x14ac:dyDescent="0.15">
      <c r="B710" s="281">
        <v>703</v>
      </c>
      <c r="C710" s="294">
        <v>21697.136794914237</v>
      </c>
      <c r="D710" s="392">
        <v>6.2127513483568491</v>
      </c>
      <c r="E710" s="294">
        <v>21949.228977525352</v>
      </c>
      <c r="F710" s="272">
        <v>6.2653874357107924</v>
      </c>
      <c r="G710" s="272">
        <v>252.09218261111528</v>
      </c>
      <c r="H710" s="277">
        <v>5.2636087353943317E-2</v>
      </c>
      <c r="J710" s="294">
        <f t="shared" si="30"/>
        <v>164685.40365579125</v>
      </c>
      <c r="K710" s="294">
        <f t="shared" si="31"/>
        <v>166012.39409379842</v>
      </c>
      <c r="L710" s="281">
        <f t="shared" si="32"/>
        <v>1</v>
      </c>
    </row>
    <row r="711" spans="2:12" x14ac:dyDescent="0.15">
      <c r="B711" s="281">
        <v>704</v>
      </c>
      <c r="C711" s="294">
        <v>21171.087912627238</v>
      </c>
      <c r="D711" s="392">
        <v>6.3279793637342623</v>
      </c>
      <c r="E711" s="294">
        <v>21383.119150248949</v>
      </c>
      <c r="F711" s="272">
        <v>6.3691211188406385</v>
      </c>
      <c r="G711" s="272">
        <v>212.03123762171163</v>
      </c>
      <c r="H711" s="277">
        <v>4.1141755106376188E-2</v>
      </c>
      <c r="J711" s="294">
        <f t="shared" si="30"/>
        <v>168668.29299940064</v>
      </c>
      <c r="K711" s="294">
        <f t="shared" si="31"/>
        <v>169690.51441497021</v>
      </c>
      <c r="L711" s="281">
        <f t="shared" si="32"/>
        <v>1</v>
      </c>
    </row>
    <row r="712" spans="2:12" x14ac:dyDescent="0.15">
      <c r="B712" s="281">
        <v>705</v>
      </c>
      <c r="C712" s="294">
        <v>22197.651701480165</v>
      </c>
      <c r="D712" s="392">
        <v>6.131417026328184</v>
      </c>
      <c r="E712" s="294">
        <v>22517.182363297212</v>
      </c>
      <c r="F712" s="272">
        <v>6.1775661463134295</v>
      </c>
      <c r="G712" s="272">
        <v>319.53066181704708</v>
      </c>
      <c r="H712" s="277">
        <v>4.6149119985245513E-2</v>
      </c>
      <c r="J712" s="294">
        <f t="shared" ref="J712:J775" si="33">(D712*wtp)-C712</f>
        <v>161744.85908836534</v>
      </c>
      <c r="K712" s="294">
        <f t="shared" ref="K712:K775" si="34">(F712*wtp)-E712</f>
        <v>162809.80202610567</v>
      </c>
      <c r="L712" s="281">
        <f t="shared" si="32"/>
        <v>1</v>
      </c>
    </row>
    <row r="713" spans="2:12" x14ac:dyDescent="0.15">
      <c r="B713" s="281">
        <v>706</v>
      </c>
      <c r="C713" s="294">
        <v>22025.009527715691</v>
      </c>
      <c r="D713" s="392">
        <v>6.2760720631919558</v>
      </c>
      <c r="E713" s="294">
        <v>22239.445704954633</v>
      </c>
      <c r="F713" s="272">
        <v>6.3247871320241416</v>
      </c>
      <c r="G713" s="272">
        <v>214.43617723894204</v>
      </c>
      <c r="H713" s="277">
        <v>4.8715068832185793E-2</v>
      </c>
      <c r="J713" s="294">
        <f t="shared" si="33"/>
        <v>166257.152368043</v>
      </c>
      <c r="K713" s="294">
        <f t="shared" si="34"/>
        <v>167504.16825576959</v>
      </c>
      <c r="L713" s="281">
        <f t="shared" ref="L713:L776" si="35">IF(K713&gt;J713,1,0)</f>
        <v>1</v>
      </c>
    </row>
    <row r="714" spans="2:12" x14ac:dyDescent="0.15">
      <c r="B714" s="281">
        <v>707</v>
      </c>
      <c r="C714" s="294">
        <v>20885.932492212363</v>
      </c>
      <c r="D714" s="392">
        <v>6.3096823608366721</v>
      </c>
      <c r="E714" s="294">
        <v>21115.842938126272</v>
      </c>
      <c r="F714" s="272">
        <v>6.351086764514732</v>
      </c>
      <c r="G714" s="272">
        <v>229.91044591390892</v>
      </c>
      <c r="H714" s="277">
        <v>4.1404403678059865E-2</v>
      </c>
      <c r="J714" s="294">
        <f t="shared" si="33"/>
        <v>168404.53833288781</v>
      </c>
      <c r="K714" s="294">
        <f t="shared" si="34"/>
        <v>169416.7599973157</v>
      </c>
      <c r="L714" s="281">
        <f t="shared" si="35"/>
        <v>1</v>
      </c>
    </row>
    <row r="715" spans="2:12" x14ac:dyDescent="0.15">
      <c r="B715" s="281">
        <v>708</v>
      </c>
      <c r="C715" s="294">
        <v>21549.156876864239</v>
      </c>
      <c r="D715" s="392">
        <v>6.2886826508663596</v>
      </c>
      <c r="E715" s="294">
        <v>21858.106895311281</v>
      </c>
      <c r="F715" s="272">
        <v>6.3341303358290872</v>
      </c>
      <c r="G715" s="272">
        <v>308.95001844704166</v>
      </c>
      <c r="H715" s="277">
        <v>4.5447684962727664E-2</v>
      </c>
      <c r="J715" s="294">
        <f t="shared" si="33"/>
        <v>167111.32264912655</v>
      </c>
      <c r="K715" s="294">
        <f t="shared" si="34"/>
        <v>168165.80317956134</v>
      </c>
      <c r="L715" s="281">
        <f t="shared" si="35"/>
        <v>1</v>
      </c>
    </row>
    <row r="716" spans="2:12" x14ac:dyDescent="0.15">
      <c r="B716" s="281">
        <v>709</v>
      </c>
      <c r="C716" s="294">
        <v>21898.588279759533</v>
      </c>
      <c r="D716" s="392">
        <v>6.2264936914927995</v>
      </c>
      <c r="E716" s="294">
        <v>22069.742607023876</v>
      </c>
      <c r="F716" s="272">
        <v>6.2769161485364675</v>
      </c>
      <c r="G716" s="272">
        <v>171.15432726434301</v>
      </c>
      <c r="H716" s="277">
        <v>5.042245704366799E-2</v>
      </c>
      <c r="J716" s="294">
        <f t="shared" si="33"/>
        <v>164896.22246502445</v>
      </c>
      <c r="K716" s="294">
        <f t="shared" si="34"/>
        <v>166237.74184907012</v>
      </c>
      <c r="L716" s="281">
        <f t="shared" si="35"/>
        <v>1</v>
      </c>
    </row>
    <row r="717" spans="2:12" x14ac:dyDescent="0.15">
      <c r="B717" s="281">
        <v>710</v>
      </c>
      <c r="C717" s="294">
        <v>22008.732804937081</v>
      </c>
      <c r="D717" s="392">
        <v>6.2751022308119424</v>
      </c>
      <c r="E717" s="294">
        <v>22245.197468851944</v>
      </c>
      <c r="F717" s="272">
        <v>6.3258805727702097</v>
      </c>
      <c r="G717" s="272">
        <v>236.46466391486319</v>
      </c>
      <c r="H717" s="277">
        <v>5.0778341958267248E-2</v>
      </c>
      <c r="J717" s="294">
        <f t="shared" si="33"/>
        <v>166244.3341194212</v>
      </c>
      <c r="K717" s="294">
        <f t="shared" si="34"/>
        <v>167531.21971425434</v>
      </c>
      <c r="L717" s="281">
        <f t="shared" si="35"/>
        <v>1</v>
      </c>
    </row>
    <row r="718" spans="2:12" x14ac:dyDescent="0.15">
      <c r="B718" s="281">
        <v>711</v>
      </c>
      <c r="C718" s="294">
        <v>22665.176182961219</v>
      </c>
      <c r="D718" s="392">
        <v>6.2652062776935891</v>
      </c>
      <c r="E718" s="294">
        <v>22936.920949607622</v>
      </c>
      <c r="F718" s="272">
        <v>6.3112575122653851</v>
      </c>
      <c r="G718" s="272">
        <v>271.74476664640315</v>
      </c>
      <c r="H718" s="277">
        <v>4.6051234571796051E-2</v>
      </c>
      <c r="J718" s="294">
        <f t="shared" si="33"/>
        <v>165291.01214784646</v>
      </c>
      <c r="K718" s="294">
        <f t="shared" si="34"/>
        <v>166400.80441835395</v>
      </c>
      <c r="L718" s="281">
        <f t="shared" si="35"/>
        <v>1</v>
      </c>
    </row>
    <row r="719" spans="2:12" x14ac:dyDescent="0.15">
      <c r="B719" s="281">
        <v>712</v>
      </c>
      <c r="C719" s="294">
        <v>21851.493290310536</v>
      </c>
      <c r="D719" s="392">
        <v>6.1623786063533554</v>
      </c>
      <c r="E719" s="294">
        <v>22234.47359192877</v>
      </c>
      <c r="F719" s="272">
        <v>6.238275093944706</v>
      </c>
      <c r="G719" s="272">
        <v>382.98030161823408</v>
      </c>
      <c r="H719" s="277">
        <v>7.5896487591350592E-2</v>
      </c>
      <c r="J719" s="294">
        <f t="shared" si="33"/>
        <v>163019.86490029015</v>
      </c>
      <c r="K719" s="294">
        <f t="shared" si="34"/>
        <v>164913.77922641241</v>
      </c>
      <c r="L719" s="281">
        <f t="shared" si="35"/>
        <v>1</v>
      </c>
    </row>
    <row r="720" spans="2:12" x14ac:dyDescent="0.15">
      <c r="B720" s="281">
        <v>713</v>
      </c>
      <c r="C720" s="294">
        <v>21613.938027059841</v>
      </c>
      <c r="D720" s="392">
        <v>6.2545323446069379</v>
      </c>
      <c r="E720" s="294">
        <v>21799.878852506972</v>
      </c>
      <c r="F720" s="272">
        <v>6.2912860474617727</v>
      </c>
      <c r="G720" s="272">
        <v>185.94082544713092</v>
      </c>
      <c r="H720" s="277">
        <v>3.6753702854834813E-2</v>
      </c>
      <c r="J720" s="294">
        <f t="shared" si="33"/>
        <v>166022.0323111483</v>
      </c>
      <c r="K720" s="294">
        <f t="shared" si="34"/>
        <v>166938.70257134619</v>
      </c>
      <c r="L720" s="281">
        <f t="shared" si="35"/>
        <v>1</v>
      </c>
    </row>
    <row r="721" spans="2:12" x14ac:dyDescent="0.15">
      <c r="B721" s="281">
        <v>714</v>
      </c>
      <c r="C721" s="294">
        <v>22139.448951293172</v>
      </c>
      <c r="D721" s="392">
        <v>6.2344655277933141</v>
      </c>
      <c r="E721" s="294">
        <v>22347.933958776161</v>
      </c>
      <c r="F721" s="272">
        <v>6.2583809662157268</v>
      </c>
      <c r="G721" s="272">
        <v>208.48500748298829</v>
      </c>
      <c r="H721" s="277">
        <v>2.3915438422412727E-2</v>
      </c>
      <c r="J721" s="294">
        <f t="shared" si="33"/>
        <v>164894.51688250626</v>
      </c>
      <c r="K721" s="294">
        <f t="shared" si="34"/>
        <v>165403.49502769567</v>
      </c>
      <c r="L721" s="281">
        <f t="shared" si="35"/>
        <v>1</v>
      </c>
    </row>
    <row r="722" spans="2:12" x14ac:dyDescent="0.15">
      <c r="B722" s="281">
        <v>715</v>
      </c>
      <c r="C722" s="294">
        <v>21785.475512276382</v>
      </c>
      <c r="D722" s="392">
        <v>6.3240210802662036</v>
      </c>
      <c r="E722" s="294">
        <v>22116.784131796529</v>
      </c>
      <c r="F722" s="272">
        <v>6.3795170488132502</v>
      </c>
      <c r="G722" s="272">
        <v>331.30861952014675</v>
      </c>
      <c r="H722" s="277">
        <v>5.5495968547046637E-2</v>
      </c>
      <c r="J722" s="294">
        <f t="shared" si="33"/>
        <v>167935.15689570972</v>
      </c>
      <c r="K722" s="294">
        <f t="shared" si="34"/>
        <v>169268.72733260097</v>
      </c>
      <c r="L722" s="281">
        <f t="shared" si="35"/>
        <v>1</v>
      </c>
    </row>
    <row r="723" spans="2:12" x14ac:dyDescent="0.15">
      <c r="B723" s="281">
        <v>716</v>
      </c>
      <c r="C723" s="294">
        <v>21323.271834580293</v>
      </c>
      <c r="D723" s="392">
        <v>6.3283837754605639</v>
      </c>
      <c r="E723" s="294">
        <v>21479.25247907505</v>
      </c>
      <c r="F723" s="272">
        <v>6.3513859639120387</v>
      </c>
      <c r="G723" s="272">
        <v>155.98064449475714</v>
      </c>
      <c r="H723" s="277">
        <v>2.3002188451474836E-2</v>
      </c>
      <c r="J723" s="294">
        <f t="shared" si="33"/>
        <v>168528.24142923663</v>
      </c>
      <c r="K723" s="294">
        <f t="shared" si="34"/>
        <v>169062.32643828611</v>
      </c>
      <c r="L723" s="281">
        <f t="shared" si="35"/>
        <v>1</v>
      </c>
    </row>
    <row r="724" spans="2:12" x14ac:dyDescent="0.15">
      <c r="B724" s="281">
        <v>717</v>
      </c>
      <c r="C724" s="294">
        <v>19943.211605648459</v>
      </c>
      <c r="D724" s="392">
        <v>6.3084336714788893</v>
      </c>
      <c r="E724" s="294">
        <v>20122.225849812872</v>
      </c>
      <c r="F724" s="272">
        <v>6.3420722605149855</v>
      </c>
      <c r="G724" s="272">
        <v>179.01424416441296</v>
      </c>
      <c r="H724" s="277">
        <v>3.3638589036096178E-2</v>
      </c>
      <c r="J724" s="294">
        <f t="shared" si="33"/>
        <v>169309.79853871823</v>
      </c>
      <c r="K724" s="294">
        <f t="shared" si="34"/>
        <v>170139.94196563668</v>
      </c>
      <c r="L724" s="281">
        <f t="shared" si="35"/>
        <v>1</v>
      </c>
    </row>
    <row r="725" spans="2:12" x14ac:dyDescent="0.15">
      <c r="B725" s="281">
        <v>718</v>
      </c>
      <c r="C725" s="294">
        <v>21795.321184687833</v>
      </c>
      <c r="D725" s="392">
        <v>6.3165739789043904</v>
      </c>
      <c r="E725" s="294">
        <v>22003.462614229775</v>
      </c>
      <c r="F725" s="272">
        <v>6.3388712179640185</v>
      </c>
      <c r="G725" s="272">
        <v>208.14142954194176</v>
      </c>
      <c r="H725" s="277">
        <v>2.2297239059628104E-2</v>
      </c>
      <c r="J725" s="294">
        <f t="shared" si="33"/>
        <v>167701.89818244387</v>
      </c>
      <c r="K725" s="294">
        <f t="shared" si="34"/>
        <v>168162.67392469078</v>
      </c>
      <c r="L725" s="281">
        <f t="shared" si="35"/>
        <v>1</v>
      </c>
    </row>
    <row r="726" spans="2:12" x14ac:dyDescent="0.15">
      <c r="B726" s="281">
        <v>719</v>
      </c>
      <c r="C726" s="294">
        <v>20730.798674298992</v>
      </c>
      <c r="D726" s="392">
        <v>6.2730239193196384</v>
      </c>
      <c r="E726" s="294">
        <v>20925.940902054968</v>
      </c>
      <c r="F726" s="272">
        <v>6.3090626542883967</v>
      </c>
      <c r="G726" s="272">
        <v>195.14222775597591</v>
      </c>
      <c r="H726" s="277">
        <v>3.6038734968758313E-2</v>
      </c>
      <c r="J726" s="294">
        <f t="shared" si="33"/>
        <v>167459.91890529016</v>
      </c>
      <c r="K726" s="294">
        <f t="shared" si="34"/>
        <v>168345.93872659691</v>
      </c>
      <c r="L726" s="281">
        <f t="shared" si="35"/>
        <v>1</v>
      </c>
    </row>
    <row r="727" spans="2:12" x14ac:dyDescent="0.15">
      <c r="B727" s="281">
        <v>720</v>
      </c>
      <c r="C727" s="294">
        <v>21230.799814416179</v>
      </c>
      <c r="D727" s="392">
        <v>6.2235948655823838</v>
      </c>
      <c r="E727" s="294">
        <v>21266.956768333519</v>
      </c>
      <c r="F727" s="272">
        <v>6.2138807957125781</v>
      </c>
      <c r="G727" s="272">
        <v>36.156953917339706</v>
      </c>
      <c r="H727" s="277">
        <v>-9.7140698698057193E-3</v>
      </c>
      <c r="J727" s="294">
        <f t="shared" si="33"/>
        <v>165477.04615305533</v>
      </c>
      <c r="K727" s="294">
        <f t="shared" si="34"/>
        <v>165149.4671030438</v>
      </c>
      <c r="L727" s="281">
        <f t="shared" si="35"/>
        <v>0</v>
      </c>
    </row>
    <row r="728" spans="2:12" x14ac:dyDescent="0.15">
      <c r="B728" s="281">
        <v>721</v>
      </c>
      <c r="C728" s="294">
        <v>20550.953674757176</v>
      </c>
      <c r="D728" s="392">
        <v>6.3268121289758508</v>
      </c>
      <c r="E728" s="294">
        <v>20707.686891551559</v>
      </c>
      <c r="F728" s="272">
        <v>6.3321352018679784</v>
      </c>
      <c r="G728" s="272">
        <v>156.73321679438232</v>
      </c>
      <c r="H728" s="277">
        <v>5.3230728921276338E-3</v>
      </c>
      <c r="J728" s="294">
        <f t="shared" si="33"/>
        <v>169253.41019451834</v>
      </c>
      <c r="K728" s="294">
        <f t="shared" si="34"/>
        <v>169256.36916448778</v>
      </c>
      <c r="L728" s="281">
        <f t="shared" si="35"/>
        <v>1</v>
      </c>
    </row>
    <row r="729" spans="2:12" x14ac:dyDescent="0.15">
      <c r="B729" s="281">
        <v>722</v>
      </c>
      <c r="C729" s="294">
        <v>21377.248358225523</v>
      </c>
      <c r="D729" s="392">
        <v>6.3039353908415787</v>
      </c>
      <c r="E729" s="294">
        <v>21550.443147396876</v>
      </c>
      <c r="F729" s="272">
        <v>6.3549347513134498</v>
      </c>
      <c r="G729" s="272">
        <v>173.19478917135348</v>
      </c>
      <c r="H729" s="277">
        <v>5.0999360471871036E-2</v>
      </c>
      <c r="J729" s="294">
        <f t="shared" si="33"/>
        <v>167740.81336702185</v>
      </c>
      <c r="K729" s="294">
        <f t="shared" si="34"/>
        <v>169097.59939200661</v>
      </c>
      <c r="L729" s="281">
        <f t="shared" si="35"/>
        <v>1</v>
      </c>
    </row>
    <row r="730" spans="2:12" x14ac:dyDescent="0.15">
      <c r="B730" s="281">
        <v>723</v>
      </c>
      <c r="C730" s="294">
        <v>21441.606213051102</v>
      </c>
      <c r="D730" s="392">
        <v>6.2702699659308818</v>
      </c>
      <c r="E730" s="294">
        <v>21550.158847810522</v>
      </c>
      <c r="F730" s="272">
        <v>6.2829970651762856</v>
      </c>
      <c r="G730" s="272">
        <v>108.55263475942047</v>
      </c>
      <c r="H730" s="277">
        <v>1.2727099245403828E-2</v>
      </c>
      <c r="J730" s="294">
        <f t="shared" si="33"/>
        <v>166666.49276487535</v>
      </c>
      <c r="K730" s="294">
        <f t="shared" si="34"/>
        <v>166939.75310747806</v>
      </c>
      <c r="L730" s="281">
        <f t="shared" si="35"/>
        <v>1</v>
      </c>
    </row>
    <row r="731" spans="2:12" x14ac:dyDescent="0.15">
      <c r="B731" s="281">
        <v>724</v>
      </c>
      <c r="C731" s="294">
        <v>21427.879219230195</v>
      </c>
      <c r="D731" s="392">
        <v>6.2551190118808613</v>
      </c>
      <c r="E731" s="294">
        <v>21647.048190101952</v>
      </c>
      <c r="F731" s="272">
        <v>6.2988702358582058</v>
      </c>
      <c r="G731" s="272">
        <v>219.16897087175676</v>
      </c>
      <c r="H731" s="277">
        <v>4.3751223977344544E-2</v>
      </c>
      <c r="J731" s="294">
        <f t="shared" si="33"/>
        <v>166225.69113719562</v>
      </c>
      <c r="K731" s="294">
        <f t="shared" si="34"/>
        <v>167319.05888564422</v>
      </c>
      <c r="L731" s="281">
        <f t="shared" si="35"/>
        <v>1</v>
      </c>
    </row>
    <row r="732" spans="2:12" x14ac:dyDescent="0.15">
      <c r="B732" s="281">
        <v>725</v>
      </c>
      <c r="C732" s="294">
        <v>22099.983985243627</v>
      </c>
      <c r="D732" s="392">
        <v>6.2479078255469389</v>
      </c>
      <c r="E732" s="294">
        <v>22272.264008633414</v>
      </c>
      <c r="F732" s="272">
        <v>6.2518635284372071</v>
      </c>
      <c r="G732" s="272">
        <v>172.28002338978695</v>
      </c>
      <c r="H732" s="277">
        <v>3.9557028902681424E-3</v>
      </c>
      <c r="J732" s="294">
        <f t="shared" si="33"/>
        <v>165337.25078116453</v>
      </c>
      <c r="K732" s="294">
        <f t="shared" si="34"/>
        <v>165283.6418444828</v>
      </c>
      <c r="L732" s="281">
        <f t="shared" si="35"/>
        <v>0</v>
      </c>
    </row>
    <row r="733" spans="2:12" x14ac:dyDescent="0.15">
      <c r="B733" s="281">
        <v>726</v>
      </c>
      <c r="C733" s="294">
        <v>22207.280784367696</v>
      </c>
      <c r="D733" s="392">
        <v>6.153603871389481</v>
      </c>
      <c r="E733" s="294">
        <v>22337.400506490183</v>
      </c>
      <c r="F733" s="272">
        <v>6.174728156363944</v>
      </c>
      <c r="G733" s="272">
        <v>130.11972212248656</v>
      </c>
      <c r="H733" s="277">
        <v>2.1124284974463059E-2</v>
      </c>
      <c r="J733" s="294">
        <f t="shared" si="33"/>
        <v>162400.83535731674</v>
      </c>
      <c r="K733" s="294">
        <f t="shared" si="34"/>
        <v>162904.44418442814</v>
      </c>
      <c r="L733" s="281">
        <f t="shared" si="35"/>
        <v>1</v>
      </c>
    </row>
    <row r="734" spans="2:12" x14ac:dyDescent="0.15">
      <c r="B734" s="281">
        <v>727</v>
      </c>
      <c r="C734" s="294">
        <v>20525.667412354906</v>
      </c>
      <c r="D734" s="392">
        <v>6.279581612933713</v>
      </c>
      <c r="E734" s="294">
        <v>20716.106159163464</v>
      </c>
      <c r="F734" s="272">
        <v>6.3422130874638141</v>
      </c>
      <c r="G734" s="272">
        <v>190.43874680855879</v>
      </c>
      <c r="H734" s="277">
        <v>6.2631474530101094E-2</v>
      </c>
      <c r="J734" s="294">
        <f t="shared" si="33"/>
        <v>167861.7809756565</v>
      </c>
      <c r="K734" s="294">
        <f t="shared" si="34"/>
        <v>169550.28646475097</v>
      </c>
      <c r="L734" s="281">
        <f t="shared" si="35"/>
        <v>1</v>
      </c>
    </row>
    <row r="735" spans="2:12" x14ac:dyDescent="0.15">
      <c r="B735" s="281">
        <v>728</v>
      </c>
      <c r="C735" s="294">
        <v>20667.145572687637</v>
      </c>
      <c r="D735" s="392">
        <v>6.28029192643314</v>
      </c>
      <c r="E735" s="294">
        <v>20930.587320867344</v>
      </c>
      <c r="F735" s="272">
        <v>6.3379579311688943</v>
      </c>
      <c r="G735" s="272">
        <v>263.44174817970634</v>
      </c>
      <c r="H735" s="277">
        <v>5.7666004735754228E-2</v>
      </c>
      <c r="J735" s="294">
        <f t="shared" si="33"/>
        <v>167741.61222030656</v>
      </c>
      <c r="K735" s="294">
        <f t="shared" si="34"/>
        <v>169208.15061419949</v>
      </c>
      <c r="L735" s="281">
        <f t="shared" si="35"/>
        <v>1</v>
      </c>
    </row>
    <row r="736" spans="2:12" x14ac:dyDescent="0.15">
      <c r="B736" s="281">
        <v>729</v>
      </c>
      <c r="C736" s="294">
        <v>21995.337290146086</v>
      </c>
      <c r="D736" s="392">
        <v>6.2252537394946117</v>
      </c>
      <c r="E736" s="294">
        <v>22108.275345996277</v>
      </c>
      <c r="F736" s="272">
        <v>6.2555214095070628</v>
      </c>
      <c r="G736" s="272">
        <v>112.93805585019072</v>
      </c>
      <c r="H736" s="277">
        <v>3.026767001245112E-2</v>
      </c>
      <c r="J736" s="294">
        <f t="shared" si="33"/>
        <v>164762.27489469227</v>
      </c>
      <c r="K736" s="294">
        <f t="shared" si="34"/>
        <v>165557.3669392156</v>
      </c>
      <c r="L736" s="281">
        <f t="shared" si="35"/>
        <v>1</v>
      </c>
    </row>
    <row r="737" spans="2:12" x14ac:dyDescent="0.15">
      <c r="B737" s="281">
        <v>730</v>
      </c>
      <c r="C737" s="294">
        <v>21809.742327636988</v>
      </c>
      <c r="D737" s="392">
        <v>6.2146099778244386</v>
      </c>
      <c r="E737" s="294">
        <v>22044.617788215641</v>
      </c>
      <c r="F737" s="272">
        <v>6.271834852486295</v>
      </c>
      <c r="G737" s="272">
        <v>234.87546057865256</v>
      </c>
      <c r="H737" s="277">
        <v>5.722487466185644E-2</v>
      </c>
      <c r="J737" s="294">
        <f t="shared" si="33"/>
        <v>164628.55700709618</v>
      </c>
      <c r="K737" s="294">
        <f t="shared" si="34"/>
        <v>166110.42778637321</v>
      </c>
      <c r="L737" s="281">
        <f t="shared" si="35"/>
        <v>1</v>
      </c>
    </row>
    <row r="738" spans="2:12" x14ac:dyDescent="0.15">
      <c r="B738" s="281">
        <v>731</v>
      </c>
      <c r="C738" s="294">
        <v>21827.729541107481</v>
      </c>
      <c r="D738" s="392">
        <v>6.2043628117452769</v>
      </c>
      <c r="E738" s="294">
        <v>21908.717218757753</v>
      </c>
      <c r="F738" s="272">
        <v>6.2226114372450052</v>
      </c>
      <c r="G738" s="272">
        <v>80.987677650271507</v>
      </c>
      <c r="H738" s="277">
        <v>1.8248625499728277E-2</v>
      </c>
      <c r="J738" s="294">
        <f t="shared" si="33"/>
        <v>164303.15481125083</v>
      </c>
      <c r="K738" s="294">
        <f t="shared" si="34"/>
        <v>164769.62589859241</v>
      </c>
      <c r="L738" s="281">
        <f t="shared" si="35"/>
        <v>1</v>
      </c>
    </row>
    <row r="739" spans="2:12" x14ac:dyDescent="0.15">
      <c r="B739" s="281">
        <v>732</v>
      </c>
      <c r="C739" s="294">
        <v>21777.095212335425</v>
      </c>
      <c r="D739" s="392">
        <v>6.2932813521244642</v>
      </c>
      <c r="E739" s="294">
        <v>21890.517699337506</v>
      </c>
      <c r="F739" s="272">
        <v>6.3089581845762197</v>
      </c>
      <c r="G739" s="272">
        <v>113.42248700208074</v>
      </c>
      <c r="H739" s="277">
        <v>1.5676832451755551E-2</v>
      </c>
      <c r="J739" s="294">
        <f t="shared" si="33"/>
        <v>167021.34535139849</v>
      </c>
      <c r="K739" s="294">
        <f t="shared" si="34"/>
        <v>167378.22783794909</v>
      </c>
      <c r="L739" s="281">
        <f t="shared" si="35"/>
        <v>1</v>
      </c>
    </row>
    <row r="740" spans="2:12" x14ac:dyDescent="0.15">
      <c r="B740" s="281">
        <v>733</v>
      </c>
      <c r="C740" s="294">
        <v>21348.077873209801</v>
      </c>
      <c r="D740" s="392">
        <v>6.2222193734749025</v>
      </c>
      <c r="E740" s="294">
        <v>21674.363734561535</v>
      </c>
      <c r="F740" s="272">
        <v>6.2663295687481693</v>
      </c>
      <c r="G740" s="272">
        <v>326.28586135173464</v>
      </c>
      <c r="H740" s="277">
        <v>4.4110195273266761E-2</v>
      </c>
      <c r="J740" s="294">
        <f t="shared" si="33"/>
        <v>165318.50333103727</v>
      </c>
      <c r="K740" s="294">
        <f t="shared" si="34"/>
        <v>166315.52332788354</v>
      </c>
      <c r="L740" s="281">
        <f t="shared" si="35"/>
        <v>1</v>
      </c>
    </row>
    <row r="741" spans="2:12" x14ac:dyDescent="0.15">
      <c r="B741" s="281">
        <v>734</v>
      </c>
      <c r="C741" s="294">
        <v>22110.353554696412</v>
      </c>
      <c r="D741" s="392">
        <v>6.3050299854762129</v>
      </c>
      <c r="E741" s="294">
        <v>22328.201861026289</v>
      </c>
      <c r="F741" s="272">
        <v>6.3471899958119158</v>
      </c>
      <c r="G741" s="272">
        <v>217.84830632987723</v>
      </c>
      <c r="H741" s="277">
        <v>4.2160010335702935E-2</v>
      </c>
      <c r="J741" s="294">
        <f t="shared" si="33"/>
        <v>167040.54600958998</v>
      </c>
      <c r="K741" s="294">
        <f t="shared" si="34"/>
        <v>168087.49801333118</v>
      </c>
      <c r="L741" s="281">
        <f t="shared" si="35"/>
        <v>1</v>
      </c>
    </row>
    <row r="742" spans="2:12" x14ac:dyDescent="0.15">
      <c r="B742" s="281">
        <v>735</v>
      </c>
      <c r="C742" s="294">
        <v>21868.950940895364</v>
      </c>
      <c r="D742" s="392">
        <v>6.2223137962438342</v>
      </c>
      <c r="E742" s="294">
        <v>22080.608919177939</v>
      </c>
      <c r="F742" s="272">
        <v>6.2626525684058487</v>
      </c>
      <c r="G742" s="272">
        <v>211.65797828257564</v>
      </c>
      <c r="H742" s="277">
        <v>4.0338772162014536E-2</v>
      </c>
      <c r="J742" s="294">
        <f t="shared" si="33"/>
        <v>164800.46294641966</v>
      </c>
      <c r="K742" s="294">
        <f t="shared" si="34"/>
        <v>165798.96813299754</v>
      </c>
      <c r="L742" s="281">
        <f t="shared" si="35"/>
        <v>1</v>
      </c>
    </row>
    <row r="743" spans="2:12" x14ac:dyDescent="0.15">
      <c r="B743" s="281">
        <v>736</v>
      </c>
      <c r="C743" s="294">
        <v>20898.996700905627</v>
      </c>
      <c r="D743" s="392">
        <v>6.2939102682102339</v>
      </c>
      <c r="E743" s="294">
        <v>21143.413504620414</v>
      </c>
      <c r="F743" s="272">
        <v>6.3317371121188044</v>
      </c>
      <c r="G743" s="272">
        <v>244.41680371478651</v>
      </c>
      <c r="H743" s="277">
        <v>3.7826843908570496E-2</v>
      </c>
      <c r="J743" s="294">
        <f t="shared" si="33"/>
        <v>167918.31134540139</v>
      </c>
      <c r="K743" s="294">
        <f t="shared" si="34"/>
        <v>168808.69985894373</v>
      </c>
      <c r="L743" s="281">
        <f t="shared" si="35"/>
        <v>1</v>
      </c>
    </row>
    <row r="744" spans="2:12" x14ac:dyDescent="0.15">
      <c r="B744" s="281">
        <v>737</v>
      </c>
      <c r="C744" s="294">
        <v>22527.880104019936</v>
      </c>
      <c r="D744" s="392">
        <v>6.3647039055194385</v>
      </c>
      <c r="E744" s="294">
        <v>22531.042669505121</v>
      </c>
      <c r="F744" s="272">
        <v>6.3475783468131919</v>
      </c>
      <c r="G744" s="272">
        <v>3.1625654851850413</v>
      </c>
      <c r="H744" s="277">
        <v>-1.7125558706246657E-2</v>
      </c>
      <c r="J744" s="294">
        <f t="shared" si="33"/>
        <v>168413.23706156321</v>
      </c>
      <c r="K744" s="294">
        <f t="shared" si="34"/>
        <v>167896.30773489064</v>
      </c>
      <c r="L744" s="281">
        <f t="shared" si="35"/>
        <v>0</v>
      </c>
    </row>
    <row r="745" spans="2:12" x14ac:dyDescent="0.15">
      <c r="B745" s="281">
        <v>738</v>
      </c>
      <c r="C745" s="294">
        <v>21865.718919746581</v>
      </c>
      <c r="D745" s="392">
        <v>6.2788158537033301</v>
      </c>
      <c r="E745" s="294">
        <v>22188.729914449177</v>
      </c>
      <c r="F745" s="272">
        <v>6.3495853262761051</v>
      </c>
      <c r="G745" s="272">
        <v>323.01099470259578</v>
      </c>
      <c r="H745" s="277">
        <v>7.0769472572774994E-2</v>
      </c>
      <c r="J745" s="294">
        <f t="shared" si="33"/>
        <v>166498.75669135334</v>
      </c>
      <c r="K745" s="294">
        <f t="shared" si="34"/>
        <v>168298.82987383398</v>
      </c>
      <c r="L745" s="281">
        <f t="shared" si="35"/>
        <v>1</v>
      </c>
    </row>
    <row r="746" spans="2:12" x14ac:dyDescent="0.15">
      <c r="B746" s="281">
        <v>739</v>
      </c>
      <c r="C746" s="294">
        <v>21293.502267576834</v>
      </c>
      <c r="D746" s="392">
        <v>6.3319777588869774</v>
      </c>
      <c r="E746" s="294">
        <v>21557.973328553901</v>
      </c>
      <c r="F746" s="272">
        <v>6.3939126300116005</v>
      </c>
      <c r="G746" s="272">
        <v>264.47106097706637</v>
      </c>
      <c r="H746" s="277">
        <v>6.1934871124623037E-2</v>
      </c>
      <c r="J746" s="294">
        <f t="shared" si="33"/>
        <v>168665.83049903248</v>
      </c>
      <c r="K746" s="294">
        <f t="shared" si="34"/>
        <v>170259.40557179411</v>
      </c>
      <c r="L746" s="281">
        <f t="shared" si="35"/>
        <v>1</v>
      </c>
    </row>
    <row r="747" spans="2:12" x14ac:dyDescent="0.15">
      <c r="B747" s="281">
        <v>740</v>
      </c>
      <c r="C747" s="294">
        <v>22768.194552653407</v>
      </c>
      <c r="D747" s="392">
        <v>6.1551537423459246</v>
      </c>
      <c r="E747" s="294">
        <v>22889.22943731799</v>
      </c>
      <c r="F747" s="272">
        <v>6.1629983430826361</v>
      </c>
      <c r="G747" s="272">
        <v>121.03488466458293</v>
      </c>
      <c r="H747" s="277">
        <v>7.844600736711449E-3</v>
      </c>
      <c r="J747" s="294">
        <f t="shared" si="33"/>
        <v>161886.41771772434</v>
      </c>
      <c r="K747" s="294">
        <f t="shared" si="34"/>
        <v>162000.72085516108</v>
      </c>
      <c r="L747" s="281">
        <f t="shared" si="35"/>
        <v>1</v>
      </c>
    </row>
    <row r="748" spans="2:12" x14ac:dyDescent="0.15">
      <c r="B748" s="281">
        <v>741</v>
      </c>
      <c r="C748" s="294">
        <v>20653.558004929459</v>
      </c>
      <c r="D748" s="392">
        <v>6.2241447537546284</v>
      </c>
      <c r="E748" s="294">
        <v>20834.95257985466</v>
      </c>
      <c r="F748" s="272">
        <v>6.2794170261190647</v>
      </c>
      <c r="G748" s="272">
        <v>181.3945749252016</v>
      </c>
      <c r="H748" s="277">
        <v>5.5272272364436326E-2</v>
      </c>
      <c r="J748" s="294">
        <f t="shared" si="33"/>
        <v>166070.78460770941</v>
      </c>
      <c r="K748" s="294">
        <f t="shared" si="34"/>
        <v>167547.55820371729</v>
      </c>
      <c r="L748" s="281">
        <f t="shared" si="35"/>
        <v>1</v>
      </c>
    </row>
    <row r="749" spans="2:12" x14ac:dyDescent="0.15">
      <c r="B749" s="281">
        <v>742</v>
      </c>
      <c r="C749" s="294">
        <v>22079.32566590753</v>
      </c>
      <c r="D749" s="392">
        <v>6.2231144252009134</v>
      </c>
      <c r="E749" s="294">
        <v>22221.426516049491</v>
      </c>
      <c r="F749" s="272">
        <v>6.2502701252735156</v>
      </c>
      <c r="G749" s="272">
        <v>142.10085014196011</v>
      </c>
      <c r="H749" s="277">
        <v>2.7155700072602151E-2</v>
      </c>
      <c r="J749" s="294">
        <f t="shared" si="33"/>
        <v>164614.10709011988</v>
      </c>
      <c r="K749" s="294">
        <f t="shared" si="34"/>
        <v>165286.67724215597</v>
      </c>
      <c r="L749" s="281">
        <f t="shared" si="35"/>
        <v>1</v>
      </c>
    </row>
    <row r="750" spans="2:12" x14ac:dyDescent="0.15">
      <c r="B750" s="281">
        <v>743</v>
      </c>
      <c r="C750" s="294">
        <v>20218.25048390976</v>
      </c>
      <c r="D750" s="392">
        <v>6.2758725396618171</v>
      </c>
      <c r="E750" s="294">
        <v>20421.687293341234</v>
      </c>
      <c r="F750" s="272">
        <v>6.3383962368335887</v>
      </c>
      <c r="G750" s="272">
        <v>203.4368094314741</v>
      </c>
      <c r="H750" s="277">
        <v>6.2523697171771531E-2</v>
      </c>
      <c r="J750" s="294">
        <f t="shared" si="33"/>
        <v>168057.92570594474</v>
      </c>
      <c r="K750" s="294">
        <f t="shared" si="34"/>
        <v>169730.19981166642</v>
      </c>
      <c r="L750" s="281">
        <f t="shared" si="35"/>
        <v>1</v>
      </c>
    </row>
    <row r="751" spans="2:12" x14ac:dyDescent="0.15">
      <c r="B751" s="281">
        <v>744</v>
      </c>
      <c r="C751" s="294">
        <v>21716.85856580887</v>
      </c>
      <c r="D751" s="392">
        <v>6.3067960347606986</v>
      </c>
      <c r="E751" s="294">
        <v>21742.765923912892</v>
      </c>
      <c r="F751" s="272">
        <v>6.3195819788127086</v>
      </c>
      <c r="G751" s="272">
        <v>25.907358104021114</v>
      </c>
      <c r="H751" s="277">
        <v>1.2785944052009945E-2</v>
      </c>
      <c r="J751" s="294">
        <f t="shared" si="33"/>
        <v>167487.02247701207</v>
      </c>
      <c r="K751" s="294">
        <f t="shared" si="34"/>
        <v>167844.69344046837</v>
      </c>
      <c r="L751" s="281">
        <f t="shared" si="35"/>
        <v>1</v>
      </c>
    </row>
    <row r="752" spans="2:12" x14ac:dyDescent="0.15">
      <c r="B752" s="281">
        <v>745</v>
      </c>
      <c r="C752" s="294">
        <v>22463.69346781668</v>
      </c>
      <c r="D752" s="392">
        <v>6.2304838067339956</v>
      </c>
      <c r="E752" s="294">
        <v>22550.965352099531</v>
      </c>
      <c r="F752" s="272">
        <v>6.2442613269282985</v>
      </c>
      <c r="G752" s="272">
        <v>87.271884282850806</v>
      </c>
      <c r="H752" s="277">
        <v>1.3777520194302895E-2</v>
      </c>
      <c r="J752" s="294">
        <f t="shared" si="33"/>
        <v>164450.82073420318</v>
      </c>
      <c r="K752" s="294">
        <f t="shared" si="34"/>
        <v>164776.87445574941</v>
      </c>
      <c r="L752" s="281">
        <f t="shared" si="35"/>
        <v>1</v>
      </c>
    </row>
    <row r="753" spans="2:12" x14ac:dyDescent="0.15">
      <c r="B753" s="281">
        <v>746</v>
      </c>
      <c r="C753" s="294">
        <v>22280.163819194244</v>
      </c>
      <c r="D753" s="392">
        <v>6.2697353594306353</v>
      </c>
      <c r="E753" s="294">
        <v>22439.330774234561</v>
      </c>
      <c r="F753" s="272">
        <v>6.3070894184767283</v>
      </c>
      <c r="G753" s="272">
        <v>159.16695504031668</v>
      </c>
      <c r="H753" s="277">
        <v>3.7354059046093013E-2</v>
      </c>
      <c r="J753" s="294">
        <f t="shared" si="33"/>
        <v>165811.89696372481</v>
      </c>
      <c r="K753" s="294">
        <f t="shared" si="34"/>
        <v>166773.35178006731</v>
      </c>
      <c r="L753" s="281">
        <f t="shared" si="35"/>
        <v>1</v>
      </c>
    </row>
    <row r="754" spans="2:12" x14ac:dyDescent="0.15">
      <c r="B754" s="281">
        <v>747</v>
      </c>
      <c r="C754" s="294">
        <v>20121.549122321827</v>
      </c>
      <c r="D754" s="392">
        <v>6.3276444729083954</v>
      </c>
      <c r="E754" s="294">
        <v>20349.102755720414</v>
      </c>
      <c r="F754" s="272">
        <v>6.3377644893466956</v>
      </c>
      <c r="G754" s="272">
        <v>227.55363339858741</v>
      </c>
      <c r="H754" s="277">
        <v>1.0120016438300183E-2</v>
      </c>
      <c r="J754" s="294">
        <f t="shared" si="33"/>
        <v>169707.78506493004</v>
      </c>
      <c r="K754" s="294">
        <f t="shared" si="34"/>
        <v>169783.83192468045</v>
      </c>
      <c r="L754" s="281">
        <f t="shared" si="35"/>
        <v>1</v>
      </c>
    </row>
    <row r="755" spans="2:12" x14ac:dyDescent="0.15">
      <c r="B755" s="281">
        <v>748</v>
      </c>
      <c r="C755" s="294">
        <v>21600.291953061631</v>
      </c>
      <c r="D755" s="392">
        <v>6.3443910083028943</v>
      </c>
      <c r="E755" s="294">
        <v>21889.142522994654</v>
      </c>
      <c r="F755" s="272">
        <v>6.401388810407644</v>
      </c>
      <c r="G755" s="272">
        <v>288.85056993302351</v>
      </c>
      <c r="H755" s="277">
        <v>5.6997802104749695E-2</v>
      </c>
      <c r="J755" s="294">
        <f t="shared" si="33"/>
        <v>168731.43829602521</v>
      </c>
      <c r="K755" s="294">
        <f t="shared" si="34"/>
        <v>170152.52178923466</v>
      </c>
      <c r="L755" s="281">
        <f t="shared" si="35"/>
        <v>1</v>
      </c>
    </row>
    <row r="756" spans="2:12" x14ac:dyDescent="0.15">
      <c r="B756" s="281">
        <v>749</v>
      </c>
      <c r="C756" s="294">
        <v>20587.383542000989</v>
      </c>
      <c r="D756" s="392">
        <v>6.3430541292383156</v>
      </c>
      <c r="E756" s="294">
        <v>20946.054334801302</v>
      </c>
      <c r="F756" s="272">
        <v>6.3887996868360064</v>
      </c>
      <c r="G756" s="272">
        <v>358.67079280031248</v>
      </c>
      <c r="H756" s="277">
        <v>4.5745557597690834E-2</v>
      </c>
      <c r="J756" s="294">
        <f t="shared" si="33"/>
        <v>169704.24033514847</v>
      </c>
      <c r="K756" s="294">
        <f t="shared" si="34"/>
        <v>170717.93627027888</v>
      </c>
      <c r="L756" s="281">
        <f t="shared" si="35"/>
        <v>1</v>
      </c>
    </row>
    <row r="757" spans="2:12" x14ac:dyDescent="0.15">
      <c r="B757" s="281">
        <v>750</v>
      </c>
      <c r="C757" s="294">
        <v>22453.609928687198</v>
      </c>
      <c r="D757" s="392">
        <v>6.1625682114855671</v>
      </c>
      <c r="E757" s="294">
        <v>22757.456174859446</v>
      </c>
      <c r="F757" s="272">
        <v>6.1796630185942432</v>
      </c>
      <c r="G757" s="272">
        <v>303.84624617224836</v>
      </c>
      <c r="H757" s="277">
        <v>1.7094807108676058E-2</v>
      </c>
      <c r="J757" s="294">
        <f t="shared" si="33"/>
        <v>162423.43641587981</v>
      </c>
      <c r="K757" s="294">
        <f t="shared" si="34"/>
        <v>162632.43438296783</v>
      </c>
      <c r="L757" s="281">
        <f t="shared" si="35"/>
        <v>1</v>
      </c>
    </row>
    <row r="758" spans="2:12" x14ac:dyDescent="0.15">
      <c r="B758" s="281">
        <v>751</v>
      </c>
      <c r="C758" s="294">
        <v>21091.746053445986</v>
      </c>
      <c r="D758" s="392">
        <v>6.2469065760630302</v>
      </c>
      <c r="E758" s="294">
        <v>21253.723698156788</v>
      </c>
      <c r="F758" s="272">
        <v>6.2613545735404212</v>
      </c>
      <c r="G758" s="272">
        <v>161.97764471080154</v>
      </c>
      <c r="H758" s="277">
        <v>1.4447997477391006E-2</v>
      </c>
      <c r="J758" s="294">
        <f t="shared" si="33"/>
        <v>166315.4512284449</v>
      </c>
      <c r="K758" s="294">
        <f t="shared" si="34"/>
        <v>166586.91350805585</v>
      </c>
      <c r="L758" s="281">
        <f t="shared" si="35"/>
        <v>1</v>
      </c>
    </row>
    <row r="759" spans="2:12" x14ac:dyDescent="0.15">
      <c r="B759" s="281">
        <v>752</v>
      </c>
      <c r="C759" s="294">
        <v>21144.562774190668</v>
      </c>
      <c r="D759" s="392">
        <v>6.2883984703282767</v>
      </c>
      <c r="E759" s="294">
        <v>21312.812631021199</v>
      </c>
      <c r="F759" s="272">
        <v>6.2902735989620364</v>
      </c>
      <c r="G759" s="272">
        <v>168.24985683053092</v>
      </c>
      <c r="H759" s="277">
        <v>1.8751286337597151E-3</v>
      </c>
      <c r="J759" s="294">
        <f t="shared" si="33"/>
        <v>167507.39133565762</v>
      </c>
      <c r="K759" s="294">
        <f t="shared" si="34"/>
        <v>167395.3953378399</v>
      </c>
      <c r="L759" s="281">
        <f t="shared" si="35"/>
        <v>0</v>
      </c>
    </row>
    <row r="760" spans="2:12" x14ac:dyDescent="0.15">
      <c r="B760" s="281">
        <v>753</v>
      </c>
      <c r="C760" s="294">
        <v>20801.581732543265</v>
      </c>
      <c r="D760" s="392">
        <v>6.2900632535382606</v>
      </c>
      <c r="E760" s="294">
        <v>21117.664008635376</v>
      </c>
      <c r="F760" s="272">
        <v>6.3400425573739163</v>
      </c>
      <c r="G760" s="272">
        <v>316.08227609211099</v>
      </c>
      <c r="H760" s="277">
        <v>4.9979303835655742E-2</v>
      </c>
      <c r="J760" s="294">
        <f t="shared" si="33"/>
        <v>167900.31587360456</v>
      </c>
      <c r="K760" s="294">
        <f t="shared" si="34"/>
        <v>169083.61271258211</v>
      </c>
      <c r="L760" s="281">
        <f t="shared" si="35"/>
        <v>1</v>
      </c>
    </row>
    <row r="761" spans="2:12" x14ac:dyDescent="0.15">
      <c r="B761" s="281">
        <v>754</v>
      </c>
      <c r="C761" s="294">
        <v>21755.748384903753</v>
      </c>
      <c r="D761" s="392">
        <v>6.3017136563003637</v>
      </c>
      <c r="E761" s="294">
        <v>22113.031565051657</v>
      </c>
      <c r="F761" s="272">
        <v>6.3723834062336966</v>
      </c>
      <c r="G761" s="272">
        <v>357.2831801479042</v>
      </c>
      <c r="H761" s="277">
        <v>7.0669749933332859E-2</v>
      </c>
      <c r="J761" s="294">
        <f t="shared" si="33"/>
        <v>167295.66130410717</v>
      </c>
      <c r="K761" s="294">
        <f t="shared" si="34"/>
        <v>169058.47062195925</v>
      </c>
      <c r="L761" s="281">
        <f t="shared" si="35"/>
        <v>1</v>
      </c>
    </row>
    <row r="762" spans="2:12" x14ac:dyDescent="0.15">
      <c r="B762" s="281">
        <v>755</v>
      </c>
      <c r="C762" s="294">
        <v>22826.164335884467</v>
      </c>
      <c r="D762" s="392">
        <v>6.3021998712653238</v>
      </c>
      <c r="E762" s="294">
        <v>22917.187578358466</v>
      </c>
      <c r="F762" s="272">
        <v>6.3036690500092423</v>
      </c>
      <c r="G762" s="272">
        <v>91.023242473998835</v>
      </c>
      <c r="H762" s="277">
        <v>1.4691787439184978E-3</v>
      </c>
      <c r="J762" s="294">
        <f t="shared" si="33"/>
        <v>166239.83180207523</v>
      </c>
      <c r="K762" s="294">
        <f t="shared" si="34"/>
        <v>166192.88392191881</v>
      </c>
      <c r="L762" s="281">
        <f t="shared" si="35"/>
        <v>0</v>
      </c>
    </row>
    <row r="763" spans="2:12" x14ac:dyDescent="0.15">
      <c r="B763" s="281">
        <v>756</v>
      </c>
      <c r="C763" s="294">
        <v>21129.765892865085</v>
      </c>
      <c r="D763" s="392">
        <v>6.331103560167203</v>
      </c>
      <c r="E763" s="294">
        <v>21481.744340522277</v>
      </c>
      <c r="F763" s="272">
        <v>6.3782436635520554</v>
      </c>
      <c r="G763" s="272">
        <v>351.97844765719128</v>
      </c>
      <c r="H763" s="277">
        <v>4.7140103384852416E-2</v>
      </c>
      <c r="J763" s="294">
        <f t="shared" si="33"/>
        <v>168803.340912151</v>
      </c>
      <c r="K763" s="294">
        <f t="shared" si="34"/>
        <v>169865.56556603938</v>
      </c>
      <c r="L763" s="281">
        <f t="shared" si="35"/>
        <v>1</v>
      </c>
    </row>
    <row r="764" spans="2:12" x14ac:dyDescent="0.15">
      <c r="B764" s="281">
        <v>757</v>
      </c>
      <c r="C764" s="294">
        <v>20390.960645440518</v>
      </c>
      <c r="D764" s="392">
        <v>6.2993799123951737</v>
      </c>
      <c r="E764" s="294">
        <v>20601.7141174067</v>
      </c>
      <c r="F764" s="272">
        <v>6.3647039198437145</v>
      </c>
      <c r="G764" s="272">
        <v>210.75347196618168</v>
      </c>
      <c r="H764" s="277">
        <v>6.5324007448540833E-2</v>
      </c>
      <c r="J764" s="294">
        <f t="shared" si="33"/>
        <v>168590.43672641469</v>
      </c>
      <c r="K764" s="294">
        <f t="shared" si="34"/>
        <v>170339.40347790474</v>
      </c>
      <c r="L764" s="281">
        <f t="shared" si="35"/>
        <v>1</v>
      </c>
    </row>
    <row r="765" spans="2:12" x14ac:dyDescent="0.15">
      <c r="B765" s="281">
        <v>758</v>
      </c>
      <c r="C765" s="294">
        <v>20892.200865744915</v>
      </c>
      <c r="D765" s="392">
        <v>6.2863379137168698</v>
      </c>
      <c r="E765" s="294">
        <v>21219.278541985594</v>
      </c>
      <c r="F765" s="272">
        <v>6.3119595029561379</v>
      </c>
      <c r="G765" s="272">
        <v>327.07767624067856</v>
      </c>
      <c r="H765" s="277">
        <v>2.5621589239268161E-2</v>
      </c>
      <c r="J765" s="294">
        <f t="shared" si="33"/>
        <v>167697.93654576119</v>
      </c>
      <c r="K765" s="294">
        <f t="shared" si="34"/>
        <v>168139.50654669857</v>
      </c>
      <c r="L765" s="281">
        <f t="shared" si="35"/>
        <v>1</v>
      </c>
    </row>
    <row r="766" spans="2:12" x14ac:dyDescent="0.15">
      <c r="B766" s="281">
        <v>759</v>
      </c>
      <c r="C766" s="294">
        <v>22325.485747214265</v>
      </c>
      <c r="D766" s="392">
        <v>6.1846212377108545</v>
      </c>
      <c r="E766" s="294">
        <v>22612.756288856221</v>
      </c>
      <c r="F766" s="272">
        <v>6.219961493053531</v>
      </c>
      <c r="G766" s="272">
        <v>287.27054164195579</v>
      </c>
      <c r="H766" s="277">
        <v>3.5340255342676485E-2</v>
      </c>
      <c r="J766" s="294">
        <f t="shared" si="33"/>
        <v>163213.15138411138</v>
      </c>
      <c r="K766" s="294">
        <f t="shared" si="34"/>
        <v>163986.08850274971</v>
      </c>
      <c r="L766" s="281">
        <f t="shared" si="35"/>
        <v>1</v>
      </c>
    </row>
    <row r="767" spans="2:12" x14ac:dyDescent="0.15">
      <c r="B767" s="281">
        <v>760</v>
      </c>
      <c r="C767" s="294">
        <v>21971.246177145211</v>
      </c>
      <c r="D767" s="392">
        <v>6.3157610009860017</v>
      </c>
      <c r="E767" s="294">
        <v>22234.050182660692</v>
      </c>
      <c r="F767" s="272">
        <v>6.3378752644468914</v>
      </c>
      <c r="G767" s="272">
        <v>262.80400551548155</v>
      </c>
      <c r="H767" s="277">
        <v>2.2114263460889738E-2</v>
      </c>
      <c r="J767" s="294">
        <f t="shared" si="33"/>
        <v>167501.58385243482</v>
      </c>
      <c r="K767" s="294">
        <f t="shared" si="34"/>
        <v>167902.20775074605</v>
      </c>
      <c r="L767" s="281">
        <f t="shared" si="35"/>
        <v>1</v>
      </c>
    </row>
    <row r="768" spans="2:12" x14ac:dyDescent="0.15">
      <c r="B768" s="281">
        <v>761</v>
      </c>
      <c r="C768" s="294">
        <v>21030.908548410986</v>
      </c>
      <c r="D768" s="392">
        <v>6.2938511944504301</v>
      </c>
      <c r="E768" s="294">
        <v>21330.873934536397</v>
      </c>
      <c r="F768" s="272">
        <v>6.3107739907207936</v>
      </c>
      <c r="G768" s="272">
        <v>299.9653861254119</v>
      </c>
      <c r="H768" s="277">
        <v>1.6922796270363527E-2</v>
      </c>
      <c r="J768" s="294">
        <f t="shared" si="33"/>
        <v>167784.62728510192</v>
      </c>
      <c r="K768" s="294">
        <f t="shared" si="34"/>
        <v>167992.34578708743</v>
      </c>
      <c r="L768" s="281">
        <f t="shared" si="35"/>
        <v>1</v>
      </c>
    </row>
    <row r="769" spans="2:12" x14ac:dyDescent="0.15">
      <c r="B769" s="281">
        <v>762</v>
      </c>
      <c r="C769" s="294">
        <v>21595.226593770305</v>
      </c>
      <c r="D769" s="392">
        <v>6.3233376729110375</v>
      </c>
      <c r="E769" s="294">
        <v>21861.685804183377</v>
      </c>
      <c r="F769" s="272">
        <v>6.3502702207016828</v>
      </c>
      <c r="G769" s="272">
        <v>266.45921041307156</v>
      </c>
      <c r="H769" s="277">
        <v>2.6932547790645245E-2</v>
      </c>
      <c r="J769" s="294">
        <f t="shared" si="33"/>
        <v>168104.9035935608</v>
      </c>
      <c r="K769" s="294">
        <f t="shared" si="34"/>
        <v>168646.42081686709</v>
      </c>
      <c r="L769" s="281">
        <f t="shared" si="35"/>
        <v>1</v>
      </c>
    </row>
    <row r="770" spans="2:12" x14ac:dyDescent="0.15">
      <c r="B770" s="281">
        <v>763</v>
      </c>
      <c r="C770" s="294">
        <v>21866.362074664969</v>
      </c>
      <c r="D770" s="392">
        <v>6.1582015141116209</v>
      </c>
      <c r="E770" s="294">
        <v>22051.441645301271</v>
      </c>
      <c r="F770" s="272">
        <v>6.1997682893445401</v>
      </c>
      <c r="G770" s="272">
        <v>185.07957063630238</v>
      </c>
      <c r="H770" s="277">
        <v>4.1566775232919184E-2</v>
      </c>
      <c r="J770" s="294">
        <f t="shared" si="33"/>
        <v>162879.68334868367</v>
      </c>
      <c r="K770" s="294">
        <f t="shared" si="34"/>
        <v>163941.60703503495</v>
      </c>
      <c r="L770" s="281">
        <f t="shared" si="35"/>
        <v>1</v>
      </c>
    </row>
    <row r="771" spans="2:12" x14ac:dyDescent="0.15">
      <c r="B771" s="281">
        <v>764</v>
      </c>
      <c r="C771" s="294">
        <v>21773.06070437911</v>
      </c>
      <c r="D771" s="392">
        <v>6.2565207188539347</v>
      </c>
      <c r="E771" s="294">
        <v>21963.548562015665</v>
      </c>
      <c r="F771" s="272">
        <v>6.2737163298369332</v>
      </c>
      <c r="G771" s="272">
        <v>190.48785763655542</v>
      </c>
      <c r="H771" s="277">
        <v>1.7195610982998488E-2</v>
      </c>
      <c r="J771" s="294">
        <f t="shared" si="33"/>
        <v>165922.56086123892</v>
      </c>
      <c r="K771" s="294">
        <f t="shared" si="34"/>
        <v>166247.94133309231</v>
      </c>
      <c r="L771" s="281">
        <f t="shared" si="35"/>
        <v>1</v>
      </c>
    </row>
    <row r="772" spans="2:12" x14ac:dyDescent="0.15">
      <c r="B772" s="281">
        <v>765</v>
      </c>
      <c r="C772" s="294">
        <v>22368.686560784921</v>
      </c>
      <c r="D772" s="392">
        <v>6.2784294546808521</v>
      </c>
      <c r="E772" s="294">
        <v>22564.819961256067</v>
      </c>
      <c r="F772" s="272">
        <v>6.3019955201568232</v>
      </c>
      <c r="G772" s="272">
        <v>196.13340047114616</v>
      </c>
      <c r="H772" s="277">
        <v>2.3566065475971065E-2</v>
      </c>
      <c r="J772" s="294">
        <f t="shared" si="33"/>
        <v>165984.19707964064</v>
      </c>
      <c r="K772" s="294">
        <f t="shared" si="34"/>
        <v>166495.04564344863</v>
      </c>
      <c r="L772" s="281">
        <f t="shared" si="35"/>
        <v>1</v>
      </c>
    </row>
    <row r="773" spans="2:12" x14ac:dyDescent="0.15">
      <c r="B773" s="281">
        <v>766</v>
      </c>
      <c r="C773" s="294">
        <v>21353.83516961593</v>
      </c>
      <c r="D773" s="392">
        <v>6.2637194089810215</v>
      </c>
      <c r="E773" s="294">
        <v>21576.882787456518</v>
      </c>
      <c r="F773" s="272">
        <v>6.3001133692960343</v>
      </c>
      <c r="G773" s="272">
        <v>223.04761784058792</v>
      </c>
      <c r="H773" s="277">
        <v>3.6393960315012741E-2</v>
      </c>
      <c r="J773" s="294">
        <f t="shared" si="33"/>
        <v>166557.74709981473</v>
      </c>
      <c r="K773" s="294">
        <f t="shared" si="34"/>
        <v>167426.51829142449</v>
      </c>
      <c r="L773" s="281">
        <f t="shared" si="35"/>
        <v>1</v>
      </c>
    </row>
    <row r="774" spans="2:12" x14ac:dyDescent="0.15">
      <c r="B774" s="281">
        <v>767</v>
      </c>
      <c r="C774" s="294">
        <v>21819.26248507433</v>
      </c>
      <c r="D774" s="392">
        <v>6.2567228887488717</v>
      </c>
      <c r="E774" s="294">
        <v>22111.355161600739</v>
      </c>
      <c r="F774" s="272">
        <v>6.3171195496677068</v>
      </c>
      <c r="G774" s="272">
        <v>292.09267652640847</v>
      </c>
      <c r="H774" s="277">
        <v>6.039666091883511E-2</v>
      </c>
      <c r="J774" s="294">
        <f t="shared" si="33"/>
        <v>165882.4241773918</v>
      </c>
      <c r="K774" s="294">
        <f t="shared" si="34"/>
        <v>167402.23132843047</v>
      </c>
      <c r="L774" s="281">
        <f t="shared" si="35"/>
        <v>1</v>
      </c>
    </row>
    <row r="775" spans="2:12" x14ac:dyDescent="0.15">
      <c r="B775" s="281">
        <v>768</v>
      </c>
      <c r="C775" s="294">
        <v>21274.413027811421</v>
      </c>
      <c r="D775" s="392">
        <v>6.3753277423065073</v>
      </c>
      <c r="E775" s="294">
        <v>21563.190897661349</v>
      </c>
      <c r="F775" s="272">
        <v>6.4312799492696229</v>
      </c>
      <c r="G775" s="272">
        <v>288.77786984992781</v>
      </c>
      <c r="H775" s="277">
        <v>5.5952206963115536E-2</v>
      </c>
      <c r="J775" s="294">
        <f t="shared" si="33"/>
        <v>169985.41924138382</v>
      </c>
      <c r="K775" s="294">
        <f t="shared" si="34"/>
        <v>171375.20758042735</v>
      </c>
      <c r="L775" s="281">
        <f t="shared" si="35"/>
        <v>1</v>
      </c>
    </row>
    <row r="776" spans="2:12" x14ac:dyDescent="0.15">
      <c r="B776" s="281">
        <v>769</v>
      </c>
      <c r="C776" s="294">
        <v>21082.748657777352</v>
      </c>
      <c r="D776" s="392">
        <v>6.2831721750235161</v>
      </c>
      <c r="E776" s="294">
        <v>21370.077985397533</v>
      </c>
      <c r="F776" s="272">
        <v>6.308492115467323</v>
      </c>
      <c r="G776" s="272">
        <v>287.32932762018027</v>
      </c>
      <c r="H776" s="277">
        <v>2.5319940443806921E-2</v>
      </c>
      <c r="J776" s="294">
        <f t="shared" ref="J776:J839" si="36">(D776*wtp)-C776</f>
        <v>167412.41659292814</v>
      </c>
      <c r="K776" s="294">
        <f t="shared" ref="K776:K839" si="37">(F776*wtp)-E776</f>
        <v>167884.68547862215</v>
      </c>
      <c r="L776" s="281">
        <f t="shared" si="35"/>
        <v>1</v>
      </c>
    </row>
    <row r="777" spans="2:12" x14ac:dyDescent="0.15">
      <c r="B777" s="281">
        <v>770</v>
      </c>
      <c r="C777" s="294">
        <v>20542.256609345939</v>
      </c>
      <c r="D777" s="392">
        <v>6.2084959849747143</v>
      </c>
      <c r="E777" s="294">
        <v>20693.448451486751</v>
      </c>
      <c r="F777" s="272">
        <v>6.2196204085596678</v>
      </c>
      <c r="G777" s="272">
        <v>151.19184214081179</v>
      </c>
      <c r="H777" s="277">
        <v>1.1124423584953469E-2</v>
      </c>
      <c r="J777" s="294">
        <f t="shared" si="36"/>
        <v>165712.62293989549</v>
      </c>
      <c r="K777" s="294">
        <f t="shared" si="37"/>
        <v>165895.16380530328</v>
      </c>
      <c r="L777" s="281">
        <f t="shared" ref="L777:L840" si="38">IF(K777&gt;J777,1,0)</f>
        <v>1</v>
      </c>
    </row>
    <row r="778" spans="2:12" x14ac:dyDescent="0.15">
      <c r="B778" s="281">
        <v>771</v>
      </c>
      <c r="C778" s="294">
        <v>21955.114077745759</v>
      </c>
      <c r="D778" s="392">
        <v>6.268033840768604</v>
      </c>
      <c r="E778" s="294">
        <v>22136.262441332234</v>
      </c>
      <c r="F778" s="272">
        <v>6.2923476395953584</v>
      </c>
      <c r="G778" s="272">
        <v>181.14836358647517</v>
      </c>
      <c r="H778" s="277">
        <v>2.4313798826754329E-2</v>
      </c>
      <c r="J778" s="294">
        <f t="shared" si="36"/>
        <v>166085.90114531235</v>
      </c>
      <c r="K778" s="294">
        <f t="shared" si="37"/>
        <v>166634.16674652853</v>
      </c>
      <c r="L778" s="281">
        <f t="shared" si="38"/>
        <v>1</v>
      </c>
    </row>
    <row r="779" spans="2:12" x14ac:dyDescent="0.15">
      <c r="B779" s="281">
        <v>772</v>
      </c>
      <c r="C779" s="294">
        <v>22717.891155254878</v>
      </c>
      <c r="D779" s="392">
        <v>6.1971591433786353</v>
      </c>
      <c r="E779" s="294">
        <v>22972.533507644031</v>
      </c>
      <c r="F779" s="272">
        <v>6.2456722125084525</v>
      </c>
      <c r="G779" s="272">
        <v>254.64235238915353</v>
      </c>
      <c r="H779" s="277">
        <v>4.8513069129817232E-2</v>
      </c>
      <c r="J779" s="294">
        <f t="shared" si="36"/>
        <v>163196.88314610417</v>
      </c>
      <c r="K779" s="294">
        <f t="shared" si="37"/>
        <v>164397.63286760956</v>
      </c>
      <c r="L779" s="281">
        <f t="shared" si="38"/>
        <v>1</v>
      </c>
    </row>
    <row r="780" spans="2:12" x14ac:dyDescent="0.15">
      <c r="B780" s="281">
        <v>773</v>
      </c>
      <c r="C780" s="294">
        <v>22235.117698722624</v>
      </c>
      <c r="D780" s="392">
        <v>6.2866687513297963</v>
      </c>
      <c r="E780" s="294">
        <v>22489.972345901253</v>
      </c>
      <c r="F780" s="272">
        <v>6.3218301994789607</v>
      </c>
      <c r="G780" s="272">
        <v>254.85464717862851</v>
      </c>
      <c r="H780" s="277">
        <v>3.5161448149164443E-2</v>
      </c>
      <c r="J780" s="294">
        <f t="shared" si="36"/>
        <v>166364.94484117127</v>
      </c>
      <c r="K780" s="294">
        <f t="shared" si="37"/>
        <v>167164.93363846757</v>
      </c>
      <c r="L780" s="281">
        <f t="shared" si="38"/>
        <v>1</v>
      </c>
    </row>
    <row r="781" spans="2:12" x14ac:dyDescent="0.15">
      <c r="B781" s="281">
        <v>774</v>
      </c>
      <c r="C781" s="294">
        <v>20235.529110455234</v>
      </c>
      <c r="D781" s="392">
        <v>6.3274288002807442</v>
      </c>
      <c r="E781" s="294">
        <v>20243.168715847904</v>
      </c>
      <c r="F781" s="272">
        <v>6.290035426198803</v>
      </c>
      <c r="G781" s="272">
        <v>7.639605392669182</v>
      </c>
      <c r="H781" s="277">
        <v>-3.7393374081941211E-2</v>
      </c>
      <c r="J781" s="294">
        <f t="shared" si="36"/>
        <v>169587.33489796708</v>
      </c>
      <c r="K781" s="294">
        <f t="shared" si="37"/>
        <v>168457.89407011616</v>
      </c>
      <c r="L781" s="281">
        <f t="shared" si="38"/>
        <v>0</v>
      </c>
    </row>
    <row r="782" spans="2:12" x14ac:dyDescent="0.15">
      <c r="B782" s="281">
        <v>775</v>
      </c>
      <c r="C782" s="294">
        <v>20362.741434922682</v>
      </c>
      <c r="D782" s="392">
        <v>6.2098953818162785</v>
      </c>
      <c r="E782" s="294">
        <v>20484.676366230429</v>
      </c>
      <c r="F782" s="272">
        <v>6.2229328556692405</v>
      </c>
      <c r="G782" s="272">
        <v>121.93493130774732</v>
      </c>
      <c r="H782" s="277">
        <v>1.3037473852961945E-2</v>
      </c>
      <c r="J782" s="294">
        <f t="shared" si="36"/>
        <v>165934.12001956569</v>
      </c>
      <c r="K782" s="294">
        <f t="shared" si="37"/>
        <v>166203.30930384679</v>
      </c>
      <c r="L782" s="281">
        <f t="shared" si="38"/>
        <v>1</v>
      </c>
    </row>
    <row r="783" spans="2:12" x14ac:dyDescent="0.15">
      <c r="B783" s="281">
        <v>776</v>
      </c>
      <c r="C783" s="294">
        <v>21396.855520604171</v>
      </c>
      <c r="D783" s="392">
        <v>6.2109946252501729</v>
      </c>
      <c r="E783" s="294">
        <v>21577.84120844377</v>
      </c>
      <c r="F783" s="272">
        <v>6.2362956098486997</v>
      </c>
      <c r="G783" s="272">
        <v>180.98568783959854</v>
      </c>
      <c r="H783" s="277">
        <v>2.530098459852681E-2</v>
      </c>
      <c r="J783" s="294">
        <f t="shared" si="36"/>
        <v>164932.983236901</v>
      </c>
      <c r="K783" s="294">
        <f t="shared" si="37"/>
        <v>165511.02708701722</v>
      </c>
      <c r="L783" s="281">
        <f t="shared" si="38"/>
        <v>1</v>
      </c>
    </row>
    <row r="784" spans="2:12" x14ac:dyDescent="0.15">
      <c r="B784" s="281">
        <v>777</v>
      </c>
      <c r="C784" s="294">
        <v>21651.263850540414</v>
      </c>
      <c r="D784" s="392">
        <v>6.3411129967393496</v>
      </c>
      <c r="E784" s="294">
        <v>21875.770819909394</v>
      </c>
      <c r="F784" s="272">
        <v>6.3752155470573353</v>
      </c>
      <c r="G784" s="272">
        <v>224.50696936898021</v>
      </c>
      <c r="H784" s="277">
        <v>3.4102550317985703E-2</v>
      </c>
      <c r="J784" s="294">
        <f t="shared" si="36"/>
        <v>168582.12605164008</v>
      </c>
      <c r="K784" s="294">
        <f t="shared" si="37"/>
        <v>169380.69559181065</v>
      </c>
      <c r="L784" s="281">
        <f t="shared" si="38"/>
        <v>1</v>
      </c>
    </row>
    <row r="785" spans="2:12" x14ac:dyDescent="0.15">
      <c r="B785" s="281">
        <v>778</v>
      </c>
      <c r="C785" s="294">
        <v>21051.309015525621</v>
      </c>
      <c r="D785" s="392">
        <v>6.1908614482271673</v>
      </c>
      <c r="E785" s="294">
        <v>21311.123520779434</v>
      </c>
      <c r="F785" s="272">
        <v>6.2543026629794234</v>
      </c>
      <c r="G785" s="272">
        <v>259.81450525381297</v>
      </c>
      <c r="H785" s="277">
        <v>6.3441214752256059E-2</v>
      </c>
      <c r="J785" s="294">
        <f t="shared" si="36"/>
        <v>164674.53443128939</v>
      </c>
      <c r="K785" s="294">
        <f t="shared" si="37"/>
        <v>166317.95636860328</v>
      </c>
      <c r="L785" s="281">
        <f t="shared" si="38"/>
        <v>1</v>
      </c>
    </row>
    <row r="786" spans="2:12" x14ac:dyDescent="0.15">
      <c r="B786" s="281">
        <v>779</v>
      </c>
      <c r="C786" s="294">
        <v>20076.520606812308</v>
      </c>
      <c r="D786" s="392">
        <v>6.2669164697211883</v>
      </c>
      <c r="E786" s="294">
        <v>20165.806717058116</v>
      </c>
      <c r="F786" s="272">
        <v>6.2912502201703706</v>
      </c>
      <c r="G786" s="272">
        <v>89.286110245808231</v>
      </c>
      <c r="H786" s="277">
        <v>2.433375044918229E-2</v>
      </c>
      <c r="J786" s="294">
        <f t="shared" si="36"/>
        <v>167930.97348482336</v>
      </c>
      <c r="K786" s="294">
        <f t="shared" si="37"/>
        <v>168571.699888053</v>
      </c>
      <c r="L786" s="281">
        <f t="shared" si="38"/>
        <v>1</v>
      </c>
    </row>
    <row r="787" spans="2:12" x14ac:dyDescent="0.15">
      <c r="B787" s="281">
        <v>780</v>
      </c>
      <c r="C787" s="294">
        <v>21594.150588173277</v>
      </c>
      <c r="D787" s="392">
        <v>6.222988611266528</v>
      </c>
      <c r="E787" s="294">
        <v>21909.012970406733</v>
      </c>
      <c r="F787" s="272">
        <v>6.2659456693331421</v>
      </c>
      <c r="G787" s="272">
        <v>314.86238223345572</v>
      </c>
      <c r="H787" s="277">
        <v>4.2957058066614096E-2</v>
      </c>
      <c r="J787" s="294">
        <f t="shared" si="36"/>
        <v>165095.50774982257</v>
      </c>
      <c r="K787" s="294">
        <f t="shared" si="37"/>
        <v>166069.35710958752</v>
      </c>
      <c r="L787" s="281">
        <f t="shared" si="38"/>
        <v>1</v>
      </c>
    </row>
    <row r="788" spans="2:12" x14ac:dyDescent="0.15">
      <c r="B788" s="281">
        <v>781</v>
      </c>
      <c r="C788" s="294">
        <v>20840.223189448807</v>
      </c>
      <c r="D788" s="392">
        <v>6.2762218026319863</v>
      </c>
      <c r="E788" s="294">
        <v>21083.060287180942</v>
      </c>
      <c r="F788" s="272">
        <v>6.3145403232752191</v>
      </c>
      <c r="G788" s="272">
        <v>242.83709773213559</v>
      </c>
      <c r="H788" s="277">
        <v>3.8318520643232823E-2</v>
      </c>
      <c r="J788" s="294">
        <f t="shared" si="36"/>
        <v>167446.43088951078</v>
      </c>
      <c r="K788" s="294">
        <f t="shared" si="37"/>
        <v>168353.14941107563</v>
      </c>
      <c r="L788" s="281">
        <f t="shared" si="38"/>
        <v>1</v>
      </c>
    </row>
    <row r="789" spans="2:12" x14ac:dyDescent="0.15">
      <c r="B789" s="281">
        <v>782</v>
      </c>
      <c r="C789" s="294">
        <v>21146.467241039049</v>
      </c>
      <c r="D789" s="392">
        <v>6.3532263578353474</v>
      </c>
      <c r="E789" s="294">
        <v>21417.218305921691</v>
      </c>
      <c r="F789" s="272">
        <v>6.3837071149633386</v>
      </c>
      <c r="G789" s="272">
        <v>270.75106488264282</v>
      </c>
      <c r="H789" s="277">
        <v>3.0480757127991254E-2</v>
      </c>
      <c r="J789" s="294">
        <f t="shared" si="36"/>
        <v>169450.32349402137</v>
      </c>
      <c r="K789" s="294">
        <f t="shared" si="37"/>
        <v>170093.99514297844</v>
      </c>
      <c r="L789" s="281">
        <f t="shared" si="38"/>
        <v>1</v>
      </c>
    </row>
    <row r="790" spans="2:12" x14ac:dyDescent="0.15">
      <c r="B790" s="281">
        <v>783</v>
      </c>
      <c r="C790" s="294">
        <v>20258.943957881929</v>
      </c>
      <c r="D790" s="392">
        <v>6.3715228782929465</v>
      </c>
      <c r="E790" s="294">
        <v>20581.648025454651</v>
      </c>
      <c r="F790" s="272">
        <v>6.4305698263905304</v>
      </c>
      <c r="G790" s="272">
        <v>322.70406757272212</v>
      </c>
      <c r="H790" s="277">
        <v>5.9046948097583929E-2</v>
      </c>
      <c r="J790" s="294">
        <f t="shared" si="36"/>
        <v>170886.74239090644</v>
      </c>
      <c r="K790" s="294">
        <f t="shared" si="37"/>
        <v>172335.44676626124</v>
      </c>
      <c r="L790" s="281">
        <f t="shared" si="38"/>
        <v>1</v>
      </c>
    </row>
    <row r="791" spans="2:12" x14ac:dyDescent="0.15">
      <c r="B791" s="281">
        <v>784</v>
      </c>
      <c r="C791" s="294">
        <v>22271.717703111917</v>
      </c>
      <c r="D791" s="392">
        <v>6.2999508901514218</v>
      </c>
      <c r="E791" s="294">
        <v>22519.950432502887</v>
      </c>
      <c r="F791" s="272">
        <v>6.3548761011100376</v>
      </c>
      <c r="G791" s="272">
        <v>248.23272939096933</v>
      </c>
      <c r="H791" s="277">
        <v>5.49252109586158E-2</v>
      </c>
      <c r="J791" s="294">
        <f t="shared" si="36"/>
        <v>166726.80900143075</v>
      </c>
      <c r="K791" s="294">
        <f t="shared" si="37"/>
        <v>168126.33260079823</v>
      </c>
      <c r="L791" s="281">
        <f t="shared" si="38"/>
        <v>1</v>
      </c>
    </row>
    <row r="792" spans="2:12" x14ac:dyDescent="0.15">
      <c r="B792" s="281">
        <v>785</v>
      </c>
      <c r="C792" s="294">
        <v>21138.818884793141</v>
      </c>
      <c r="D792" s="392">
        <v>6.2638576769094145</v>
      </c>
      <c r="E792" s="294">
        <v>21134.030352139158</v>
      </c>
      <c r="F792" s="272">
        <v>6.24867036421516</v>
      </c>
      <c r="G792" s="272">
        <v>-4.788532653983566</v>
      </c>
      <c r="H792" s="277">
        <v>-1.5187312694254551E-2</v>
      </c>
      <c r="J792" s="294">
        <f t="shared" si="36"/>
        <v>166776.9114224893</v>
      </c>
      <c r="K792" s="294">
        <f t="shared" si="37"/>
        <v>166326.08057431565</v>
      </c>
      <c r="L792" s="281">
        <f t="shared" si="38"/>
        <v>0</v>
      </c>
    </row>
    <row r="793" spans="2:12" x14ac:dyDescent="0.15">
      <c r="B793" s="281">
        <v>786</v>
      </c>
      <c r="C793" s="294">
        <v>21895.533604215641</v>
      </c>
      <c r="D793" s="392">
        <v>6.3041193859726965</v>
      </c>
      <c r="E793" s="294">
        <v>22114.896154216563</v>
      </c>
      <c r="F793" s="272">
        <v>6.3596614143626438</v>
      </c>
      <c r="G793" s="272">
        <v>219.36255000092206</v>
      </c>
      <c r="H793" s="277">
        <v>5.5542028389947262E-2</v>
      </c>
      <c r="J793" s="294">
        <f t="shared" si="36"/>
        <v>167228.04797496524</v>
      </c>
      <c r="K793" s="294">
        <f t="shared" si="37"/>
        <v>168674.94627666275</v>
      </c>
      <c r="L793" s="281">
        <f t="shared" si="38"/>
        <v>1</v>
      </c>
    </row>
    <row r="794" spans="2:12" x14ac:dyDescent="0.15">
      <c r="B794" s="281">
        <v>787</v>
      </c>
      <c r="C794" s="294">
        <v>21522.318916075434</v>
      </c>
      <c r="D794" s="392">
        <v>6.2890933798682731</v>
      </c>
      <c r="E794" s="294">
        <v>21687.270027608334</v>
      </c>
      <c r="F794" s="272">
        <v>6.2960202610266975</v>
      </c>
      <c r="G794" s="272">
        <v>164.95111153290054</v>
      </c>
      <c r="H794" s="277">
        <v>6.9268811584244361E-3</v>
      </c>
      <c r="J794" s="294">
        <f t="shared" si="36"/>
        <v>167150.48247997276</v>
      </c>
      <c r="K794" s="294">
        <f t="shared" si="37"/>
        <v>167193.33780319261</v>
      </c>
      <c r="L794" s="281">
        <f t="shared" si="38"/>
        <v>1</v>
      </c>
    </row>
    <row r="795" spans="2:12" x14ac:dyDescent="0.15">
      <c r="B795" s="281">
        <v>788</v>
      </c>
      <c r="C795" s="294">
        <v>22013.749461781754</v>
      </c>
      <c r="D795" s="392">
        <v>6.2886380054085151</v>
      </c>
      <c r="E795" s="294">
        <v>22229.107243126575</v>
      </c>
      <c r="F795" s="272">
        <v>6.3415538100552027</v>
      </c>
      <c r="G795" s="272">
        <v>215.35778134482098</v>
      </c>
      <c r="H795" s="277">
        <v>5.2915804646687548E-2</v>
      </c>
      <c r="J795" s="294">
        <f t="shared" si="36"/>
        <v>166645.39070047368</v>
      </c>
      <c r="K795" s="294">
        <f t="shared" si="37"/>
        <v>168017.5070585295</v>
      </c>
      <c r="L795" s="281">
        <f t="shared" si="38"/>
        <v>1</v>
      </c>
    </row>
    <row r="796" spans="2:12" x14ac:dyDescent="0.15">
      <c r="B796" s="281">
        <v>789</v>
      </c>
      <c r="C796" s="294">
        <v>19615.873218812732</v>
      </c>
      <c r="D796" s="392">
        <v>6.3908482356443983</v>
      </c>
      <c r="E796" s="294">
        <v>19913.571009416064</v>
      </c>
      <c r="F796" s="272">
        <v>6.4278459724770602</v>
      </c>
      <c r="G796" s="272">
        <v>297.69779060333167</v>
      </c>
      <c r="H796" s="277">
        <v>3.6997736832661943E-2</v>
      </c>
      <c r="J796" s="294">
        <f t="shared" si="36"/>
        <v>172109.5738505192</v>
      </c>
      <c r="K796" s="294">
        <f t="shared" si="37"/>
        <v>172921.80816489574</v>
      </c>
      <c r="L796" s="281">
        <f t="shared" si="38"/>
        <v>1</v>
      </c>
    </row>
    <row r="797" spans="2:12" x14ac:dyDescent="0.15">
      <c r="B797" s="281">
        <v>790</v>
      </c>
      <c r="C797" s="294">
        <v>21199.564358984593</v>
      </c>
      <c r="D797" s="392">
        <v>6.290656546865697</v>
      </c>
      <c r="E797" s="294">
        <v>21411.154597639092</v>
      </c>
      <c r="F797" s="272">
        <v>6.3386742199682473</v>
      </c>
      <c r="G797" s="272">
        <v>211.59023865449853</v>
      </c>
      <c r="H797" s="277">
        <v>4.801767310255034E-2</v>
      </c>
      <c r="J797" s="294">
        <f t="shared" si="36"/>
        <v>167520.13204698631</v>
      </c>
      <c r="K797" s="294">
        <f t="shared" si="37"/>
        <v>168749.07200140832</v>
      </c>
      <c r="L797" s="281">
        <f t="shared" si="38"/>
        <v>1</v>
      </c>
    </row>
    <row r="798" spans="2:12" x14ac:dyDescent="0.15">
      <c r="B798" s="281">
        <v>791</v>
      </c>
      <c r="C798" s="294">
        <v>22566.641911000705</v>
      </c>
      <c r="D798" s="392">
        <v>6.2932094935141132</v>
      </c>
      <c r="E798" s="294">
        <v>22837.000310120275</v>
      </c>
      <c r="F798" s="272">
        <v>6.3319013157976221</v>
      </c>
      <c r="G798" s="272">
        <v>270.35839911957009</v>
      </c>
      <c r="H798" s="277">
        <v>3.869182228350887E-2</v>
      </c>
      <c r="J798" s="294">
        <f t="shared" si="36"/>
        <v>166229.64289442269</v>
      </c>
      <c r="K798" s="294">
        <f t="shared" si="37"/>
        <v>167120.0391638084</v>
      </c>
      <c r="L798" s="281">
        <f t="shared" si="38"/>
        <v>1</v>
      </c>
    </row>
    <row r="799" spans="2:12" x14ac:dyDescent="0.15">
      <c r="B799" s="281">
        <v>792</v>
      </c>
      <c r="C799" s="294">
        <v>21450.344625731006</v>
      </c>
      <c r="D799" s="392">
        <v>6.300363580870262</v>
      </c>
      <c r="E799" s="294">
        <v>21737.820310883442</v>
      </c>
      <c r="F799" s="272">
        <v>6.356570029681837</v>
      </c>
      <c r="G799" s="272">
        <v>287.4756851524362</v>
      </c>
      <c r="H799" s="277">
        <v>5.6206448811574994E-2</v>
      </c>
      <c r="J799" s="294">
        <f t="shared" si="36"/>
        <v>167560.56280037685</v>
      </c>
      <c r="K799" s="294">
        <f t="shared" si="37"/>
        <v>168959.28057957167</v>
      </c>
      <c r="L799" s="281">
        <f t="shared" si="38"/>
        <v>1</v>
      </c>
    </row>
    <row r="800" spans="2:12" x14ac:dyDescent="0.15">
      <c r="B800" s="281">
        <v>793</v>
      </c>
      <c r="C800" s="294">
        <v>21751.111403370011</v>
      </c>
      <c r="D800" s="392">
        <v>6.2504106177259979</v>
      </c>
      <c r="E800" s="294">
        <v>22075.192812158282</v>
      </c>
      <c r="F800" s="272">
        <v>6.3134428619732335</v>
      </c>
      <c r="G800" s="272">
        <v>324.0814087882718</v>
      </c>
      <c r="H800" s="277">
        <v>6.3032244247235525E-2</v>
      </c>
      <c r="J800" s="294">
        <f t="shared" si="36"/>
        <v>165761.20712840994</v>
      </c>
      <c r="K800" s="294">
        <f t="shared" si="37"/>
        <v>167328.09304703871</v>
      </c>
      <c r="L800" s="281">
        <f t="shared" si="38"/>
        <v>1</v>
      </c>
    </row>
    <row r="801" spans="2:12" x14ac:dyDescent="0.15">
      <c r="B801" s="281">
        <v>794</v>
      </c>
      <c r="C801" s="294">
        <v>20623.636672584555</v>
      </c>
      <c r="D801" s="392">
        <v>6.2580582105392466</v>
      </c>
      <c r="E801" s="294">
        <v>20788.211375248335</v>
      </c>
      <c r="F801" s="272">
        <v>6.2794062738060541</v>
      </c>
      <c r="G801" s="272">
        <v>164.57470266378004</v>
      </c>
      <c r="H801" s="277">
        <v>2.1348063266807493E-2</v>
      </c>
      <c r="J801" s="294">
        <f t="shared" si="36"/>
        <v>167118.10964359285</v>
      </c>
      <c r="K801" s="294">
        <f t="shared" si="37"/>
        <v>167593.9768389333</v>
      </c>
      <c r="L801" s="281">
        <f t="shared" si="38"/>
        <v>1</v>
      </c>
    </row>
    <row r="802" spans="2:12" x14ac:dyDescent="0.15">
      <c r="B802" s="281">
        <v>795</v>
      </c>
      <c r="C802" s="294">
        <v>20977.985739692194</v>
      </c>
      <c r="D802" s="392">
        <v>6.1614555726783982</v>
      </c>
      <c r="E802" s="294">
        <v>21221.776594867424</v>
      </c>
      <c r="F802" s="272">
        <v>6.1737703648189362</v>
      </c>
      <c r="G802" s="272">
        <v>243.79085517522981</v>
      </c>
      <c r="H802" s="277">
        <v>1.2314792140537989E-2</v>
      </c>
      <c r="J802" s="294">
        <f t="shared" si="36"/>
        <v>163865.68144065974</v>
      </c>
      <c r="K802" s="294">
        <f t="shared" si="37"/>
        <v>163991.33434970066</v>
      </c>
      <c r="L802" s="281">
        <f t="shared" si="38"/>
        <v>1</v>
      </c>
    </row>
    <row r="803" spans="2:12" x14ac:dyDescent="0.15">
      <c r="B803" s="281">
        <v>796</v>
      </c>
      <c r="C803" s="294">
        <v>20662.991181833655</v>
      </c>
      <c r="D803" s="392">
        <v>6.3354306773085982</v>
      </c>
      <c r="E803" s="294">
        <v>20971.941594552107</v>
      </c>
      <c r="F803" s="272">
        <v>6.359596187535713</v>
      </c>
      <c r="G803" s="272">
        <v>308.95041271845184</v>
      </c>
      <c r="H803" s="277">
        <v>2.4165510227114773E-2</v>
      </c>
      <c r="J803" s="294">
        <f t="shared" si="36"/>
        <v>169399.92913742427</v>
      </c>
      <c r="K803" s="294">
        <f t="shared" si="37"/>
        <v>169815.94403151929</v>
      </c>
      <c r="L803" s="281">
        <f t="shared" si="38"/>
        <v>1</v>
      </c>
    </row>
    <row r="804" spans="2:12" x14ac:dyDescent="0.15">
      <c r="B804" s="281">
        <v>797</v>
      </c>
      <c r="C804" s="294">
        <v>21413.330748261313</v>
      </c>
      <c r="D804" s="392">
        <v>6.231594348466456</v>
      </c>
      <c r="E804" s="294">
        <v>21591.983106251424</v>
      </c>
      <c r="F804" s="272">
        <v>6.2631269795326014</v>
      </c>
      <c r="G804" s="272">
        <v>178.65235799011134</v>
      </c>
      <c r="H804" s="277">
        <v>3.1532631066145456E-2</v>
      </c>
      <c r="J804" s="294">
        <f t="shared" si="36"/>
        <v>165534.49970573236</v>
      </c>
      <c r="K804" s="294">
        <f t="shared" si="37"/>
        <v>166301.82627972661</v>
      </c>
      <c r="L804" s="281">
        <f t="shared" si="38"/>
        <v>1</v>
      </c>
    </row>
    <row r="805" spans="2:12" x14ac:dyDescent="0.15">
      <c r="B805" s="281">
        <v>798</v>
      </c>
      <c r="C805" s="294">
        <v>22304.267140692456</v>
      </c>
      <c r="D805" s="392">
        <v>6.1423545386060487</v>
      </c>
      <c r="E805" s="294">
        <v>22535.938166361826</v>
      </c>
      <c r="F805" s="272">
        <v>6.1871702752559399</v>
      </c>
      <c r="G805" s="272">
        <v>231.67102566936956</v>
      </c>
      <c r="H805" s="277">
        <v>4.4815736649891136E-2</v>
      </c>
      <c r="J805" s="294">
        <f t="shared" si="36"/>
        <v>161966.36901748902</v>
      </c>
      <c r="K805" s="294">
        <f t="shared" si="37"/>
        <v>163079.17009131637</v>
      </c>
      <c r="L805" s="281">
        <f t="shared" si="38"/>
        <v>1</v>
      </c>
    </row>
    <row r="806" spans="2:12" x14ac:dyDescent="0.15">
      <c r="B806" s="281">
        <v>799</v>
      </c>
      <c r="C806" s="294">
        <v>21684.276762387439</v>
      </c>
      <c r="D806" s="392">
        <v>6.2578812341241834</v>
      </c>
      <c r="E806" s="294">
        <v>21966.839782614632</v>
      </c>
      <c r="F806" s="272">
        <v>6.2905204034315956</v>
      </c>
      <c r="G806" s="272">
        <v>282.56302022719319</v>
      </c>
      <c r="H806" s="277">
        <v>3.2639169307412175E-2</v>
      </c>
      <c r="J806" s="294">
        <f t="shared" si="36"/>
        <v>166052.16026133805</v>
      </c>
      <c r="K806" s="294">
        <f t="shared" si="37"/>
        <v>166748.77232033323</v>
      </c>
      <c r="L806" s="281">
        <f t="shared" si="38"/>
        <v>1</v>
      </c>
    </row>
    <row r="807" spans="2:12" x14ac:dyDescent="0.15">
      <c r="B807" s="281">
        <v>800</v>
      </c>
      <c r="C807" s="294">
        <v>21343.023106236757</v>
      </c>
      <c r="D807" s="392">
        <v>6.4215890433530802</v>
      </c>
      <c r="E807" s="294">
        <v>21556.846401266896</v>
      </c>
      <c r="F807" s="272">
        <v>6.4677032324824806</v>
      </c>
      <c r="G807" s="272">
        <v>213.82329503013898</v>
      </c>
      <c r="H807" s="277">
        <v>4.6114189129400351E-2</v>
      </c>
      <c r="J807" s="294">
        <f t="shared" si="36"/>
        <v>171304.64819435563</v>
      </c>
      <c r="K807" s="294">
        <f t="shared" si="37"/>
        <v>172474.25057320751</v>
      </c>
      <c r="L807" s="281">
        <f t="shared" si="38"/>
        <v>1</v>
      </c>
    </row>
    <row r="808" spans="2:12" x14ac:dyDescent="0.15">
      <c r="B808" s="281">
        <v>801</v>
      </c>
      <c r="C808" s="294">
        <v>21510.367712857958</v>
      </c>
      <c r="D808" s="392">
        <v>6.2700068398909314</v>
      </c>
      <c r="E808" s="294">
        <v>21633.687173355142</v>
      </c>
      <c r="F808" s="272">
        <v>6.2797141710699398</v>
      </c>
      <c r="G808" s="272">
        <v>123.31946049718317</v>
      </c>
      <c r="H808" s="277">
        <v>9.7073311790083494E-3</v>
      </c>
      <c r="J808" s="294">
        <f t="shared" si="36"/>
        <v>166589.83748386998</v>
      </c>
      <c r="K808" s="294">
        <f t="shared" si="37"/>
        <v>166757.73795874306</v>
      </c>
      <c r="L808" s="281">
        <f t="shared" si="38"/>
        <v>1</v>
      </c>
    </row>
    <row r="809" spans="2:12" x14ac:dyDescent="0.15">
      <c r="B809" s="281">
        <v>802</v>
      </c>
      <c r="C809" s="294">
        <v>21747.886344741655</v>
      </c>
      <c r="D809" s="392">
        <v>6.3301731485484742</v>
      </c>
      <c r="E809" s="294">
        <v>22092.449016060877</v>
      </c>
      <c r="F809" s="272">
        <v>6.3940330467185449</v>
      </c>
      <c r="G809" s="272">
        <v>344.56267131922141</v>
      </c>
      <c r="H809" s="277">
        <v>6.385989817007065E-2</v>
      </c>
      <c r="J809" s="294">
        <f t="shared" si="36"/>
        <v>168157.30811171257</v>
      </c>
      <c r="K809" s="294">
        <f t="shared" si="37"/>
        <v>169728.54238549547</v>
      </c>
      <c r="L809" s="281">
        <f t="shared" si="38"/>
        <v>1</v>
      </c>
    </row>
    <row r="810" spans="2:12" x14ac:dyDescent="0.15">
      <c r="B810" s="281">
        <v>803</v>
      </c>
      <c r="C810" s="294">
        <v>21718.89528341288</v>
      </c>
      <c r="D810" s="392">
        <v>6.3000934794857288</v>
      </c>
      <c r="E810" s="294">
        <v>21990.734229157904</v>
      </c>
      <c r="F810" s="272">
        <v>6.3550797074775431</v>
      </c>
      <c r="G810" s="272">
        <v>271.83894574502483</v>
      </c>
      <c r="H810" s="277">
        <v>5.4986227991814296E-2</v>
      </c>
      <c r="J810" s="294">
        <f t="shared" si="36"/>
        <v>167283.90910115899</v>
      </c>
      <c r="K810" s="294">
        <f t="shared" si="37"/>
        <v>168661.65699516839</v>
      </c>
      <c r="L810" s="281">
        <f t="shared" si="38"/>
        <v>1</v>
      </c>
    </row>
    <row r="811" spans="2:12" x14ac:dyDescent="0.15">
      <c r="B811" s="281">
        <v>804</v>
      </c>
      <c r="C811" s="294">
        <v>20960.488872465699</v>
      </c>
      <c r="D811" s="392">
        <v>6.3167596866380613</v>
      </c>
      <c r="E811" s="294">
        <v>21162.605442462012</v>
      </c>
      <c r="F811" s="272">
        <v>6.3600302791688819</v>
      </c>
      <c r="G811" s="272">
        <v>202.11656999631305</v>
      </c>
      <c r="H811" s="277">
        <v>4.3270592530820551E-2</v>
      </c>
      <c r="J811" s="294">
        <f t="shared" si="36"/>
        <v>168542.30172667615</v>
      </c>
      <c r="K811" s="294">
        <f t="shared" si="37"/>
        <v>169638.30293260442</v>
      </c>
      <c r="L811" s="281">
        <f t="shared" si="38"/>
        <v>1</v>
      </c>
    </row>
    <row r="812" spans="2:12" x14ac:dyDescent="0.15">
      <c r="B812" s="281">
        <v>805</v>
      </c>
      <c r="C812" s="294">
        <v>21954.392182326439</v>
      </c>
      <c r="D812" s="392">
        <v>6.3508940589388292</v>
      </c>
      <c r="E812" s="294">
        <v>22116.937267696048</v>
      </c>
      <c r="F812" s="272">
        <v>6.3601567098457172</v>
      </c>
      <c r="G812" s="272">
        <v>162.5450853696093</v>
      </c>
      <c r="H812" s="277">
        <v>9.262650906888048E-3</v>
      </c>
      <c r="J812" s="294">
        <f t="shared" si="36"/>
        <v>168572.42958583843</v>
      </c>
      <c r="K812" s="294">
        <f t="shared" si="37"/>
        <v>168687.76402767547</v>
      </c>
      <c r="L812" s="281">
        <f t="shared" si="38"/>
        <v>1</v>
      </c>
    </row>
    <row r="813" spans="2:12" x14ac:dyDescent="0.15">
      <c r="B813" s="281">
        <v>806</v>
      </c>
      <c r="C813" s="294">
        <v>22314.563216918574</v>
      </c>
      <c r="D813" s="392">
        <v>6.2585070723699774</v>
      </c>
      <c r="E813" s="294">
        <v>22529.831084871545</v>
      </c>
      <c r="F813" s="272">
        <v>6.3003914307321303</v>
      </c>
      <c r="G813" s="272">
        <v>215.26786795297085</v>
      </c>
      <c r="H813" s="277">
        <v>4.1884358362152874E-2</v>
      </c>
      <c r="J813" s="294">
        <f t="shared" si="36"/>
        <v>165440.64895418074</v>
      </c>
      <c r="K813" s="294">
        <f t="shared" si="37"/>
        <v>166481.91183709237</v>
      </c>
      <c r="L813" s="281">
        <f t="shared" si="38"/>
        <v>1</v>
      </c>
    </row>
    <row r="814" spans="2:12" x14ac:dyDescent="0.15">
      <c r="B814" s="281">
        <v>807</v>
      </c>
      <c r="C814" s="294">
        <v>21716.753202040745</v>
      </c>
      <c r="D814" s="392">
        <v>6.250415658625851</v>
      </c>
      <c r="E814" s="294">
        <v>21837.00128388427</v>
      </c>
      <c r="F814" s="272">
        <v>6.2478243582321573</v>
      </c>
      <c r="G814" s="272">
        <v>120.24808184352514</v>
      </c>
      <c r="H814" s="277">
        <v>-2.5913003936937073E-3</v>
      </c>
      <c r="J814" s="294">
        <f t="shared" si="36"/>
        <v>165795.71655673478</v>
      </c>
      <c r="K814" s="294">
        <f t="shared" si="37"/>
        <v>165597.72946308044</v>
      </c>
      <c r="L814" s="281">
        <f t="shared" si="38"/>
        <v>0</v>
      </c>
    </row>
    <row r="815" spans="2:12" x14ac:dyDescent="0.15">
      <c r="B815" s="281">
        <v>808</v>
      </c>
      <c r="C815" s="294">
        <v>21146.823647121255</v>
      </c>
      <c r="D815" s="392">
        <v>6.3496810665525709</v>
      </c>
      <c r="E815" s="294">
        <v>21448.812950023181</v>
      </c>
      <c r="F815" s="272">
        <v>6.3937244716568724</v>
      </c>
      <c r="G815" s="272">
        <v>301.98930290192584</v>
      </c>
      <c r="H815" s="277">
        <v>4.4043405104301492E-2</v>
      </c>
      <c r="J815" s="294">
        <f t="shared" si="36"/>
        <v>169343.60834945587</v>
      </c>
      <c r="K815" s="294">
        <f t="shared" si="37"/>
        <v>170362.92119968298</v>
      </c>
      <c r="L815" s="281">
        <f t="shared" si="38"/>
        <v>1</v>
      </c>
    </row>
    <row r="816" spans="2:12" x14ac:dyDescent="0.15">
      <c r="B816" s="281">
        <v>809</v>
      </c>
      <c r="C816" s="294">
        <v>21276.168856574233</v>
      </c>
      <c r="D816" s="392">
        <v>6.3341349285229063</v>
      </c>
      <c r="E816" s="294">
        <v>21567.456727055807</v>
      </c>
      <c r="F816" s="272">
        <v>6.3952130330441674</v>
      </c>
      <c r="G816" s="272">
        <v>291.28787048157392</v>
      </c>
      <c r="H816" s="277">
        <v>6.1078104521261167E-2</v>
      </c>
      <c r="J816" s="294">
        <f t="shared" si="36"/>
        <v>168747.87899911296</v>
      </c>
      <c r="K816" s="294">
        <f t="shared" si="37"/>
        <v>170288.93426426922</v>
      </c>
      <c r="L816" s="281">
        <f t="shared" si="38"/>
        <v>1</v>
      </c>
    </row>
    <row r="817" spans="2:12" x14ac:dyDescent="0.15">
      <c r="B817" s="281">
        <v>810</v>
      </c>
      <c r="C817" s="294">
        <v>21642.804330622213</v>
      </c>
      <c r="D817" s="392">
        <v>6.1497930604062612</v>
      </c>
      <c r="E817" s="294">
        <v>21732.600405234527</v>
      </c>
      <c r="F817" s="272">
        <v>6.1606456081741747</v>
      </c>
      <c r="G817" s="272">
        <v>89.796074612313532</v>
      </c>
      <c r="H817" s="277">
        <v>1.0852547767913556E-2</v>
      </c>
      <c r="J817" s="294">
        <f t="shared" si="36"/>
        <v>162850.98748156562</v>
      </c>
      <c r="K817" s="294">
        <f t="shared" si="37"/>
        <v>163086.76783999073</v>
      </c>
      <c r="L817" s="281">
        <f t="shared" si="38"/>
        <v>1</v>
      </c>
    </row>
    <row r="818" spans="2:12" x14ac:dyDescent="0.15">
      <c r="B818" s="281">
        <v>811</v>
      </c>
      <c r="C818" s="294">
        <v>21003.750089533085</v>
      </c>
      <c r="D818" s="392">
        <v>6.3471371152750518</v>
      </c>
      <c r="E818" s="294">
        <v>21287.783910213402</v>
      </c>
      <c r="F818" s="272">
        <v>6.4184387353138082</v>
      </c>
      <c r="G818" s="272">
        <v>284.03382068031715</v>
      </c>
      <c r="H818" s="277">
        <v>7.1301620038756397E-2</v>
      </c>
      <c r="J818" s="294">
        <f t="shared" si="36"/>
        <v>169410.36336871848</v>
      </c>
      <c r="K818" s="294">
        <f t="shared" si="37"/>
        <v>171265.37814920087</v>
      </c>
      <c r="L818" s="281">
        <f t="shared" si="38"/>
        <v>1</v>
      </c>
    </row>
    <row r="819" spans="2:12" x14ac:dyDescent="0.15">
      <c r="B819" s="281">
        <v>812</v>
      </c>
      <c r="C819" s="294">
        <v>22285.599541817148</v>
      </c>
      <c r="D819" s="392">
        <v>6.1510806066895709</v>
      </c>
      <c r="E819" s="294">
        <v>22413.124084327788</v>
      </c>
      <c r="F819" s="272">
        <v>6.1501810039651259</v>
      </c>
      <c r="G819" s="272">
        <v>127.52454251064046</v>
      </c>
      <c r="H819" s="277">
        <v>-8.9960272444500333E-4</v>
      </c>
      <c r="J819" s="294">
        <f t="shared" si="36"/>
        <v>162246.81865886998</v>
      </c>
      <c r="K819" s="294">
        <f t="shared" si="37"/>
        <v>162092.306034626</v>
      </c>
      <c r="L819" s="281">
        <f t="shared" si="38"/>
        <v>0</v>
      </c>
    </row>
    <row r="820" spans="2:12" x14ac:dyDescent="0.15">
      <c r="B820" s="281">
        <v>813</v>
      </c>
      <c r="C820" s="294">
        <v>21608.124449492003</v>
      </c>
      <c r="D820" s="392">
        <v>6.3648134379803913</v>
      </c>
      <c r="E820" s="294">
        <v>21727.01497574335</v>
      </c>
      <c r="F820" s="272">
        <v>6.4023827400319089</v>
      </c>
      <c r="G820" s="272">
        <v>118.89052625134718</v>
      </c>
      <c r="H820" s="277">
        <v>3.7569302051517539E-2</v>
      </c>
      <c r="J820" s="294">
        <f t="shared" si="36"/>
        <v>169336.27868991974</v>
      </c>
      <c r="K820" s="294">
        <f t="shared" si="37"/>
        <v>170344.46722521391</v>
      </c>
      <c r="L820" s="281">
        <f t="shared" si="38"/>
        <v>1</v>
      </c>
    </row>
    <row r="821" spans="2:12" x14ac:dyDescent="0.15">
      <c r="B821" s="281">
        <v>814</v>
      </c>
      <c r="C821" s="294">
        <v>22243.075797861664</v>
      </c>
      <c r="D821" s="392">
        <v>6.1707712843702982</v>
      </c>
      <c r="E821" s="294">
        <v>22387.312464846775</v>
      </c>
      <c r="F821" s="272">
        <v>6.1951909395130134</v>
      </c>
      <c r="G821" s="272">
        <v>144.23666698511079</v>
      </c>
      <c r="H821" s="277">
        <v>2.4419655142715158E-2</v>
      </c>
      <c r="J821" s="294">
        <f t="shared" si="36"/>
        <v>162880.06273324726</v>
      </c>
      <c r="K821" s="294">
        <f t="shared" si="37"/>
        <v>163468.41572054365</v>
      </c>
      <c r="L821" s="281">
        <f t="shared" si="38"/>
        <v>1</v>
      </c>
    </row>
    <row r="822" spans="2:12" x14ac:dyDescent="0.15">
      <c r="B822" s="281">
        <v>815</v>
      </c>
      <c r="C822" s="294">
        <v>21478.861269401968</v>
      </c>
      <c r="D822" s="392">
        <v>6.2344848996164908</v>
      </c>
      <c r="E822" s="294">
        <v>21787.367115641759</v>
      </c>
      <c r="F822" s="272">
        <v>6.2693321736939369</v>
      </c>
      <c r="G822" s="272">
        <v>308.50584623979012</v>
      </c>
      <c r="H822" s="277">
        <v>3.4847274077446144E-2</v>
      </c>
      <c r="J822" s="294">
        <f t="shared" si="36"/>
        <v>165555.68571909275</v>
      </c>
      <c r="K822" s="294">
        <f t="shared" si="37"/>
        <v>166292.59809517633</v>
      </c>
      <c r="L822" s="281">
        <f t="shared" si="38"/>
        <v>1</v>
      </c>
    </row>
    <row r="823" spans="2:12" x14ac:dyDescent="0.15">
      <c r="B823" s="281">
        <v>816</v>
      </c>
      <c r="C823" s="294">
        <v>21712.003541854072</v>
      </c>
      <c r="D823" s="392">
        <v>6.2529305583673791</v>
      </c>
      <c r="E823" s="294">
        <v>21830.74329192808</v>
      </c>
      <c r="F823" s="272">
        <v>6.2740773534125731</v>
      </c>
      <c r="G823" s="272">
        <v>118.73975007400804</v>
      </c>
      <c r="H823" s="277">
        <v>2.1146795045194011E-2</v>
      </c>
      <c r="J823" s="294">
        <f t="shared" si="36"/>
        <v>165875.91320916731</v>
      </c>
      <c r="K823" s="294">
        <f t="shared" si="37"/>
        <v>166391.57731044912</v>
      </c>
      <c r="L823" s="281">
        <f t="shared" si="38"/>
        <v>1</v>
      </c>
    </row>
    <row r="824" spans="2:12" x14ac:dyDescent="0.15">
      <c r="B824" s="281">
        <v>817</v>
      </c>
      <c r="C824" s="294">
        <v>22875.557105313652</v>
      </c>
      <c r="D824" s="392">
        <v>6.2888152371344734</v>
      </c>
      <c r="E824" s="294">
        <v>23100.49471267387</v>
      </c>
      <c r="F824" s="272">
        <v>6.3169479694954829</v>
      </c>
      <c r="G824" s="272">
        <v>224.93760736021795</v>
      </c>
      <c r="H824" s="277">
        <v>2.8132732361009438E-2</v>
      </c>
      <c r="J824" s="294">
        <f t="shared" si="36"/>
        <v>165788.90000872058</v>
      </c>
      <c r="K824" s="294">
        <f t="shared" si="37"/>
        <v>166407.94437219063</v>
      </c>
      <c r="L824" s="281">
        <f t="shared" si="38"/>
        <v>1</v>
      </c>
    </row>
    <row r="825" spans="2:12" x14ac:dyDescent="0.15">
      <c r="B825" s="281">
        <v>818</v>
      </c>
      <c r="C825" s="294">
        <v>21948.330736678734</v>
      </c>
      <c r="D825" s="392">
        <v>6.1855141918134926</v>
      </c>
      <c r="E825" s="294">
        <v>22171.53714379506</v>
      </c>
      <c r="F825" s="272">
        <v>6.2219578400314406</v>
      </c>
      <c r="G825" s="272">
        <v>223.20640711632586</v>
      </c>
      <c r="H825" s="277">
        <v>3.6443648217947988E-2</v>
      </c>
      <c r="J825" s="294">
        <f t="shared" si="36"/>
        <v>163617.09501772604</v>
      </c>
      <c r="K825" s="294">
        <f t="shared" si="37"/>
        <v>164487.19805714817</v>
      </c>
      <c r="L825" s="281">
        <f t="shared" si="38"/>
        <v>1</v>
      </c>
    </row>
    <row r="826" spans="2:12" x14ac:dyDescent="0.15">
      <c r="B826" s="281">
        <v>819</v>
      </c>
      <c r="C826" s="294">
        <v>21937.424795539304</v>
      </c>
      <c r="D826" s="392">
        <v>6.1856670408622332</v>
      </c>
      <c r="E826" s="294">
        <v>22156.235589015821</v>
      </c>
      <c r="F826" s="272">
        <v>6.2376407671186396</v>
      </c>
      <c r="G826" s="272">
        <v>218.81079347651757</v>
      </c>
      <c r="H826" s="277">
        <v>5.1973726256406394E-2</v>
      </c>
      <c r="J826" s="294">
        <f t="shared" si="36"/>
        <v>163632.5864303277</v>
      </c>
      <c r="K826" s="294">
        <f t="shared" si="37"/>
        <v>164972.98742454336</v>
      </c>
      <c r="L826" s="281">
        <f t="shared" si="38"/>
        <v>1</v>
      </c>
    </row>
    <row r="827" spans="2:12" x14ac:dyDescent="0.15">
      <c r="B827" s="281">
        <v>820</v>
      </c>
      <c r="C827" s="294">
        <v>21543.907335591102</v>
      </c>
      <c r="D827" s="392">
        <v>6.2404720363277297</v>
      </c>
      <c r="E827" s="294">
        <v>21783.181888331368</v>
      </c>
      <c r="F827" s="272">
        <v>6.3271964087914014</v>
      </c>
      <c r="G827" s="272">
        <v>239.27455274026579</v>
      </c>
      <c r="H827" s="277">
        <v>8.6724372463671706E-2</v>
      </c>
      <c r="J827" s="294">
        <f t="shared" si="36"/>
        <v>165670.25375424081</v>
      </c>
      <c r="K827" s="294">
        <f t="shared" si="37"/>
        <v>168032.71037541068</v>
      </c>
      <c r="L827" s="281">
        <f t="shared" si="38"/>
        <v>1</v>
      </c>
    </row>
    <row r="828" spans="2:12" x14ac:dyDescent="0.15">
      <c r="B828" s="281">
        <v>821</v>
      </c>
      <c r="C828" s="294">
        <v>20800.078462789555</v>
      </c>
      <c r="D828" s="392">
        <v>6.3241311729265632</v>
      </c>
      <c r="E828" s="294">
        <v>21062.612066408368</v>
      </c>
      <c r="F828" s="272">
        <v>6.3542955205446034</v>
      </c>
      <c r="G828" s="272">
        <v>262.53360361881278</v>
      </c>
      <c r="H828" s="277">
        <v>3.016434761804021E-2</v>
      </c>
      <c r="J828" s="294">
        <f t="shared" si="36"/>
        <v>168923.85672500732</v>
      </c>
      <c r="K828" s="294">
        <f t="shared" si="37"/>
        <v>169566.25354992974</v>
      </c>
      <c r="L828" s="281">
        <f t="shared" si="38"/>
        <v>1</v>
      </c>
    </row>
    <row r="829" spans="2:12" x14ac:dyDescent="0.15">
      <c r="B829" s="281">
        <v>822</v>
      </c>
      <c r="C829" s="294">
        <v>20964.264232514957</v>
      </c>
      <c r="D829" s="392">
        <v>6.2540187747648277</v>
      </c>
      <c r="E829" s="294">
        <v>21145.898332671673</v>
      </c>
      <c r="F829" s="272">
        <v>6.2891004764496312</v>
      </c>
      <c r="G829" s="272">
        <v>181.63410015671616</v>
      </c>
      <c r="H829" s="277">
        <v>3.5081701684803512E-2</v>
      </c>
      <c r="J829" s="294">
        <f t="shared" si="36"/>
        <v>166656.29901042988</v>
      </c>
      <c r="K829" s="294">
        <f t="shared" si="37"/>
        <v>167527.11596081726</v>
      </c>
      <c r="L829" s="281">
        <f t="shared" si="38"/>
        <v>1</v>
      </c>
    </row>
    <row r="830" spans="2:12" x14ac:dyDescent="0.15">
      <c r="B830" s="281">
        <v>823</v>
      </c>
      <c r="C830" s="294">
        <v>22069.674154784949</v>
      </c>
      <c r="D830" s="392">
        <v>6.306313206616367</v>
      </c>
      <c r="E830" s="294">
        <v>22283.118990184699</v>
      </c>
      <c r="F830" s="272">
        <v>6.3660096871343184</v>
      </c>
      <c r="G830" s="272">
        <v>213.44483539975045</v>
      </c>
      <c r="H830" s="277">
        <v>5.96964805179514E-2</v>
      </c>
      <c r="J830" s="294">
        <f t="shared" si="36"/>
        <v>167119.72204370608</v>
      </c>
      <c r="K830" s="294">
        <f t="shared" si="37"/>
        <v>168697.17162384483</v>
      </c>
      <c r="L830" s="281">
        <f t="shared" si="38"/>
        <v>1</v>
      </c>
    </row>
    <row r="831" spans="2:12" x14ac:dyDescent="0.15">
      <c r="B831" s="281">
        <v>824</v>
      </c>
      <c r="C831" s="294">
        <v>21232.956670322179</v>
      </c>
      <c r="D831" s="392">
        <v>6.390041143478209</v>
      </c>
      <c r="E831" s="294">
        <v>21321.302124094214</v>
      </c>
      <c r="F831" s="272">
        <v>6.4170831331880303</v>
      </c>
      <c r="G831" s="272">
        <v>88.345453772035398</v>
      </c>
      <c r="H831" s="277">
        <v>2.7041989709821301E-2</v>
      </c>
      <c r="J831" s="294">
        <f t="shared" si="36"/>
        <v>170468.2776340241</v>
      </c>
      <c r="K831" s="294">
        <f t="shared" si="37"/>
        <v>171191.1918715467</v>
      </c>
      <c r="L831" s="281">
        <f t="shared" si="38"/>
        <v>1</v>
      </c>
    </row>
    <row r="832" spans="2:12" x14ac:dyDescent="0.15">
      <c r="B832" s="281">
        <v>825</v>
      </c>
      <c r="C832" s="294">
        <v>20648.232846746363</v>
      </c>
      <c r="D832" s="392">
        <v>6.2090379892150835</v>
      </c>
      <c r="E832" s="294">
        <v>20834.364162326245</v>
      </c>
      <c r="F832" s="272">
        <v>6.2473833381186354</v>
      </c>
      <c r="G832" s="272">
        <v>186.13131557988163</v>
      </c>
      <c r="H832" s="277">
        <v>3.8345348903551901E-2</v>
      </c>
      <c r="J832" s="294">
        <f t="shared" si="36"/>
        <v>165622.90682970613</v>
      </c>
      <c r="K832" s="294">
        <f t="shared" si="37"/>
        <v>166587.13598123283</v>
      </c>
      <c r="L832" s="281">
        <f t="shared" si="38"/>
        <v>1</v>
      </c>
    </row>
    <row r="833" spans="2:12" x14ac:dyDescent="0.15">
      <c r="B833" s="281">
        <v>826</v>
      </c>
      <c r="C833" s="294">
        <v>22461.697089732384</v>
      </c>
      <c r="D833" s="392">
        <v>6.2579292526003014</v>
      </c>
      <c r="E833" s="294">
        <v>22608.677290491501</v>
      </c>
      <c r="F833" s="272">
        <v>6.2836710497863049</v>
      </c>
      <c r="G833" s="272">
        <v>146.980200759117</v>
      </c>
      <c r="H833" s="277">
        <v>2.5741797186003446E-2</v>
      </c>
      <c r="J833" s="294">
        <f t="shared" si="36"/>
        <v>165276.18048827664</v>
      </c>
      <c r="K833" s="294">
        <f t="shared" si="37"/>
        <v>165901.45420309764</v>
      </c>
      <c r="L833" s="281">
        <f t="shared" si="38"/>
        <v>1</v>
      </c>
    </row>
    <row r="834" spans="2:12" x14ac:dyDescent="0.15">
      <c r="B834" s="281">
        <v>827</v>
      </c>
      <c r="C834" s="294">
        <v>21966.212663418275</v>
      </c>
      <c r="D834" s="392">
        <v>6.2316939520173085</v>
      </c>
      <c r="E834" s="294">
        <v>22146.399861255442</v>
      </c>
      <c r="F834" s="272">
        <v>6.2551115166965179</v>
      </c>
      <c r="G834" s="272">
        <v>180.18719783716733</v>
      </c>
      <c r="H834" s="277">
        <v>2.3417564679209413E-2</v>
      </c>
      <c r="J834" s="294">
        <f t="shared" si="36"/>
        <v>164984.60589710099</v>
      </c>
      <c r="K834" s="294">
        <f t="shared" si="37"/>
        <v>165506.94563964009</v>
      </c>
      <c r="L834" s="281">
        <f t="shared" si="38"/>
        <v>1</v>
      </c>
    </row>
    <row r="835" spans="2:12" x14ac:dyDescent="0.15">
      <c r="B835" s="281">
        <v>828</v>
      </c>
      <c r="C835" s="294">
        <v>21150.021012136262</v>
      </c>
      <c r="D835" s="392">
        <v>6.2089783597695813</v>
      </c>
      <c r="E835" s="294">
        <v>21370.442370321951</v>
      </c>
      <c r="F835" s="272">
        <v>6.2595583882588341</v>
      </c>
      <c r="G835" s="272">
        <v>220.42135818568931</v>
      </c>
      <c r="H835" s="277">
        <v>5.0580028489252804E-2</v>
      </c>
      <c r="J835" s="294">
        <f t="shared" si="36"/>
        <v>165119.3297809512</v>
      </c>
      <c r="K835" s="294">
        <f t="shared" si="37"/>
        <v>166416.30927744307</v>
      </c>
      <c r="L835" s="281">
        <f t="shared" si="38"/>
        <v>1</v>
      </c>
    </row>
    <row r="836" spans="2:12" x14ac:dyDescent="0.15">
      <c r="B836" s="281">
        <v>829</v>
      </c>
      <c r="C836" s="294">
        <v>20838.364173323025</v>
      </c>
      <c r="D836" s="392">
        <v>6.386932350529853</v>
      </c>
      <c r="E836" s="294">
        <v>20956.70580595938</v>
      </c>
      <c r="F836" s="272">
        <v>6.4035233377819463</v>
      </c>
      <c r="G836" s="272">
        <v>118.34163263635492</v>
      </c>
      <c r="H836" s="277">
        <v>1.6590987252093292E-2</v>
      </c>
      <c r="J836" s="294">
        <f t="shared" si="36"/>
        <v>170769.60634257254</v>
      </c>
      <c r="K836" s="294">
        <f t="shared" si="37"/>
        <v>171148.99432749901</v>
      </c>
      <c r="L836" s="281">
        <f t="shared" si="38"/>
        <v>1</v>
      </c>
    </row>
    <row r="837" spans="2:12" x14ac:dyDescent="0.15">
      <c r="B837" s="281">
        <v>830</v>
      </c>
      <c r="C837" s="294">
        <v>20947.719789861701</v>
      </c>
      <c r="D837" s="392">
        <v>6.2165503368382016</v>
      </c>
      <c r="E837" s="294">
        <v>21227.648543697767</v>
      </c>
      <c r="F837" s="272">
        <v>6.2605573271901225</v>
      </c>
      <c r="G837" s="272">
        <v>279.92875383606588</v>
      </c>
      <c r="H837" s="277">
        <v>4.4006990351920905E-2</v>
      </c>
      <c r="J837" s="294">
        <f t="shared" si="36"/>
        <v>165548.79031528434</v>
      </c>
      <c r="K837" s="294">
        <f t="shared" si="37"/>
        <v>166589.07127200591</v>
      </c>
      <c r="L837" s="281">
        <f t="shared" si="38"/>
        <v>1</v>
      </c>
    </row>
    <row r="838" spans="2:12" x14ac:dyDescent="0.15">
      <c r="B838" s="281">
        <v>831</v>
      </c>
      <c r="C838" s="294">
        <v>21273.357030528321</v>
      </c>
      <c r="D838" s="392">
        <v>6.2722051231870939</v>
      </c>
      <c r="E838" s="294">
        <v>21420.515888088263</v>
      </c>
      <c r="F838" s="272">
        <v>6.3069413104545253</v>
      </c>
      <c r="G838" s="272">
        <v>147.15885755994168</v>
      </c>
      <c r="H838" s="277">
        <v>3.473618726743144E-2</v>
      </c>
      <c r="J838" s="294">
        <f t="shared" si="36"/>
        <v>166892.79666508449</v>
      </c>
      <c r="K838" s="294">
        <f t="shared" si="37"/>
        <v>167787.72342554751</v>
      </c>
      <c r="L838" s="281">
        <f t="shared" si="38"/>
        <v>1</v>
      </c>
    </row>
    <row r="839" spans="2:12" x14ac:dyDescent="0.15">
      <c r="B839" s="281">
        <v>832</v>
      </c>
      <c r="C839" s="294">
        <v>20649.33220660959</v>
      </c>
      <c r="D839" s="392">
        <v>6.2807886880428097</v>
      </c>
      <c r="E839" s="294">
        <v>20812.44964955121</v>
      </c>
      <c r="F839" s="272">
        <v>6.3348193501108065</v>
      </c>
      <c r="G839" s="272">
        <v>163.11744294162054</v>
      </c>
      <c r="H839" s="277">
        <v>5.4030662067996893E-2</v>
      </c>
      <c r="J839" s="294">
        <f t="shared" si="36"/>
        <v>167774.32843467468</v>
      </c>
      <c r="K839" s="294">
        <f t="shared" si="37"/>
        <v>169232.13085377298</v>
      </c>
      <c r="L839" s="281">
        <f t="shared" si="38"/>
        <v>1</v>
      </c>
    </row>
    <row r="840" spans="2:12" x14ac:dyDescent="0.15">
      <c r="B840" s="281">
        <v>833</v>
      </c>
      <c r="C840" s="294">
        <v>20584.678175164201</v>
      </c>
      <c r="D840" s="392">
        <v>6.2254489924746483</v>
      </c>
      <c r="E840" s="294">
        <v>20696.59721634553</v>
      </c>
      <c r="F840" s="272">
        <v>6.2445625656856896</v>
      </c>
      <c r="G840" s="272">
        <v>111.91904118132879</v>
      </c>
      <c r="H840" s="277">
        <v>1.9113573211041235E-2</v>
      </c>
      <c r="J840" s="294">
        <f t="shared" ref="J840:J903" si="39">(D840*wtp)-C840</f>
        <v>166178.79159907525</v>
      </c>
      <c r="K840" s="294">
        <f t="shared" ref="K840:K903" si="40">(F840*wtp)-E840</f>
        <v>166640.27975422516</v>
      </c>
      <c r="L840" s="281">
        <f t="shared" si="38"/>
        <v>1</v>
      </c>
    </row>
    <row r="841" spans="2:12" x14ac:dyDescent="0.15">
      <c r="B841" s="281">
        <v>834</v>
      </c>
      <c r="C841" s="294">
        <v>21501.010495247181</v>
      </c>
      <c r="D841" s="392">
        <v>6.3054234501351019</v>
      </c>
      <c r="E841" s="294">
        <v>21830.709321537557</v>
      </c>
      <c r="F841" s="272">
        <v>6.3501167571333328</v>
      </c>
      <c r="G841" s="272">
        <v>329.69882629037602</v>
      </c>
      <c r="H841" s="277">
        <v>4.4693306998230931E-2</v>
      </c>
      <c r="J841" s="294">
        <f t="shared" si="39"/>
        <v>167661.69300880589</v>
      </c>
      <c r="K841" s="294">
        <f t="shared" si="40"/>
        <v>168672.79339246242</v>
      </c>
      <c r="L841" s="281">
        <f t="shared" ref="L841:L904" si="41">IF(K841&gt;J841,1,0)</f>
        <v>1</v>
      </c>
    </row>
    <row r="842" spans="2:12" x14ac:dyDescent="0.15">
      <c r="B842" s="281">
        <v>835</v>
      </c>
      <c r="C842" s="294">
        <v>21909.218207218211</v>
      </c>
      <c r="D842" s="392">
        <v>6.3478394490774832</v>
      </c>
      <c r="E842" s="294">
        <v>22150.453487956307</v>
      </c>
      <c r="F842" s="272">
        <v>6.4168091685255728</v>
      </c>
      <c r="G842" s="272">
        <v>241.23528073809575</v>
      </c>
      <c r="H842" s="277">
        <v>6.8969719448089606E-2</v>
      </c>
      <c r="J842" s="294">
        <f t="shared" si="39"/>
        <v>168525.96526510626</v>
      </c>
      <c r="K842" s="294">
        <f t="shared" si="40"/>
        <v>170353.82156781087</v>
      </c>
      <c r="L842" s="281">
        <f t="shared" si="41"/>
        <v>1</v>
      </c>
    </row>
    <row r="843" spans="2:12" x14ac:dyDescent="0.15">
      <c r="B843" s="281">
        <v>836</v>
      </c>
      <c r="C843" s="294">
        <v>20721.913603560828</v>
      </c>
      <c r="D843" s="392">
        <v>6.2249713804199072</v>
      </c>
      <c r="E843" s="294">
        <v>20874.590265093979</v>
      </c>
      <c r="F843" s="272">
        <v>6.2697056448913573</v>
      </c>
      <c r="G843" s="272">
        <v>152.67666153315076</v>
      </c>
      <c r="H843" s="277">
        <v>4.4734264471450125E-2</v>
      </c>
      <c r="J843" s="294">
        <f t="shared" si="39"/>
        <v>166027.22780903638</v>
      </c>
      <c r="K843" s="294">
        <f t="shared" si="40"/>
        <v>167216.57908164675</v>
      </c>
      <c r="L843" s="281">
        <f t="shared" si="41"/>
        <v>1</v>
      </c>
    </row>
    <row r="844" spans="2:12" x14ac:dyDescent="0.15">
      <c r="B844" s="281">
        <v>837</v>
      </c>
      <c r="C844" s="294">
        <v>20452.912604088397</v>
      </c>
      <c r="D844" s="392">
        <v>6.2069723766630016</v>
      </c>
      <c r="E844" s="294">
        <v>20623.404519769378</v>
      </c>
      <c r="F844" s="272">
        <v>6.2576205885371934</v>
      </c>
      <c r="G844" s="272">
        <v>170.49191568098104</v>
      </c>
      <c r="H844" s="277">
        <v>5.0648211874191773E-2</v>
      </c>
      <c r="J844" s="294">
        <f t="shared" si="39"/>
        <v>165756.25869580166</v>
      </c>
      <c r="K844" s="294">
        <f t="shared" si="40"/>
        <v>167105.21313634643</v>
      </c>
      <c r="L844" s="281">
        <f t="shared" si="41"/>
        <v>1</v>
      </c>
    </row>
    <row r="845" spans="2:12" x14ac:dyDescent="0.15">
      <c r="B845" s="281">
        <v>838</v>
      </c>
      <c r="C845" s="294">
        <v>21484.017653090381</v>
      </c>
      <c r="D845" s="392">
        <v>6.1320534148333437</v>
      </c>
      <c r="E845" s="294">
        <v>21632.544821164589</v>
      </c>
      <c r="F845" s="272">
        <v>6.1606646848590367</v>
      </c>
      <c r="G845" s="272">
        <v>148.52716807420802</v>
      </c>
      <c r="H845" s="277">
        <v>2.8611270025693081E-2</v>
      </c>
      <c r="J845" s="294">
        <f t="shared" si="39"/>
        <v>162477.58479190993</v>
      </c>
      <c r="K845" s="294">
        <f t="shared" si="40"/>
        <v>163187.3957246065</v>
      </c>
      <c r="L845" s="281">
        <f t="shared" si="41"/>
        <v>1</v>
      </c>
    </row>
    <row r="846" spans="2:12" x14ac:dyDescent="0.15">
      <c r="B846" s="281">
        <v>839</v>
      </c>
      <c r="C846" s="294">
        <v>21751.222800603126</v>
      </c>
      <c r="D846" s="392">
        <v>6.3022537683474482</v>
      </c>
      <c r="E846" s="294">
        <v>21909.740547272606</v>
      </c>
      <c r="F846" s="272">
        <v>6.3418186895079822</v>
      </c>
      <c r="G846" s="272">
        <v>158.5177466694804</v>
      </c>
      <c r="H846" s="277">
        <v>3.9564921160534006E-2</v>
      </c>
      <c r="J846" s="294">
        <f t="shared" si="39"/>
        <v>167316.39024982031</v>
      </c>
      <c r="K846" s="294">
        <f t="shared" si="40"/>
        <v>168344.82013796686</v>
      </c>
      <c r="L846" s="281">
        <f t="shared" si="41"/>
        <v>1</v>
      </c>
    </row>
    <row r="847" spans="2:12" x14ac:dyDescent="0.15">
      <c r="B847" s="281">
        <v>840</v>
      </c>
      <c r="C847" s="294">
        <v>21082.655605418171</v>
      </c>
      <c r="D847" s="392">
        <v>6.3061943612140361</v>
      </c>
      <c r="E847" s="294">
        <v>21130.493331420752</v>
      </c>
      <c r="F847" s="272">
        <v>6.29625714430545</v>
      </c>
      <c r="G847" s="272">
        <v>47.837726002580894</v>
      </c>
      <c r="H847" s="277">
        <v>-9.9372169085860662E-3</v>
      </c>
      <c r="J847" s="294">
        <f t="shared" si="39"/>
        <v>168103.17523100291</v>
      </c>
      <c r="K847" s="294">
        <f t="shared" si="40"/>
        <v>167757.22099774276</v>
      </c>
      <c r="L847" s="281">
        <f t="shared" si="41"/>
        <v>0</v>
      </c>
    </row>
    <row r="848" spans="2:12" x14ac:dyDescent="0.15">
      <c r="B848" s="281">
        <v>841</v>
      </c>
      <c r="C848" s="294">
        <v>21613.110552033064</v>
      </c>
      <c r="D848" s="392">
        <v>6.3270740866899624</v>
      </c>
      <c r="E848" s="294">
        <v>21890.455661130716</v>
      </c>
      <c r="F848" s="272">
        <v>6.3409788183972164</v>
      </c>
      <c r="G848" s="272">
        <v>277.34510909765231</v>
      </c>
      <c r="H848" s="277">
        <v>1.3904731707254037E-2</v>
      </c>
      <c r="J848" s="294">
        <f t="shared" si="39"/>
        <v>168199.11204866582</v>
      </c>
      <c r="K848" s="294">
        <f t="shared" si="40"/>
        <v>168338.90889078577</v>
      </c>
      <c r="L848" s="281">
        <f t="shared" si="41"/>
        <v>1</v>
      </c>
    </row>
    <row r="849" spans="2:12" x14ac:dyDescent="0.15">
      <c r="B849" s="281">
        <v>842</v>
      </c>
      <c r="C849" s="294">
        <v>20743.865566690125</v>
      </c>
      <c r="D849" s="392">
        <v>6.241611391334934</v>
      </c>
      <c r="E849" s="294">
        <v>20969.374088082695</v>
      </c>
      <c r="F849" s="272">
        <v>6.283363917289547</v>
      </c>
      <c r="G849" s="272">
        <v>225.5085213925704</v>
      </c>
      <c r="H849" s="277">
        <v>4.1752525954612985E-2</v>
      </c>
      <c r="J849" s="294">
        <f t="shared" si="39"/>
        <v>166504.47617335789</v>
      </c>
      <c r="K849" s="294">
        <f t="shared" si="40"/>
        <v>167531.54343060372</v>
      </c>
      <c r="L849" s="281">
        <f t="shared" si="41"/>
        <v>1</v>
      </c>
    </row>
    <row r="850" spans="2:12" x14ac:dyDescent="0.15">
      <c r="B850" s="281">
        <v>843</v>
      </c>
      <c r="C850" s="294">
        <v>20863.044426222848</v>
      </c>
      <c r="D850" s="392">
        <v>6.3607184769888736</v>
      </c>
      <c r="E850" s="294">
        <v>21229.87521079509</v>
      </c>
      <c r="F850" s="272">
        <v>6.4383762944742564</v>
      </c>
      <c r="G850" s="272">
        <v>366.8307845722411</v>
      </c>
      <c r="H850" s="277">
        <v>7.7657817485382807E-2</v>
      </c>
      <c r="J850" s="294">
        <f t="shared" si="39"/>
        <v>169958.50988344336</v>
      </c>
      <c r="K850" s="294">
        <f t="shared" si="40"/>
        <v>171921.4136234326</v>
      </c>
      <c r="L850" s="281">
        <f t="shared" si="41"/>
        <v>1</v>
      </c>
    </row>
    <row r="851" spans="2:12" x14ac:dyDescent="0.15">
      <c r="B851" s="281">
        <v>844</v>
      </c>
      <c r="C851" s="294">
        <v>21535.851241003969</v>
      </c>
      <c r="D851" s="392">
        <v>6.2198437387189092</v>
      </c>
      <c r="E851" s="294">
        <v>21744.729734461223</v>
      </c>
      <c r="F851" s="272">
        <v>6.2276736856676518</v>
      </c>
      <c r="G851" s="272">
        <v>208.87849345725408</v>
      </c>
      <c r="H851" s="277">
        <v>7.8299469487426165E-3</v>
      </c>
      <c r="J851" s="294">
        <f t="shared" si="39"/>
        <v>165059.46092056332</v>
      </c>
      <c r="K851" s="294">
        <f t="shared" si="40"/>
        <v>165085.48083556833</v>
      </c>
      <c r="L851" s="281">
        <f t="shared" si="41"/>
        <v>1</v>
      </c>
    </row>
    <row r="852" spans="2:12" x14ac:dyDescent="0.15">
      <c r="B852" s="281">
        <v>845</v>
      </c>
      <c r="C852" s="294">
        <v>21543.107395539759</v>
      </c>
      <c r="D852" s="392">
        <v>6.2860033945039033</v>
      </c>
      <c r="E852" s="294">
        <v>21821.346867295324</v>
      </c>
      <c r="F852" s="272">
        <v>6.3110226597217469</v>
      </c>
      <c r="G852" s="272">
        <v>278.23947175556532</v>
      </c>
      <c r="H852" s="277">
        <v>2.5019265217843589E-2</v>
      </c>
      <c r="J852" s="294">
        <f t="shared" si="39"/>
        <v>167036.99443957733</v>
      </c>
      <c r="K852" s="294">
        <f t="shared" si="40"/>
        <v>167509.33292435706</v>
      </c>
      <c r="L852" s="281">
        <f t="shared" si="41"/>
        <v>1</v>
      </c>
    </row>
    <row r="853" spans="2:12" x14ac:dyDescent="0.15">
      <c r="B853" s="281">
        <v>846</v>
      </c>
      <c r="C853" s="294">
        <v>20773.017957070504</v>
      </c>
      <c r="D853" s="392">
        <v>6.2953305451806907</v>
      </c>
      <c r="E853" s="294">
        <v>20923.365229539959</v>
      </c>
      <c r="F853" s="272">
        <v>6.3199321143073259</v>
      </c>
      <c r="G853" s="272">
        <v>150.34727246945477</v>
      </c>
      <c r="H853" s="277">
        <v>2.4601569126635248E-2</v>
      </c>
      <c r="J853" s="294">
        <f t="shared" si="39"/>
        <v>168086.89839835023</v>
      </c>
      <c r="K853" s="294">
        <f t="shared" si="40"/>
        <v>168674.59819967984</v>
      </c>
      <c r="L853" s="281">
        <f t="shared" si="41"/>
        <v>1</v>
      </c>
    </row>
    <row r="854" spans="2:12" x14ac:dyDescent="0.15">
      <c r="B854" s="281">
        <v>847</v>
      </c>
      <c r="C854" s="294">
        <v>21731.927014330191</v>
      </c>
      <c r="D854" s="392">
        <v>6.3509183614597378</v>
      </c>
      <c r="E854" s="294">
        <v>21973.029719236882</v>
      </c>
      <c r="F854" s="272">
        <v>6.3933727034202681</v>
      </c>
      <c r="G854" s="272">
        <v>241.10270490669063</v>
      </c>
      <c r="H854" s="277">
        <v>4.2454341960530328E-2</v>
      </c>
      <c r="J854" s="294">
        <f t="shared" si="39"/>
        <v>168795.62382946193</v>
      </c>
      <c r="K854" s="294">
        <f t="shared" si="40"/>
        <v>169828.15138337115</v>
      </c>
      <c r="L854" s="281">
        <f t="shared" si="41"/>
        <v>1</v>
      </c>
    </row>
    <row r="855" spans="2:12" x14ac:dyDescent="0.15">
      <c r="B855" s="281">
        <v>848</v>
      </c>
      <c r="C855" s="294">
        <v>22767.159924345702</v>
      </c>
      <c r="D855" s="392">
        <v>6.3521499007774969</v>
      </c>
      <c r="E855" s="294">
        <v>23028.425938830263</v>
      </c>
      <c r="F855" s="272">
        <v>6.3925188512625706</v>
      </c>
      <c r="G855" s="272">
        <v>261.26601448456131</v>
      </c>
      <c r="H855" s="277">
        <v>4.0368950485073718E-2</v>
      </c>
      <c r="J855" s="294">
        <f t="shared" si="39"/>
        <v>167797.33709897922</v>
      </c>
      <c r="K855" s="294">
        <f t="shared" si="40"/>
        <v>168747.13959904684</v>
      </c>
      <c r="L855" s="281">
        <f t="shared" si="41"/>
        <v>1</v>
      </c>
    </row>
    <row r="856" spans="2:12" x14ac:dyDescent="0.15">
      <c r="B856" s="281">
        <v>849</v>
      </c>
      <c r="C856" s="294">
        <v>21119.824867301159</v>
      </c>
      <c r="D856" s="392">
        <v>6.3404923373249513</v>
      </c>
      <c r="E856" s="294">
        <v>21483.672144699849</v>
      </c>
      <c r="F856" s="272">
        <v>6.3773536874367078</v>
      </c>
      <c r="G856" s="272">
        <v>363.84727739869049</v>
      </c>
      <c r="H856" s="277">
        <v>3.6861350111756508E-2</v>
      </c>
      <c r="J856" s="294">
        <f t="shared" si="39"/>
        <v>169094.94525244739</v>
      </c>
      <c r="K856" s="294">
        <f t="shared" si="40"/>
        <v>169836.9384784014</v>
      </c>
      <c r="L856" s="281">
        <f t="shared" si="41"/>
        <v>1</v>
      </c>
    </row>
    <row r="857" spans="2:12" x14ac:dyDescent="0.15">
      <c r="B857" s="281">
        <v>850</v>
      </c>
      <c r="C857" s="294">
        <v>21207.275536262139</v>
      </c>
      <c r="D857" s="392">
        <v>6.2743486801078117</v>
      </c>
      <c r="E857" s="294">
        <v>21442.191083722275</v>
      </c>
      <c r="F857" s="272">
        <v>6.3098422046452818</v>
      </c>
      <c r="G857" s="272">
        <v>234.91554746013571</v>
      </c>
      <c r="H857" s="277">
        <v>3.5493524537470122E-2</v>
      </c>
      <c r="J857" s="294">
        <f t="shared" si="39"/>
        <v>167023.18486697221</v>
      </c>
      <c r="K857" s="294">
        <f t="shared" si="40"/>
        <v>167853.07505563617</v>
      </c>
      <c r="L857" s="281">
        <f t="shared" si="41"/>
        <v>1</v>
      </c>
    </row>
    <row r="858" spans="2:12" x14ac:dyDescent="0.15">
      <c r="B858" s="281">
        <v>851</v>
      </c>
      <c r="C858" s="294">
        <v>22042.465605618407</v>
      </c>
      <c r="D858" s="392">
        <v>6.2211796579623515</v>
      </c>
      <c r="E858" s="294">
        <v>22187.162205004355</v>
      </c>
      <c r="F858" s="272">
        <v>6.2558859150007606</v>
      </c>
      <c r="G858" s="272">
        <v>144.6965993859485</v>
      </c>
      <c r="H858" s="277">
        <v>3.4706257038409127E-2</v>
      </c>
      <c r="J858" s="294">
        <f t="shared" si="39"/>
        <v>164592.92413325215</v>
      </c>
      <c r="K858" s="294">
        <f t="shared" si="40"/>
        <v>165489.41524501846</v>
      </c>
      <c r="L858" s="281">
        <f t="shared" si="41"/>
        <v>1</v>
      </c>
    </row>
    <row r="859" spans="2:12" x14ac:dyDescent="0.15">
      <c r="B859" s="281">
        <v>852</v>
      </c>
      <c r="C859" s="294">
        <v>20863.32498098752</v>
      </c>
      <c r="D859" s="392">
        <v>6.2503633753305783</v>
      </c>
      <c r="E859" s="294">
        <v>21038.312084387017</v>
      </c>
      <c r="F859" s="272">
        <v>6.2758006961683002</v>
      </c>
      <c r="G859" s="272">
        <v>174.98710339949685</v>
      </c>
      <c r="H859" s="277">
        <v>2.5437320837721877E-2</v>
      </c>
      <c r="J859" s="294">
        <f t="shared" si="39"/>
        <v>166647.57627892983</v>
      </c>
      <c r="K859" s="294">
        <f t="shared" si="40"/>
        <v>167235.70880066199</v>
      </c>
      <c r="L859" s="281">
        <f t="shared" si="41"/>
        <v>1</v>
      </c>
    </row>
    <row r="860" spans="2:12" x14ac:dyDescent="0.15">
      <c r="B860" s="281">
        <v>853</v>
      </c>
      <c r="C860" s="294">
        <v>22097.367819444647</v>
      </c>
      <c r="D860" s="392">
        <v>6.2728820574108521</v>
      </c>
      <c r="E860" s="294">
        <v>22377.264382634978</v>
      </c>
      <c r="F860" s="272">
        <v>6.2956438261753895</v>
      </c>
      <c r="G860" s="272">
        <v>279.8965631903302</v>
      </c>
      <c r="H860" s="277">
        <v>2.2761768764537393E-2</v>
      </c>
      <c r="J860" s="294">
        <f t="shared" si="39"/>
        <v>166089.09390288091</v>
      </c>
      <c r="K860" s="294">
        <f t="shared" si="40"/>
        <v>166492.05040262672</v>
      </c>
      <c r="L860" s="281">
        <f t="shared" si="41"/>
        <v>1</v>
      </c>
    </row>
    <row r="861" spans="2:12" x14ac:dyDescent="0.15">
      <c r="B861" s="281">
        <v>854</v>
      </c>
      <c r="C861" s="294">
        <v>22124.816680441203</v>
      </c>
      <c r="D861" s="392">
        <v>6.257802917095284</v>
      </c>
      <c r="E861" s="294">
        <v>22423.944176390207</v>
      </c>
      <c r="F861" s="272">
        <v>6.3014716794629058</v>
      </c>
      <c r="G861" s="272">
        <v>299.12749594900379</v>
      </c>
      <c r="H861" s="277">
        <v>4.3668762367621738E-2</v>
      </c>
      <c r="J861" s="294">
        <f t="shared" si="39"/>
        <v>165609.27083241733</v>
      </c>
      <c r="K861" s="294">
        <f t="shared" si="40"/>
        <v>166620.20620749696</v>
      </c>
      <c r="L861" s="281">
        <f t="shared" si="41"/>
        <v>1</v>
      </c>
    </row>
    <row r="862" spans="2:12" x14ac:dyDescent="0.15">
      <c r="B862" s="281">
        <v>855</v>
      </c>
      <c r="C862" s="294">
        <v>21913.475555353267</v>
      </c>
      <c r="D862" s="392">
        <v>6.3161756188344302</v>
      </c>
      <c r="E862" s="294">
        <v>22167.568034598778</v>
      </c>
      <c r="F862" s="272">
        <v>6.3533290624476058</v>
      </c>
      <c r="G862" s="272">
        <v>254.09247924551164</v>
      </c>
      <c r="H862" s="277">
        <v>3.7153443613175519E-2</v>
      </c>
      <c r="J862" s="294">
        <f t="shared" si="39"/>
        <v>167571.79300967962</v>
      </c>
      <c r="K862" s="294">
        <f t="shared" si="40"/>
        <v>168432.30383882939</v>
      </c>
      <c r="L862" s="281">
        <f t="shared" si="41"/>
        <v>1</v>
      </c>
    </row>
    <row r="863" spans="2:12" x14ac:dyDescent="0.15">
      <c r="B863" s="281">
        <v>856</v>
      </c>
      <c r="C863" s="294">
        <v>23401.127404248757</v>
      </c>
      <c r="D863" s="392">
        <v>6.2575799496009914</v>
      </c>
      <c r="E863" s="294">
        <v>23636.334334552659</v>
      </c>
      <c r="F863" s="272">
        <v>6.2870613507746436</v>
      </c>
      <c r="G863" s="272">
        <v>235.20693030390248</v>
      </c>
      <c r="H863" s="277">
        <v>2.9481401173652166E-2</v>
      </c>
      <c r="J863" s="294">
        <f t="shared" si="39"/>
        <v>164326.271083781</v>
      </c>
      <c r="K863" s="294">
        <f t="shared" si="40"/>
        <v>164975.50618868665</v>
      </c>
      <c r="L863" s="281">
        <f t="shared" si="41"/>
        <v>1</v>
      </c>
    </row>
    <row r="864" spans="2:12" x14ac:dyDescent="0.15">
      <c r="B864" s="281">
        <v>857</v>
      </c>
      <c r="C864" s="294">
        <v>23175.158646986518</v>
      </c>
      <c r="D864" s="392">
        <v>6.3146674833835608</v>
      </c>
      <c r="E864" s="294">
        <v>23355.349140764629</v>
      </c>
      <c r="F864" s="272">
        <v>6.3765686385483882</v>
      </c>
      <c r="G864" s="272">
        <v>180.19049377811098</v>
      </c>
      <c r="H864" s="277">
        <v>6.1901155164827415E-2</v>
      </c>
      <c r="J864" s="294">
        <f t="shared" si="39"/>
        <v>166264.86585452029</v>
      </c>
      <c r="K864" s="294">
        <f t="shared" si="40"/>
        <v>167941.71001568701</v>
      </c>
      <c r="L864" s="281">
        <f t="shared" si="41"/>
        <v>1</v>
      </c>
    </row>
    <row r="865" spans="2:12" x14ac:dyDescent="0.15">
      <c r="B865" s="281">
        <v>858</v>
      </c>
      <c r="C865" s="294">
        <v>21603.544351238401</v>
      </c>
      <c r="D865" s="392">
        <v>6.2552248519815894</v>
      </c>
      <c r="E865" s="294">
        <v>21758.559346195925</v>
      </c>
      <c r="F865" s="272">
        <v>6.2847391583328296</v>
      </c>
      <c r="G865" s="272">
        <v>155.01499495752432</v>
      </c>
      <c r="H865" s="277">
        <v>2.9514306351240194E-2</v>
      </c>
      <c r="J865" s="294">
        <f t="shared" si="39"/>
        <v>166053.20120820927</v>
      </c>
      <c r="K865" s="294">
        <f t="shared" si="40"/>
        <v>166783.61540378898</v>
      </c>
      <c r="L865" s="281">
        <f t="shared" si="41"/>
        <v>1</v>
      </c>
    </row>
    <row r="866" spans="2:12" x14ac:dyDescent="0.15">
      <c r="B866" s="281">
        <v>859</v>
      </c>
      <c r="C866" s="294">
        <v>22920.763455600751</v>
      </c>
      <c r="D866" s="392">
        <v>6.3030653122364768</v>
      </c>
      <c r="E866" s="294">
        <v>23079.148169822787</v>
      </c>
      <c r="F866" s="272">
        <v>6.3215214301811651</v>
      </c>
      <c r="G866" s="272">
        <v>158.38471422203656</v>
      </c>
      <c r="H866" s="277">
        <v>1.8456117944688266E-2</v>
      </c>
      <c r="J866" s="294">
        <f t="shared" si="39"/>
        <v>166171.19591149356</v>
      </c>
      <c r="K866" s="294">
        <f t="shared" si="40"/>
        <v>166566.49473561216</v>
      </c>
      <c r="L866" s="281">
        <f t="shared" si="41"/>
        <v>1</v>
      </c>
    </row>
    <row r="867" spans="2:12" x14ac:dyDescent="0.15">
      <c r="B867" s="281">
        <v>860</v>
      </c>
      <c r="C867" s="294">
        <v>21688.076246456509</v>
      </c>
      <c r="D867" s="392">
        <v>6.1646349243999943</v>
      </c>
      <c r="E867" s="294">
        <v>21959.470411934752</v>
      </c>
      <c r="F867" s="272">
        <v>6.2095905903446473</v>
      </c>
      <c r="G867" s="272">
        <v>271.39416547824294</v>
      </c>
      <c r="H867" s="277">
        <v>4.4955665944653056E-2</v>
      </c>
      <c r="J867" s="294">
        <f t="shared" si="39"/>
        <v>163250.97148554333</v>
      </c>
      <c r="K867" s="294">
        <f t="shared" si="40"/>
        <v>164328.24729840466</v>
      </c>
      <c r="L867" s="281">
        <f t="shared" si="41"/>
        <v>1</v>
      </c>
    </row>
    <row r="868" spans="2:12" x14ac:dyDescent="0.15">
      <c r="B868" s="281">
        <v>861</v>
      </c>
      <c r="C868" s="294">
        <v>21593.689279761904</v>
      </c>
      <c r="D868" s="392">
        <v>6.3414789487180059</v>
      </c>
      <c r="E868" s="294">
        <v>21825.749008760613</v>
      </c>
      <c r="F868" s="272">
        <v>6.3757026688132035</v>
      </c>
      <c r="G868" s="272">
        <v>232.05972899870903</v>
      </c>
      <c r="H868" s="277">
        <v>3.4223720095197585E-2</v>
      </c>
      <c r="J868" s="294">
        <f t="shared" si="39"/>
        <v>168650.67918177828</v>
      </c>
      <c r="K868" s="294">
        <f t="shared" si="40"/>
        <v>169445.3310556355</v>
      </c>
      <c r="L868" s="281">
        <f t="shared" si="41"/>
        <v>1</v>
      </c>
    </row>
    <row r="869" spans="2:12" x14ac:dyDescent="0.15">
      <c r="B869" s="281">
        <v>862</v>
      </c>
      <c r="C869" s="294">
        <v>21105.108179589235</v>
      </c>
      <c r="D869" s="392">
        <v>6.3133084412573846</v>
      </c>
      <c r="E869" s="294">
        <v>21350.507429787067</v>
      </c>
      <c r="F869" s="272">
        <v>6.365873458393482</v>
      </c>
      <c r="G869" s="272">
        <v>245.39925019783186</v>
      </c>
      <c r="H869" s="277">
        <v>5.2565017136097403E-2</v>
      </c>
      <c r="J869" s="294">
        <f t="shared" si="39"/>
        <v>168294.1450581323</v>
      </c>
      <c r="K869" s="294">
        <f t="shared" si="40"/>
        <v>169625.69632201738</v>
      </c>
      <c r="L869" s="281">
        <f t="shared" si="41"/>
        <v>1</v>
      </c>
    </row>
    <row r="870" spans="2:12" x14ac:dyDescent="0.15">
      <c r="B870" s="281">
        <v>863</v>
      </c>
      <c r="C870" s="294">
        <v>22401.14100037513</v>
      </c>
      <c r="D870" s="392">
        <v>6.176710326751861</v>
      </c>
      <c r="E870" s="294">
        <v>22639.347335541846</v>
      </c>
      <c r="F870" s="272">
        <v>6.1916915385959399</v>
      </c>
      <c r="G870" s="272">
        <v>238.2063351667166</v>
      </c>
      <c r="H870" s="277">
        <v>1.4981211844078857E-2</v>
      </c>
      <c r="J870" s="294">
        <f t="shared" si="39"/>
        <v>162900.16880218071</v>
      </c>
      <c r="K870" s="294">
        <f t="shared" si="40"/>
        <v>163111.39882233634</v>
      </c>
      <c r="L870" s="281">
        <f t="shared" si="41"/>
        <v>1</v>
      </c>
    </row>
    <row r="871" spans="2:12" x14ac:dyDescent="0.15">
      <c r="B871" s="281">
        <v>864</v>
      </c>
      <c r="C871" s="294">
        <v>23471.291263089108</v>
      </c>
      <c r="D871" s="392">
        <v>6.273591479484371</v>
      </c>
      <c r="E871" s="294">
        <v>23658.334302001236</v>
      </c>
      <c r="F871" s="272">
        <v>6.3282269386561714</v>
      </c>
      <c r="G871" s="272">
        <v>187.0430389121284</v>
      </c>
      <c r="H871" s="277">
        <v>5.4635459171800349E-2</v>
      </c>
      <c r="J871" s="294">
        <f t="shared" si="39"/>
        <v>164736.45312144203</v>
      </c>
      <c r="K871" s="294">
        <f t="shared" si="40"/>
        <v>166188.47385768392</v>
      </c>
      <c r="L871" s="281">
        <f t="shared" si="41"/>
        <v>1</v>
      </c>
    </row>
    <row r="872" spans="2:12" x14ac:dyDescent="0.15">
      <c r="B872" s="281">
        <v>865</v>
      </c>
      <c r="C872" s="294">
        <v>21459.083542953558</v>
      </c>
      <c r="D872" s="392">
        <v>6.2566506803414095</v>
      </c>
      <c r="E872" s="294">
        <v>21705.805618875947</v>
      </c>
      <c r="F872" s="272">
        <v>6.2932725069006654</v>
      </c>
      <c r="G872" s="272">
        <v>246.72207592238919</v>
      </c>
      <c r="H872" s="277">
        <v>3.6621826559255943E-2</v>
      </c>
      <c r="J872" s="294">
        <f t="shared" si="39"/>
        <v>166240.43686728872</v>
      </c>
      <c r="K872" s="294">
        <f t="shared" si="40"/>
        <v>167092.36958814401</v>
      </c>
      <c r="L872" s="281">
        <f t="shared" si="41"/>
        <v>1</v>
      </c>
    </row>
    <row r="873" spans="2:12" x14ac:dyDescent="0.15">
      <c r="B873" s="281">
        <v>866</v>
      </c>
      <c r="C873" s="294">
        <v>21307.324757903141</v>
      </c>
      <c r="D873" s="392">
        <v>6.2648533356445686</v>
      </c>
      <c r="E873" s="294">
        <v>21564.245217694413</v>
      </c>
      <c r="F873" s="272">
        <v>6.3439761229605942</v>
      </c>
      <c r="G873" s="272">
        <v>256.92045979127215</v>
      </c>
      <c r="H873" s="277">
        <v>7.9122787316025622E-2</v>
      </c>
      <c r="J873" s="294">
        <f t="shared" si="39"/>
        <v>166638.27531143391</v>
      </c>
      <c r="K873" s="294">
        <f t="shared" si="40"/>
        <v>168755.03847112341</v>
      </c>
      <c r="L873" s="281">
        <f t="shared" si="41"/>
        <v>1</v>
      </c>
    </row>
    <row r="874" spans="2:12" x14ac:dyDescent="0.15">
      <c r="B874" s="281">
        <v>867</v>
      </c>
      <c r="C874" s="294">
        <v>19881.126337997983</v>
      </c>
      <c r="D874" s="392">
        <v>6.2466058273051654</v>
      </c>
      <c r="E874" s="294">
        <v>20025.582269903611</v>
      </c>
      <c r="F874" s="272">
        <v>6.2356796144709028</v>
      </c>
      <c r="G874" s="272">
        <v>144.45593190562795</v>
      </c>
      <c r="H874" s="277">
        <v>-1.092621283426265E-2</v>
      </c>
      <c r="J874" s="294">
        <f t="shared" si="39"/>
        <v>167517.04848115696</v>
      </c>
      <c r="K874" s="294">
        <f t="shared" si="40"/>
        <v>167044.80616422347</v>
      </c>
      <c r="L874" s="281">
        <f t="shared" si="41"/>
        <v>0</v>
      </c>
    </row>
    <row r="875" spans="2:12" x14ac:dyDescent="0.15">
      <c r="B875" s="281">
        <v>868</v>
      </c>
      <c r="C875" s="294">
        <v>21641.854519995701</v>
      </c>
      <c r="D875" s="392">
        <v>6.2113879366530824</v>
      </c>
      <c r="E875" s="294">
        <v>21853.693356970041</v>
      </c>
      <c r="F875" s="272">
        <v>6.2834070722585027</v>
      </c>
      <c r="G875" s="272">
        <v>211.83883697434067</v>
      </c>
      <c r="H875" s="277">
        <v>7.2019135605420281E-2</v>
      </c>
      <c r="J875" s="294">
        <f t="shared" si="39"/>
        <v>164699.78357959678</v>
      </c>
      <c r="K875" s="294">
        <f t="shared" si="40"/>
        <v>166648.51881078506</v>
      </c>
      <c r="L875" s="281">
        <f t="shared" si="41"/>
        <v>1</v>
      </c>
    </row>
    <row r="876" spans="2:12" x14ac:dyDescent="0.15">
      <c r="B876" s="281">
        <v>869</v>
      </c>
      <c r="C876" s="294">
        <v>19831.447565893748</v>
      </c>
      <c r="D876" s="392">
        <v>6.1852460024690643</v>
      </c>
      <c r="E876" s="294">
        <v>19990.657943187358</v>
      </c>
      <c r="F876" s="272">
        <v>6.2172952441377811</v>
      </c>
      <c r="G876" s="272">
        <v>159.21037729360978</v>
      </c>
      <c r="H876" s="277">
        <v>3.204924166871681E-2</v>
      </c>
      <c r="J876" s="294">
        <f t="shared" si="39"/>
        <v>165725.93250817817</v>
      </c>
      <c r="K876" s="294">
        <f t="shared" si="40"/>
        <v>166528.19938094605</v>
      </c>
      <c r="L876" s="281">
        <f t="shared" si="41"/>
        <v>1</v>
      </c>
    </row>
    <row r="877" spans="2:12" x14ac:dyDescent="0.15">
      <c r="B877" s="281">
        <v>870</v>
      </c>
      <c r="C877" s="294">
        <v>21329.285530848203</v>
      </c>
      <c r="D877" s="392">
        <v>6.2559755425320125</v>
      </c>
      <c r="E877" s="294">
        <v>21553.602846654885</v>
      </c>
      <c r="F877" s="272">
        <v>6.3218426219677681</v>
      </c>
      <c r="G877" s="272">
        <v>224.31731580668202</v>
      </c>
      <c r="H877" s="277">
        <v>6.5867079435755649E-2</v>
      </c>
      <c r="J877" s="294">
        <f t="shared" si="39"/>
        <v>166349.98074511217</v>
      </c>
      <c r="K877" s="294">
        <f t="shared" si="40"/>
        <v>168101.67581237815</v>
      </c>
      <c r="L877" s="281">
        <f t="shared" si="41"/>
        <v>1</v>
      </c>
    </row>
    <row r="878" spans="2:12" x14ac:dyDescent="0.15">
      <c r="B878" s="281">
        <v>871</v>
      </c>
      <c r="C878" s="294">
        <v>21656.597109408212</v>
      </c>
      <c r="D878" s="392">
        <v>6.1440741590299508</v>
      </c>
      <c r="E878" s="294">
        <v>21793.894773639648</v>
      </c>
      <c r="F878" s="272">
        <v>6.1576556492729138</v>
      </c>
      <c r="G878" s="272">
        <v>137.29766423143519</v>
      </c>
      <c r="H878" s="277">
        <v>1.3581490242962957E-2</v>
      </c>
      <c r="J878" s="294">
        <f t="shared" si="39"/>
        <v>162665.62766149032</v>
      </c>
      <c r="K878" s="294">
        <f t="shared" si="40"/>
        <v>162935.77470454777</v>
      </c>
      <c r="L878" s="281">
        <f t="shared" si="41"/>
        <v>1</v>
      </c>
    </row>
    <row r="879" spans="2:12" x14ac:dyDescent="0.15">
      <c r="B879" s="281">
        <v>872</v>
      </c>
      <c r="C879" s="294">
        <v>21677.734711978126</v>
      </c>
      <c r="D879" s="392">
        <v>6.2806431299608265</v>
      </c>
      <c r="E879" s="294">
        <v>21902.85787478061</v>
      </c>
      <c r="F879" s="272">
        <v>6.326372105841064</v>
      </c>
      <c r="G879" s="272">
        <v>225.12316280248342</v>
      </c>
      <c r="H879" s="277">
        <v>4.5728975880237499E-2</v>
      </c>
      <c r="J879" s="294">
        <f t="shared" si="39"/>
        <v>166741.55918684669</v>
      </c>
      <c r="K879" s="294">
        <f t="shared" si="40"/>
        <v>167888.30530045132</v>
      </c>
      <c r="L879" s="281">
        <f t="shared" si="41"/>
        <v>1</v>
      </c>
    </row>
    <row r="880" spans="2:12" x14ac:dyDescent="0.15">
      <c r="B880" s="281">
        <v>873</v>
      </c>
      <c r="C880" s="294">
        <v>21507.083757088807</v>
      </c>
      <c r="D880" s="392">
        <v>6.2630052989393867</v>
      </c>
      <c r="E880" s="294">
        <v>21744.441922399892</v>
      </c>
      <c r="F880" s="272">
        <v>6.273679042722728</v>
      </c>
      <c r="G880" s="272">
        <v>237.35816531108503</v>
      </c>
      <c r="H880" s="277">
        <v>1.0673743783341294E-2</v>
      </c>
      <c r="J880" s="294">
        <f t="shared" si="39"/>
        <v>166383.0752110928</v>
      </c>
      <c r="K880" s="294">
        <f t="shared" si="40"/>
        <v>166465.92935928196</v>
      </c>
      <c r="L880" s="281">
        <f t="shared" si="41"/>
        <v>1</v>
      </c>
    </row>
    <row r="881" spans="2:12" x14ac:dyDescent="0.15">
      <c r="B881" s="281">
        <v>874</v>
      </c>
      <c r="C881" s="294">
        <v>21973.682521671137</v>
      </c>
      <c r="D881" s="392">
        <v>6.2185982440224965</v>
      </c>
      <c r="E881" s="294">
        <v>22280.828294788149</v>
      </c>
      <c r="F881" s="272">
        <v>6.2634987799425561</v>
      </c>
      <c r="G881" s="272">
        <v>307.14577311701214</v>
      </c>
      <c r="H881" s="277">
        <v>4.4900535920059603E-2</v>
      </c>
      <c r="J881" s="294">
        <f t="shared" si="39"/>
        <v>164584.26479900375</v>
      </c>
      <c r="K881" s="294">
        <f t="shared" si="40"/>
        <v>165624.13510348854</v>
      </c>
      <c r="L881" s="281">
        <f t="shared" si="41"/>
        <v>1</v>
      </c>
    </row>
    <row r="882" spans="2:12" x14ac:dyDescent="0.15">
      <c r="B882" s="281">
        <v>875</v>
      </c>
      <c r="C882" s="294">
        <v>22784.255272242914</v>
      </c>
      <c r="D882" s="392">
        <v>6.2016020861964618</v>
      </c>
      <c r="E882" s="294">
        <v>23109.69806779912</v>
      </c>
      <c r="F882" s="272">
        <v>6.2531856100195311</v>
      </c>
      <c r="G882" s="272">
        <v>325.44279555620597</v>
      </c>
      <c r="H882" s="277">
        <v>5.1583523823069299E-2</v>
      </c>
      <c r="J882" s="294">
        <f t="shared" si="39"/>
        <v>163263.80731365093</v>
      </c>
      <c r="K882" s="294">
        <f t="shared" si="40"/>
        <v>164485.87023278681</v>
      </c>
      <c r="L882" s="281">
        <f t="shared" si="41"/>
        <v>1</v>
      </c>
    </row>
    <row r="883" spans="2:12" x14ac:dyDescent="0.15">
      <c r="B883" s="281">
        <v>876</v>
      </c>
      <c r="C883" s="294">
        <v>20665.181532170951</v>
      </c>
      <c r="D883" s="392">
        <v>6.3426375477579384</v>
      </c>
      <c r="E883" s="294">
        <v>20941.456309378609</v>
      </c>
      <c r="F883" s="272">
        <v>6.3713336048907099</v>
      </c>
      <c r="G883" s="272">
        <v>276.27477720765819</v>
      </c>
      <c r="H883" s="277">
        <v>2.8696057132771458E-2</v>
      </c>
      <c r="J883" s="294">
        <f t="shared" si="39"/>
        <v>169613.94490056721</v>
      </c>
      <c r="K883" s="294">
        <f t="shared" si="40"/>
        <v>170198.55183734267</v>
      </c>
      <c r="L883" s="281">
        <f t="shared" si="41"/>
        <v>1</v>
      </c>
    </row>
    <row r="884" spans="2:12" x14ac:dyDescent="0.15">
      <c r="B884" s="281">
        <v>877</v>
      </c>
      <c r="C884" s="294">
        <v>21984.249609770221</v>
      </c>
      <c r="D884" s="392">
        <v>6.256820120264222</v>
      </c>
      <c r="E884" s="294">
        <v>22238.151238549526</v>
      </c>
      <c r="F884" s="272">
        <v>6.3081856023839142</v>
      </c>
      <c r="G884" s="272">
        <v>253.90162877930561</v>
      </c>
      <c r="H884" s="277">
        <v>5.1365482119692274E-2</v>
      </c>
      <c r="J884" s="294">
        <f t="shared" si="39"/>
        <v>165720.35399815644</v>
      </c>
      <c r="K884" s="294">
        <f t="shared" si="40"/>
        <v>167007.41683296789</v>
      </c>
      <c r="L884" s="281">
        <f t="shared" si="41"/>
        <v>1</v>
      </c>
    </row>
    <row r="885" spans="2:12" x14ac:dyDescent="0.15">
      <c r="B885" s="281">
        <v>878</v>
      </c>
      <c r="C885" s="294">
        <v>21539.365244636541</v>
      </c>
      <c r="D885" s="392">
        <v>6.1945904890328727</v>
      </c>
      <c r="E885" s="294">
        <v>21682.12625359248</v>
      </c>
      <c r="F885" s="272">
        <v>6.2282206742459492</v>
      </c>
      <c r="G885" s="272">
        <v>142.76100895593845</v>
      </c>
      <c r="H885" s="277">
        <v>3.363018521307648E-2</v>
      </c>
      <c r="J885" s="294">
        <f t="shared" si="39"/>
        <v>164298.34942634962</v>
      </c>
      <c r="K885" s="294">
        <f t="shared" si="40"/>
        <v>165164.49397378598</v>
      </c>
      <c r="L885" s="281">
        <f t="shared" si="41"/>
        <v>1</v>
      </c>
    </row>
    <row r="886" spans="2:12" x14ac:dyDescent="0.15">
      <c r="B886" s="281">
        <v>879</v>
      </c>
      <c r="C886" s="294">
        <v>20512.074956043482</v>
      </c>
      <c r="D886" s="392">
        <v>6.1977148227877512</v>
      </c>
      <c r="E886" s="294">
        <v>20732.593184458841</v>
      </c>
      <c r="F886" s="272">
        <v>6.27192341654884</v>
      </c>
      <c r="G886" s="272">
        <v>220.51822841535977</v>
      </c>
      <c r="H886" s="277">
        <v>7.4208593761088792E-2</v>
      </c>
      <c r="J886" s="294">
        <f t="shared" si="39"/>
        <v>165419.36972758904</v>
      </c>
      <c r="K886" s="294">
        <f t="shared" si="40"/>
        <v>167425.10931200636</v>
      </c>
      <c r="L886" s="281">
        <f t="shared" si="41"/>
        <v>1</v>
      </c>
    </row>
    <row r="887" spans="2:12" x14ac:dyDescent="0.15">
      <c r="B887" s="281">
        <v>880</v>
      </c>
      <c r="C887" s="294">
        <v>23426.684479688807</v>
      </c>
      <c r="D887" s="392">
        <v>6.295385576265188</v>
      </c>
      <c r="E887" s="294">
        <v>23700.311596901331</v>
      </c>
      <c r="F887" s="272">
        <v>6.3548795251003396</v>
      </c>
      <c r="G887" s="272">
        <v>273.62711721252344</v>
      </c>
      <c r="H887" s="277">
        <v>5.9493948835151578E-2</v>
      </c>
      <c r="J887" s="294">
        <f t="shared" si="39"/>
        <v>165434.88280826682</v>
      </c>
      <c r="K887" s="294">
        <f t="shared" si="40"/>
        <v>166946.07415610887</v>
      </c>
      <c r="L887" s="281">
        <f t="shared" si="41"/>
        <v>1</v>
      </c>
    </row>
    <row r="888" spans="2:12" x14ac:dyDescent="0.15">
      <c r="B888" s="281">
        <v>881</v>
      </c>
      <c r="C888" s="294">
        <v>21050.46531449513</v>
      </c>
      <c r="D888" s="392">
        <v>6.2881142388663749</v>
      </c>
      <c r="E888" s="294">
        <v>21414.635866442419</v>
      </c>
      <c r="F888" s="272">
        <v>6.3423164545687323</v>
      </c>
      <c r="G888" s="272">
        <v>364.17055194728891</v>
      </c>
      <c r="H888" s="277">
        <v>5.4202215702357393E-2</v>
      </c>
      <c r="J888" s="294">
        <f t="shared" si="39"/>
        <v>167592.96185149613</v>
      </c>
      <c r="K888" s="294">
        <f t="shared" si="40"/>
        <v>168854.85777061956</v>
      </c>
      <c r="L888" s="281">
        <f t="shared" si="41"/>
        <v>1</v>
      </c>
    </row>
    <row r="889" spans="2:12" x14ac:dyDescent="0.15">
      <c r="B889" s="281">
        <v>882</v>
      </c>
      <c r="C889" s="294">
        <v>21093.424090240045</v>
      </c>
      <c r="D889" s="392">
        <v>6.2886068337505625</v>
      </c>
      <c r="E889" s="294">
        <v>21295.060441460217</v>
      </c>
      <c r="F889" s="272">
        <v>6.3294896626105999</v>
      </c>
      <c r="G889" s="272">
        <v>201.63635122017149</v>
      </c>
      <c r="H889" s="277">
        <v>4.0882828860037357E-2</v>
      </c>
      <c r="J889" s="294">
        <f t="shared" si="39"/>
        <v>167564.78092227684</v>
      </c>
      <c r="K889" s="294">
        <f t="shared" si="40"/>
        <v>168589.62943685777</v>
      </c>
      <c r="L889" s="281">
        <f t="shared" si="41"/>
        <v>1</v>
      </c>
    </row>
    <row r="890" spans="2:12" x14ac:dyDescent="0.15">
      <c r="B890" s="281">
        <v>883</v>
      </c>
      <c r="C890" s="294">
        <v>21594.650445956777</v>
      </c>
      <c r="D890" s="392">
        <v>6.1679335853121078</v>
      </c>
      <c r="E890" s="294">
        <v>21801.977313990872</v>
      </c>
      <c r="F890" s="272">
        <v>6.2116798730536082</v>
      </c>
      <c r="G890" s="272">
        <v>207.32686803409524</v>
      </c>
      <c r="H890" s="277">
        <v>4.3746287741500467E-2</v>
      </c>
      <c r="J890" s="294">
        <f t="shared" si="39"/>
        <v>163443.35711340647</v>
      </c>
      <c r="K890" s="294">
        <f t="shared" si="40"/>
        <v>164548.41887761737</v>
      </c>
      <c r="L890" s="281">
        <f t="shared" si="41"/>
        <v>1</v>
      </c>
    </row>
    <row r="891" spans="2:12" x14ac:dyDescent="0.15">
      <c r="B891" s="281">
        <v>884</v>
      </c>
      <c r="C891" s="294">
        <v>21858.444864794488</v>
      </c>
      <c r="D891" s="392">
        <v>6.2313864982050973</v>
      </c>
      <c r="E891" s="294">
        <v>22143.673796708204</v>
      </c>
      <c r="F891" s="272">
        <v>6.2442423723821374</v>
      </c>
      <c r="G891" s="272">
        <v>285.22893191371622</v>
      </c>
      <c r="H891" s="277">
        <v>1.285587417704015E-2</v>
      </c>
      <c r="J891" s="294">
        <f t="shared" si="39"/>
        <v>165083.15008135841</v>
      </c>
      <c r="K891" s="294">
        <f t="shared" si="40"/>
        <v>165183.59737475592</v>
      </c>
      <c r="L891" s="281">
        <f t="shared" si="41"/>
        <v>1</v>
      </c>
    </row>
    <row r="892" spans="2:12" x14ac:dyDescent="0.15">
      <c r="B892" s="281">
        <v>885</v>
      </c>
      <c r="C892" s="294">
        <v>20145.832814151476</v>
      </c>
      <c r="D892" s="392">
        <v>6.3868300842470438</v>
      </c>
      <c r="E892" s="294">
        <v>20290.421120613712</v>
      </c>
      <c r="F892" s="272">
        <v>6.4160725456718648</v>
      </c>
      <c r="G892" s="272">
        <v>144.58830646223578</v>
      </c>
      <c r="H892" s="277">
        <v>2.9242461424821009E-2</v>
      </c>
      <c r="J892" s="294">
        <f t="shared" si="39"/>
        <v>171459.06971325984</v>
      </c>
      <c r="K892" s="294">
        <f t="shared" si="40"/>
        <v>172191.75524954224</v>
      </c>
      <c r="L892" s="281">
        <f t="shared" si="41"/>
        <v>1</v>
      </c>
    </row>
    <row r="893" spans="2:12" x14ac:dyDescent="0.15">
      <c r="B893" s="281">
        <v>886</v>
      </c>
      <c r="C893" s="294">
        <v>21755.017524102972</v>
      </c>
      <c r="D893" s="392">
        <v>6.3215875094878049</v>
      </c>
      <c r="E893" s="294">
        <v>21941.355350018941</v>
      </c>
      <c r="F893" s="272">
        <v>6.3768352465104705</v>
      </c>
      <c r="G893" s="272">
        <v>186.33782591596901</v>
      </c>
      <c r="H893" s="277">
        <v>5.5247737022665611E-2</v>
      </c>
      <c r="J893" s="294">
        <f t="shared" si="39"/>
        <v>167892.60776053119</v>
      </c>
      <c r="K893" s="294">
        <f t="shared" si="40"/>
        <v>169363.70204529518</v>
      </c>
      <c r="L893" s="281">
        <f t="shared" si="41"/>
        <v>1</v>
      </c>
    </row>
    <row r="894" spans="2:12" x14ac:dyDescent="0.15">
      <c r="B894" s="281">
        <v>887</v>
      </c>
      <c r="C894" s="294">
        <v>21022.966307961262</v>
      </c>
      <c r="D894" s="392">
        <v>6.3279873322993323</v>
      </c>
      <c r="E894" s="294">
        <v>21197.006238606402</v>
      </c>
      <c r="F894" s="272">
        <v>6.3593423375235894</v>
      </c>
      <c r="G894" s="272">
        <v>174.03993064513998</v>
      </c>
      <c r="H894" s="277">
        <v>3.1355005224257049E-2</v>
      </c>
      <c r="J894" s="294">
        <f t="shared" si="39"/>
        <v>168816.6536610187</v>
      </c>
      <c r="K894" s="294">
        <f t="shared" si="40"/>
        <v>169583.26388710126</v>
      </c>
      <c r="L894" s="281">
        <f t="shared" si="41"/>
        <v>1</v>
      </c>
    </row>
    <row r="895" spans="2:12" x14ac:dyDescent="0.15">
      <c r="B895" s="281">
        <v>888</v>
      </c>
      <c r="C895" s="294">
        <v>22280.912862432473</v>
      </c>
      <c r="D895" s="392">
        <v>6.3313380860924529</v>
      </c>
      <c r="E895" s="294">
        <v>22535.229400581415</v>
      </c>
      <c r="F895" s="272">
        <v>6.3722783705884343</v>
      </c>
      <c r="G895" s="272">
        <v>254.31653814894162</v>
      </c>
      <c r="H895" s="277">
        <v>4.0940284495981416E-2</v>
      </c>
      <c r="J895" s="294">
        <f t="shared" si="39"/>
        <v>167659.2297203411</v>
      </c>
      <c r="K895" s="294">
        <f t="shared" si="40"/>
        <v>168633.1217170716</v>
      </c>
      <c r="L895" s="281">
        <f t="shared" si="41"/>
        <v>1</v>
      </c>
    </row>
    <row r="896" spans="2:12" x14ac:dyDescent="0.15">
      <c r="B896" s="281">
        <v>889</v>
      </c>
      <c r="C896" s="294">
        <v>20912.903909603945</v>
      </c>
      <c r="D896" s="392">
        <v>6.2418673783919649</v>
      </c>
      <c r="E896" s="294">
        <v>21112.861771329477</v>
      </c>
      <c r="F896" s="272">
        <v>6.2539210834994963</v>
      </c>
      <c r="G896" s="272">
        <v>199.95786172553198</v>
      </c>
      <c r="H896" s="277">
        <v>1.2053705107531343E-2</v>
      </c>
      <c r="J896" s="294">
        <f t="shared" si="39"/>
        <v>166343.11744215499</v>
      </c>
      <c r="K896" s="294">
        <f t="shared" si="40"/>
        <v>166504.7707336554</v>
      </c>
      <c r="L896" s="281">
        <f t="shared" si="41"/>
        <v>1</v>
      </c>
    </row>
    <row r="897" spans="2:12" x14ac:dyDescent="0.15">
      <c r="B897" s="281">
        <v>890</v>
      </c>
      <c r="C897" s="294">
        <v>20311.697919646656</v>
      </c>
      <c r="D897" s="392">
        <v>6.3234834619882294</v>
      </c>
      <c r="E897" s="294">
        <v>20497.193602465079</v>
      </c>
      <c r="F897" s="272">
        <v>6.354099288308463</v>
      </c>
      <c r="G897" s="272">
        <v>185.49568281842221</v>
      </c>
      <c r="H897" s="277">
        <v>3.061582632023363E-2</v>
      </c>
      <c r="J897" s="294">
        <f t="shared" si="39"/>
        <v>169392.80594000022</v>
      </c>
      <c r="K897" s="294">
        <f t="shared" si="40"/>
        <v>170125.78504678881</v>
      </c>
      <c r="L897" s="281">
        <f t="shared" si="41"/>
        <v>1</v>
      </c>
    </row>
    <row r="898" spans="2:12" x14ac:dyDescent="0.15">
      <c r="B898" s="281">
        <v>891</v>
      </c>
      <c r="C898" s="294">
        <v>22085.21679915789</v>
      </c>
      <c r="D898" s="392">
        <v>6.0381930734799223</v>
      </c>
      <c r="E898" s="294">
        <v>22293.18573164344</v>
      </c>
      <c r="F898" s="272">
        <v>6.0790460898673082</v>
      </c>
      <c r="G898" s="272">
        <v>207.96893248554989</v>
      </c>
      <c r="H898" s="277">
        <v>4.0853016387385921E-2</v>
      </c>
      <c r="J898" s="294">
        <f t="shared" si="39"/>
        <v>159060.57540523977</v>
      </c>
      <c r="K898" s="294">
        <f t="shared" si="40"/>
        <v>160078.19696437582</v>
      </c>
      <c r="L898" s="281">
        <f t="shared" si="41"/>
        <v>1</v>
      </c>
    </row>
    <row r="899" spans="2:12" x14ac:dyDescent="0.15">
      <c r="B899" s="281">
        <v>892</v>
      </c>
      <c r="C899" s="294">
        <v>21501.877058646027</v>
      </c>
      <c r="D899" s="392">
        <v>6.1764256743679402</v>
      </c>
      <c r="E899" s="294">
        <v>21693.64679984736</v>
      </c>
      <c r="F899" s="272">
        <v>6.1886023006760045</v>
      </c>
      <c r="G899" s="272">
        <v>191.76974120133309</v>
      </c>
      <c r="H899" s="277">
        <v>1.2176626308064264E-2</v>
      </c>
      <c r="J899" s="294">
        <f t="shared" si="39"/>
        <v>163790.89317239219</v>
      </c>
      <c r="K899" s="294">
        <f t="shared" si="40"/>
        <v>163964.42222043275</v>
      </c>
      <c r="L899" s="281">
        <f t="shared" si="41"/>
        <v>1</v>
      </c>
    </row>
    <row r="900" spans="2:12" x14ac:dyDescent="0.15">
      <c r="B900" s="281">
        <v>893</v>
      </c>
      <c r="C900" s="294">
        <v>21528.298030571572</v>
      </c>
      <c r="D900" s="392">
        <v>6.2487694455411384</v>
      </c>
      <c r="E900" s="294">
        <v>21867.018908410144</v>
      </c>
      <c r="F900" s="272">
        <v>6.3212601210804902</v>
      </c>
      <c r="G900" s="272">
        <v>338.72087783857205</v>
      </c>
      <c r="H900" s="277">
        <v>7.2490675539351734E-2</v>
      </c>
      <c r="J900" s="294">
        <f t="shared" si="39"/>
        <v>165934.78533566257</v>
      </c>
      <c r="K900" s="294">
        <f t="shared" si="40"/>
        <v>167770.78472400457</v>
      </c>
      <c r="L900" s="281">
        <f t="shared" si="41"/>
        <v>1</v>
      </c>
    </row>
    <row r="901" spans="2:12" x14ac:dyDescent="0.15">
      <c r="B901" s="281">
        <v>894</v>
      </c>
      <c r="C901" s="294">
        <v>21083.363999333713</v>
      </c>
      <c r="D901" s="392">
        <v>6.2817873656278458</v>
      </c>
      <c r="E901" s="294">
        <v>21251.50684984916</v>
      </c>
      <c r="F901" s="272">
        <v>6.3274841988929236</v>
      </c>
      <c r="G901" s="272">
        <v>168.14285051544721</v>
      </c>
      <c r="H901" s="277">
        <v>4.5696833265077785E-2</v>
      </c>
      <c r="J901" s="294">
        <f t="shared" si="39"/>
        <v>167370.25696950167</v>
      </c>
      <c r="K901" s="294">
        <f t="shared" si="40"/>
        <v>168573.01911693855</v>
      </c>
      <c r="L901" s="281">
        <f t="shared" si="41"/>
        <v>1</v>
      </c>
    </row>
    <row r="902" spans="2:12" x14ac:dyDescent="0.15">
      <c r="B902" s="281">
        <v>895</v>
      </c>
      <c r="C902" s="294">
        <v>21566.620259580799</v>
      </c>
      <c r="D902" s="392">
        <v>6.224719492958382</v>
      </c>
      <c r="E902" s="294">
        <v>21917.289682377112</v>
      </c>
      <c r="F902" s="272">
        <v>6.2782521320850266</v>
      </c>
      <c r="G902" s="272">
        <v>350.66942279631257</v>
      </c>
      <c r="H902" s="277">
        <v>5.3532639126644632E-2</v>
      </c>
      <c r="J902" s="294">
        <f t="shared" si="39"/>
        <v>165174.96452917065</v>
      </c>
      <c r="K902" s="294">
        <f t="shared" si="40"/>
        <v>166430.2742801737</v>
      </c>
      <c r="L902" s="281">
        <f t="shared" si="41"/>
        <v>1</v>
      </c>
    </row>
    <row r="903" spans="2:12" x14ac:dyDescent="0.15">
      <c r="B903" s="281">
        <v>896</v>
      </c>
      <c r="C903" s="294">
        <v>21839.628606202918</v>
      </c>
      <c r="D903" s="392">
        <v>6.3233393462289191</v>
      </c>
      <c r="E903" s="294">
        <v>22022.619210308327</v>
      </c>
      <c r="F903" s="272">
        <v>6.35363563909414</v>
      </c>
      <c r="G903" s="272">
        <v>182.99060410540915</v>
      </c>
      <c r="H903" s="277">
        <v>3.0296292865220842E-2</v>
      </c>
      <c r="J903" s="294">
        <f t="shared" si="39"/>
        <v>167860.55178066465</v>
      </c>
      <c r="K903" s="294">
        <f t="shared" si="40"/>
        <v>168586.44996251588</v>
      </c>
      <c r="L903" s="281">
        <f t="shared" si="41"/>
        <v>1</v>
      </c>
    </row>
    <row r="904" spans="2:12" x14ac:dyDescent="0.15">
      <c r="B904" s="281">
        <v>897</v>
      </c>
      <c r="C904" s="294">
        <v>19928.230589860508</v>
      </c>
      <c r="D904" s="392">
        <v>6.2074873916136806</v>
      </c>
      <c r="E904" s="294">
        <v>20071.571692155474</v>
      </c>
      <c r="F904" s="272">
        <v>6.2080392112909211</v>
      </c>
      <c r="G904" s="272">
        <v>143.34110229496582</v>
      </c>
      <c r="H904" s="277">
        <v>5.5181967724049485E-4</v>
      </c>
      <c r="J904" s="294">
        <f t="shared" ref="J904:J967" si="42">(D904*wtp)-C904</f>
        <v>166296.39115854993</v>
      </c>
      <c r="K904" s="294">
        <f t="shared" ref="K904:K967" si="43">(F904*wtp)-E904</f>
        <v>166169.60464657217</v>
      </c>
      <c r="L904" s="281">
        <f t="shared" si="41"/>
        <v>0</v>
      </c>
    </row>
    <row r="905" spans="2:12" x14ac:dyDescent="0.15">
      <c r="B905" s="281">
        <v>898</v>
      </c>
      <c r="C905" s="294">
        <v>20938.08053456452</v>
      </c>
      <c r="D905" s="392">
        <v>6.3114661919678143</v>
      </c>
      <c r="E905" s="294">
        <v>21091.961569333795</v>
      </c>
      <c r="F905" s="272">
        <v>6.3131832444373428</v>
      </c>
      <c r="G905" s="272">
        <v>153.88103476927427</v>
      </c>
      <c r="H905" s="277">
        <v>1.7170524695284684E-3</v>
      </c>
      <c r="J905" s="294">
        <f t="shared" si="42"/>
        <v>168405.9052244699</v>
      </c>
      <c r="K905" s="294">
        <f t="shared" si="43"/>
        <v>168303.53576378649</v>
      </c>
      <c r="L905" s="281">
        <f t="shared" ref="L905:L968" si="44">IF(K905&gt;J905,1,0)</f>
        <v>0</v>
      </c>
    </row>
    <row r="906" spans="2:12" x14ac:dyDescent="0.15">
      <c r="B906" s="281">
        <v>899</v>
      </c>
      <c r="C906" s="294">
        <v>21067.145214197961</v>
      </c>
      <c r="D906" s="392">
        <v>6.2529081517297485</v>
      </c>
      <c r="E906" s="294">
        <v>21312.63877504164</v>
      </c>
      <c r="F906" s="272">
        <v>6.2879817794309858</v>
      </c>
      <c r="G906" s="272">
        <v>245.49356084367901</v>
      </c>
      <c r="H906" s="277">
        <v>3.5073627701237342E-2</v>
      </c>
      <c r="J906" s="294">
        <f t="shared" si="42"/>
        <v>166520.0993376945</v>
      </c>
      <c r="K906" s="294">
        <f t="shared" si="43"/>
        <v>167326.81460788794</v>
      </c>
      <c r="L906" s="281">
        <f t="shared" si="44"/>
        <v>1</v>
      </c>
    </row>
    <row r="907" spans="2:12" x14ac:dyDescent="0.15">
      <c r="B907" s="281">
        <v>900</v>
      </c>
      <c r="C907" s="294">
        <v>21933.062119608679</v>
      </c>
      <c r="D907" s="392">
        <v>6.3118046037875537</v>
      </c>
      <c r="E907" s="294">
        <v>22268.091437835054</v>
      </c>
      <c r="F907" s="272">
        <v>6.3567456607396036</v>
      </c>
      <c r="G907" s="272">
        <v>335.02931822637402</v>
      </c>
      <c r="H907" s="277">
        <v>4.4941056952049863E-2</v>
      </c>
      <c r="J907" s="294">
        <f t="shared" si="42"/>
        <v>167421.07599401791</v>
      </c>
      <c r="K907" s="294">
        <f t="shared" si="43"/>
        <v>168434.27838435306</v>
      </c>
      <c r="L907" s="281">
        <f t="shared" si="44"/>
        <v>1</v>
      </c>
    </row>
    <row r="908" spans="2:12" x14ac:dyDescent="0.15">
      <c r="B908" s="281">
        <v>901</v>
      </c>
      <c r="C908" s="294">
        <v>21342.155046141415</v>
      </c>
      <c r="D908" s="392">
        <v>6.252142718549023</v>
      </c>
      <c r="E908" s="294">
        <v>21525.835357848289</v>
      </c>
      <c r="F908" s="272">
        <v>6.2651451396982845</v>
      </c>
      <c r="G908" s="272">
        <v>183.68031170687391</v>
      </c>
      <c r="H908" s="277">
        <v>1.3002421149261423E-2</v>
      </c>
      <c r="J908" s="294">
        <f t="shared" si="42"/>
        <v>166222.12651032928</v>
      </c>
      <c r="K908" s="294">
        <f t="shared" si="43"/>
        <v>166428.51883310024</v>
      </c>
      <c r="L908" s="281">
        <f t="shared" si="44"/>
        <v>1</v>
      </c>
    </row>
    <row r="909" spans="2:12" x14ac:dyDescent="0.15">
      <c r="B909" s="281">
        <v>902</v>
      </c>
      <c r="C909" s="294">
        <v>20925.477207992793</v>
      </c>
      <c r="D909" s="392">
        <v>6.2588088667434514</v>
      </c>
      <c r="E909" s="294">
        <v>21050.073124022994</v>
      </c>
      <c r="F909" s="272">
        <v>6.2898577519732903</v>
      </c>
      <c r="G909" s="272">
        <v>124.5959160302009</v>
      </c>
      <c r="H909" s="277">
        <v>3.1048885229838952E-2</v>
      </c>
      <c r="J909" s="294">
        <f t="shared" si="42"/>
        <v>166838.78879431076</v>
      </c>
      <c r="K909" s="294">
        <f t="shared" si="43"/>
        <v>167645.65943517571</v>
      </c>
      <c r="L909" s="281">
        <f t="shared" si="44"/>
        <v>1</v>
      </c>
    </row>
    <row r="910" spans="2:12" x14ac:dyDescent="0.15">
      <c r="B910" s="281">
        <v>903</v>
      </c>
      <c r="C910" s="294">
        <v>21552.286393861996</v>
      </c>
      <c r="D910" s="392">
        <v>6.3628849235031453</v>
      </c>
      <c r="E910" s="294">
        <v>21744.643850093613</v>
      </c>
      <c r="F910" s="272">
        <v>6.408067488347541</v>
      </c>
      <c r="G910" s="272">
        <v>192.35745623161711</v>
      </c>
      <c r="H910" s="277">
        <v>4.5182564844395756E-2</v>
      </c>
      <c r="J910" s="294">
        <f t="shared" si="42"/>
        <v>169334.26131123237</v>
      </c>
      <c r="K910" s="294">
        <f t="shared" si="43"/>
        <v>170497.38080033261</v>
      </c>
      <c r="L910" s="281">
        <f t="shared" si="44"/>
        <v>1</v>
      </c>
    </row>
    <row r="911" spans="2:12" x14ac:dyDescent="0.15">
      <c r="B911" s="281">
        <v>904</v>
      </c>
      <c r="C911" s="294">
        <v>21711.242650882366</v>
      </c>
      <c r="D911" s="392">
        <v>6.3275561772909654</v>
      </c>
      <c r="E911" s="294">
        <v>22013.858105526881</v>
      </c>
      <c r="F911" s="272">
        <v>6.3816751519979578</v>
      </c>
      <c r="G911" s="272">
        <v>302.6154546445141</v>
      </c>
      <c r="H911" s="277">
        <v>5.411897470699234E-2</v>
      </c>
      <c r="J911" s="294">
        <f t="shared" si="42"/>
        <v>168115.4426678466</v>
      </c>
      <c r="K911" s="294">
        <f t="shared" si="43"/>
        <v>169436.39645441185</v>
      </c>
      <c r="L911" s="281">
        <f t="shared" si="44"/>
        <v>1</v>
      </c>
    </row>
    <row r="912" spans="2:12" x14ac:dyDescent="0.15">
      <c r="B912" s="281">
        <v>905</v>
      </c>
      <c r="C912" s="294">
        <v>21085.292001519865</v>
      </c>
      <c r="D912" s="392">
        <v>6.2156860819360222</v>
      </c>
      <c r="E912" s="294">
        <v>21371.172554877143</v>
      </c>
      <c r="F912" s="272">
        <v>6.2876268520841352</v>
      </c>
      <c r="G912" s="272">
        <v>285.88055335727768</v>
      </c>
      <c r="H912" s="277">
        <v>7.1940770148112954E-2</v>
      </c>
      <c r="J912" s="294">
        <f t="shared" si="42"/>
        <v>165385.29045656079</v>
      </c>
      <c r="K912" s="294">
        <f t="shared" si="43"/>
        <v>167257.63300764692</v>
      </c>
      <c r="L912" s="281">
        <f t="shared" si="44"/>
        <v>1</v>
      </c>
    </row>
    <row r="913" spans="2:12" x14ac:dyDescent="0.15">
      <c r="B913" s="281">
        <v>906</v>
      </c>
      <c r="C913" s="294">
        <v>21237.619782918413</v>
      </c>
      <c r="D913" s="392">
        <v>6.2109642376615293</v>
      </c>
      <c r="E913" s="294">
        <v>21412.964659131234</v>
      </c>
      <c r="F913" s="272">
        <v>6.266384611237342</v>
      </c>
      <c r="G913" s="272">
        <v>175.34487621282096</v>
      </c>
      <c r="H913" s="277">
        <v>5.5420373575812754E-2</v>
      </c>
      <c r="J913" s="294">
        <f t="shared" si="42"/>
        <v>165091.30734692747</v>
      </c>
      <c r="K913" s="294">
        <f t="shared" si="43"/>
        <v>166578.57367798901</v>
      </c>
      <c r="L913" s="281">
        <f t="shared" si="44"/>
        <v>1</v>
      </c>
    </row>
    <row r="914" spans="2:12" x14ac:dyDescent="0.15">
      <c r="B914" s="281">
        <v>907</v>
      </c>
      <c r="C914" s="294">
        <v>20086.92167463346</v>
      </c>
      <c r="D914" s="392">
        <v>6.2091840789424362</v>
      </c>
      <c r="E914" s="294">
        <v>20085.950419574579</v>
      </c>
      <c r="F914" s="272">
        <v>6.1946477532256239</v>
      </c>
      <c r="G914" s="272">
        <v>-0.97125505888107</v>
      </c>
      <c r="H914" s="277">
        <v>-1.4536325716812293E-2</v>
      </c>
      <c r="J914" s="294">
        <f t="shared" si="42"/>
        <v>166188.60069363963</v>
      </c>
      <c r="K914" s="294">
        <f t="shared" si="43"/>
        <v>165753.48217719415</v>
      </c>
      <c r="L914" s="281">
        <f t="shared" si="44"/>
        <v>0</v>
      </c>
    </row>
    <row r="915" spans="2:12" x14ac:dyDescent="0.15">
      <c r="B915" s="281">
        <v>908</v>
      </c>
      <c r="C915" s="294">
        <v>21763.399253429616</v>
      </c>
      <c r="D915" s="392">
        <v>6.1476636492352261</v>
      </c>
      <c r="E915" s="294">
        <v>22054.890063541774</v>
      </c>
      <c r="F915" s="272">
        <v>6.2002945049645053</v>
      </c>
      <c r="G915" s="272">
        <v>291.49081011215821</v>
      </c>
      <c r="H915" s="277">
        <v>5.2630855729279169E-2</v>
      </c>
      <c r="J915" s="294">
        <f t="shared" si="42"/>
        <v>162666.51022362718</v>
      </c>
      <c r="K915" s="294">
        <f t="shared" si="43"/>
        <v>163953.94508539338</v>
      </c>
      <c r="L915" s="281">
        <f t="shared" si="44"/>
        <v>1</v>
      </c>
    </row>
    <row r="916" spans="2:12" x14ac:dyDescent="0.15">
      <c r="B916" s="281">
        <v>909</v>
      </c>
      <c r="C916" s="294">
        <v>22038.896559845209</v>
      </c>
      <c r="D916" s="392">
        <v>6.2963429632102397</v>
      </c>
      <c r="E916" s="294">
        <v>22305.251008909861</v>
      </c>
      <c r="F916" s="272">
        <v>6.347196858100169</v>
      </c>
      <c r="G916" s="272">
        <v>266.35444906465273</v>
      </c>
      <c r="H916" s="277">
        <v>5.0853894889929308E-2</v>
      </c>
      <c r="J916" s="294">
        <f t="shared" si="42"/>
        <v>166851.39233646198</v>
      </c>
      <c r="K916" s="294">
        <f t="shared" si="43"/>
        <v>168110.65473409521</v>
      </c>
      <c r="L916" s="281">
        <f t="shared" si="44"/>
        <v>1</v>
      </c>
    </row>
    <row r="917" spans="2:12" x14ac:dyDescent="0.15">
      <c r="B917" s="281">
        <v>910</v>
      </c>
      <c r="C917" s="294">
        <v>20099.538763367284</v>
      </c>
      <c r="D917" s="392">
        <v>6.3259061996617048</v>
      </c>
      <c r="E917" s="294">
        <v>20280.663003036261</v>
      </c>
      <c r="F917" s="272">
        <v>6.3304095554183508</v>
      </c>
      <c r="G917" s="272">
        <v>181.12423966897768</v>
      </c>
      <c r="H917" s="277">
        <v>4.5033557566460658E-3</v>
      </c>
      <c r="J917" s="294">
        <f t="shared" si="42"/>
        <v>169677.64722648385</v>
      </c>
      <c r="K917" s="294">
        <f t="shared" si="43"/>
        <v>169631.62365951427</v>
      </c>
      <c r="L917" s="281">
        <f t="shared" si="44"/>
        <v>0</v>
      </c>
    </row>
    <row r="918" spans="2:12" x14ac:dyDescent="0.15">
      <c r="B918" s="281">
        <v>911</v>
      </c>
      <c r="C918" s="294">
        <v>20671.550655487448</v>
      </c>
      <c r="D918" s="392">
        <v>6.3047893999358822</v>
      </c>
      <c r="E918" s="294">
        <v>20899.835137295919</v>
      </c>
      <c r="F918" s="272">
        <v>6.3447872512654175</v>
      </c>
      <c r="G918" s="272">
        <v>228.28448180847045</v>
      </c>
      <c r="H918" s="277">
        <v>3.9997851329535372E-2</v>
      </c>
      <c r="J918" s="294">
        <f t="shared" si="42"/>
        <v>168472.13134258901</v>
      </c>
      <c r="K918" s="294">
        <f t="shared" si="43"/>
        <v>169443.78240066662</v>
      </c>
      <c r="L918" s="281">
        <f t="shared" si="44"/>
        <v>1</v>
      </c>
    </row>
    <row r="919" spans="2:12" x14ac:dyDescent="0.15">
      <c r="B919" s="281">
        <v>912</v>
      </c>
      <c r="C919" s="294">
        <v>21099.927429955598</v>
      </c>
      <c r="D919" s="392">
        <v>6.2899557263360135</v>
      </c>
      <c r="E919" s="294">
        <v>21272.779342972921</v>
      </c>
      <c r="F919" s="272">
        <v>6.2962732212232044</v>
      </c>
      <c r="G919" s="272">
        <v>172.85191301732266</v>
      </c>
      <c r="H919" s="277">
        <v>6.3174948871909109E-3</v>
      </c>
      <c r="J919" s="294">
        <f t="shared" si="42"/>
        <v>167598.74436012481</v>
      </c>
      <c r="K919" s="294">
        <f t="shared" si="43"/>
        <v>167615.41729372321</v>
      </c>
      <c r="L919" s="281">
        <f t="shared" si="44"/>
        <v>1</v>
      </c>
    </row>
    <row r="920" spans="2:12" x14ac:dyDescent="0.15">
      <c r="B920" s="281">
        <v>913</v>
      </c>
      <c r="C920" s="294">
        <v>21862.174648358447</v>
      </c>
      <c r="D920" s="392">
        <v>6.3931775695882207</v>
      </c>
      <c r="E920" s="294">
        <v>22115.87924228777</v>
      </c>
      <c r="F920" s="272">
        <v>6.4549014206262676</v>
      </c>
      <c r="G920" s="272">
        <v>253.70459392932389</v>
      </c>
      <c r="H920" s="277">
        <v>6.1723851038046895E-2</v>
      </c>
      <c r="J920" s="294">
        <f t="shared" si="42"/>
        <v>169933.15243928815</v>
      </c>
      <c r="K920" s="294">
        <f t="shared" si="43"/>
        <v>171531.16337650025</v>
      </c>
      <c r="L920" s="281">
        <f t="shared" si="44"/>
        <v>1</v>
      </c>
    </row>
    <row r="921" spans="2:12" x14ac:dyDescent="0.15">
      <c r="B921" s="281">
        <v>914</v>
      </c>
      <c r="C921" s="294">
        <v>20972.604474315427</v>
      </c>
      <c r="D921" s="392">
        <v>6.321063093365626</v>
      </c>
      <c r="E921" s="294">
        <v>21075.80605058173</v>
      </c>
      <c r="F921" s="272">
        <v>6.3428015841541994</v>
      </c>
      <c r="G921" s="272">
        <v>103.20157626630316</v>
      </c>
      <c r="H921" s="277">
        <v>2.1738490788573372E-2</v>
      </c>
      <c r="J921" s="294">
        <f t="shared" si="42"/>
        <v>168659.28832665336</v>
      </c>
      <c r="K921" s="294">
        <f t="shared" si="43"/>
        <v>169208.24147404425</v>
      </c>
      <c r="L921" s="281">
        <f t="shared" si="44"/>
        <v>1</v>
      </c>
    </row>
    <row r="922" spans="2:12" x14ac:dyDescent="0.15">
      <c r="B922" s="281">
        <v>915</v>
      </c>
      <c r="C922" s="294">
        <v>20885.821880732514</v>
      </c>
      <c r="D922" s="392">
        <v>6.1657187859801024</v>
      </c>
      <c r="E922" s="294">
        <v>21220.14717898611</v>
      </c>
      <c r="F922" s="272">
        <v>6.2459212294645106</v>
      </c>
      <c r="G922" s="272">
        <v>334.32529825359597</v>
      </c>
      <c r="H922" s="277">
        <v>8.0202443484408192E-2</v>
      </c>
      <c r="J922" s="294">
        <f t="shared" si="42"/>
        <v>164085.74169867055</v>
      </c>
      <c r="K922" s="294">
        <f t="shared" si="43"/>
        <v>166157.4897049492</v>
      </c>
      <c r="L922" s="281">
        <f t="shared" si="44"/>
        <v>1</v>
      </c>
    </row>
    <row r="923" spans="2:12" x14ac:dyDescent="0.15">
      <c r="B923" s="281">
        <v>916</v>
      </c>
      <c r="C923" s="294">
        <v>22525.522578888518</v>
      </c>
      <c r="D923" s="392">
        <v>6.2632117113054058</v>
      </c>
      <c r="E923" s="294">
        <v>22683.622886123678</v>
      </c>
      <c r="F923" s="272">
        <v>6.3094245438285297</v>
      </c>
      <c r="G923" s="272">
        <v>158.10030723515956</v>
      </c>
      <c r="H923" s="277">
        <v>4.6212832523123915E-2</v>
      </c>
      <c r="J923" s="294">
        <f t="shared" si="42"/>
        <v>165370.82876027367</v>
      </c>
      <c r="K923" s="294">
        <f t="shared" si="43"/>
        <v>166599.11342873221</v>
      </c>
      <c r="L923" s="281">
        <f t="shared" si="44"/>
        <v>1</v>
      </c>
    </row>
    <row r="924" spans="2:12" x14ac:dyDescent="0.15">
      <c r="B924" s="281">
        <v>917</v>
      </c>
      <c r="C924" s="294">
        <v>21001.658188437825</v>
      </c>
      <c r="D924" s="392">
        <v>6.208821740604515</v>
      </c>
      <c r="E924" s="294">
        <v>21281.322665332566</v>
      </c>
      <c r="F924" s="272">
        <v>6.2746194072996992</v>
      </c>
      <c r="G924" s="272">
        <v>279.6644768947408</v>
      </c>
      <c r="H924" s="277">
        <v>6.5797666695184276E-2</v>
      </c>
      <c r="J924" s="294">
        <f t="shared" si="42"/>
        <v>165262.99402969761</v>
      </c>
      <c r="K924" s="294">
        <f t="shared" si="43"/>
        <v>166957.25955365843</v>
      </c>
      <c r="L924" s="281">
        <f t="shared" si="44"/>
        <v>1</v>
      </c>
    </row>
    <row r="925" spans="2:12" x14ac:dyDescent="0.15">
      <c r="B925" s="281">
        <v>918</v>
      </c>
      <c r="C925" s="294">
        <v>21474.773955675966</v>
      </c>
      <c r="D925" s="392">
        <v>6.2730832604301927</v>
      </c>
      <c r="E925" s="294">
        <v>21762.471255251552</v>
      </c>
      <c r="F925" s="272">
        <v>6.3376027266661827</v>
      </c>
      <c r="G925" s="272">
        <v>287.69729957558593</v>
      </c>
      <c r="H925" s="277">
        <v>6.4519466235990031E-2</v>
      </c>
      <c r="J925" s="294">
        <f t="shared" si="42"/>
        <v>166717.72385722981</v>
      </c>
      <c r="K925" s="294">
        <f t="shared" si="43"/>
        <v>168365.61054473394</v>
      </c>
      <c r="L925" s="281">
        <f t="shared" si="44"/>
        <v>1</v>
      </c>
    </row>
    <row r="926" spans="2:12" x14ac:dyDescent="0.15">
      <c r="B926" s="281">
        <v>919</v>
      </c>
      <c r="C926" s="294">
        <v>20635.946668333185</v>
      </c>
      <c r="D926" s="392">
        <v>6.2568051572903336</v>
      </c>
      <c r="E926" s="294">
        <v>20732.606292551052</v>
      </c>
      <c r="F926" s="272">
        <v>6.2390831411286314</v>
      </c>
      <c r="G926" s="272">
        <v>96.659624217867531</v>
      </c>
      <c r="H926" s="277">
        <v>-1.7722016161702214E-2</v>
      </c>
      <c r="J926" s="294">
        <f t="shared" si="42"/>
        <v>167068.20805037685</v>
      </c>
      <c r="K926" s="294">
        <f t="shared" si="43"/>
        <v>166439.88794130788</v>
      </c>
      <c r="L926" s="281">
        <f t="shared" si="44"/>
        <v>0</v>
      </c>
    </row>
    <row r="927" spans="2:12" x14ac:dyDescent="0.15">
      <c r="B927" s="281">
        <v>920</v>
      </c>
      <c r="C927" s="294">
        <v>21134.190184823739</v>
      </c>
      <c r="D927" s="392">
        <v>6.2239865960464416</v>
      </c>
      <c r="E927" s="294">
        <v>21303.788703131133</v>
      </c>
      <c r="F927" s="272">
        <v>6.2506134512881371</v>
      </c>
      <c r="G927" s="272">
        <v>169.59851830739353</v>
      </c>
      <c r="H927" s="277">
        <v>2.6626855241695502E-2</v>
      </c>
      <c r="J927" s="294">
        <f t="shared" si="42"/>
        <v>165585.40769656951</v>
      </c>
      <c r="K927" s="294">
        <f t="shared" si="43"/>
        <v>166214.61483551297</v>
      </c>
      <c r="L927" s="281">
        <f t="shared" si="44"/>
        <v>1</v>
      </c>
    </row>
    <row r="928" spans="2:12" x14ac:dyDescent="0.15">
      <c r="B928" s="281">
        <v>921</v>
      </c>
      <c r="C928" s="294">
        <v>21045.923171564657</v>
      </c>
      <c r="D928" s="392">
        <v>6.3636663404651204</v>
      </c>
      <c r="E928" s="294">
        <v>21258.973780609434</v>
      </c>
      <c r="F928" s="272">
        <v>6.4277918360672732</v>
      </c>
      <c r="G928" s="272">
        <v>213.05060904477796</v>
      </c>
      <c r="H928" s="277">
        <v>6.412549560215286E-2</v>
      </c>
      <c r="J928" s="294">
        <f t="shared" si="42"/>
        <v>169864.06704238895</v>
      </c>
      <c r="K928" s="294">
        <f t="shared" si="43"/>
        <v>171574.78130140877</v>
      </c>
      <c r="L928" s="281">
        <f t="shared" si="44"/>
        <v>1</v>
      </c>
    </row>
    <row r="929" spans="2:12" x14ac:dyDescent="0.15">
      <c r="B929" s="281">
        <v>922</v>
      </c>
      <c r="C929" s="294">
        <v>20730.226921159221</v>
      </c>
      <c r="D929" s="392">
        <v>6.2399974817975989</v>
      </c>
      <c r="E929" s="294">
        <v>21073.627695864499</v>
      </c>
      <c r="F929" s="272">
        <v>6.2906407953653734</v>
      </c>
      <c r="G929" s="272">
        <v>343.40077470527831</v>
      </c>
      <c r="H929" s="277">
        <v>5.0643313567774406E-2</v>
      </c>
      <c r="J929" s="294">
        <f t="shared" si="42"/>
        <v>166469.69753276874</v>
      </c>
      <c r="K929" s="294">
        <f t="shared" si="43"/>
        <v>167645.59616509671</v>
      </c>
      <c r="L929" s="281">
        <f t="shared" si="44"/>
        <v>1</v>
      </c>
    </row>
    <row r="930" spans="2:12" x14ac:dyDescent="0.15">
      <c r="B930" s="281">
        <v>923</v>
      </c>
      <c r="C930" s="294">
        <v>21487.846387072696</v>
      </c>
      <c r="D930" s="392">
        <v>6.2987244191932419</v>
      </c>
      <c r="E930" s="294">
        <v>21625.668973329251</v>
      </c>
      <c r="F930" s="272">
        <v>6.3274869685864781</v>
      </c>
      <c r="G930" s="272">
        <v>137.82258625655595</v>
      </c>
      <c r="H930" s="277">
        <v>2.8762549393236192E-2</v>
      </c>
      <c r="J930" s="294">
        <f t="shared" si="42"/>
        <v>167473.88618872454</v>
      </c>
      <c r="K930" s="294">
        <f t="shared" si="43"/>
        <v>168198.94008426511</v>
      </c>
      <c r="L930" s="281">
        <f t="shared" si="44"/>
        <v>1</v>
      </c>
    </row>
    <row r="931" spans="2:12" x14ac:dyDescent="0.15">
      <c r="B931" s="281">
        <v>924</v>
      </c>
      <c r="C931" s="294">
        <v>21371.026771207351</v>
      </c>
      <c r="D931" s="392">
        <v>6.2985436516242315</v>
      </c>
      <c r="E931" s="294">
        <v>21592.633265244727</v>
      </c>
      <c r="F931" s="272">
        <v>6.3440741878897882</v>
      </c>
      <c r="G931" s="272">
        <v>221.60649403737625</v>
      </c>
      <c r="H931" s="277">
        <v>4.5530536265556698E-2</v>
      </c>
      <c r="J931" s="294">
        <f t="shared" si="42"/>
        <v>167585.28277751961</v>
      </c>
      <c r="K931" s="294">
        <f t="shared" si="43"/>
        <v>168729.59237144893</v>
      </c>
      <c r="L931" s="281">
        <f t="shared" si="44"/>
        <v>1</v>
      </c>
    </row>
    <row r="932" spans="2:12" x14ac:dyDescent="0.15">
      <c r="B932" s="281">
        <v>925</v>
      </c>
      <c r="C932" s="294">
        <v>21254.72877004966</v>
      </c>
      <c r="D932" s="392">
        <v>6.2821333245279538</v>
      </c>
      <c r="E932" s="294">
        <v>21458.096509109819</v>
      </c>
      <c r="F932" s="272">
        <v>6.3197582713211888</v>
      </c>
      <c r="G932" s="272">
        <v>203.36773906015878</v>
      </c>
      <c r="H932" s="277">
        <v>3.7624946793235026E-2</v>
      </c>
      <c r="J932" s="294">
        <f t="shared" si="42"/>
        <v>167209.27096578895</v>
      </c>
      <c r="K932" s="294">
        <f t="shared" si="43"/>
        <v>168134.65163052583</v>
      </c>
      <c r="L932" s="281">
        <f t="shared" si="44"/>
        <v>1</v>
      </c>
    </row>
    <row r="933" spans="2:12" x14ac:dyDescent="0.15">
      <c r="B933" s="281">
        <v>926</v>
      </c>
      <c r="C933" s="294">
        <v>21897.147523369604</v>
      </c>
      <c r="D933" s="392">
        <v>6.2923383132828379</v>
      </c>
      <c r="E933" s="294">
        <v>22069.834982394714</v>
      </c>
      <c r="F933" s="272">
        <v>6.3277821839657156</v>
      </c>
      <c r="G933" s="272">
        <v>172.68745902511</v>
      </c>
      <c r="H933" s="277">
        <v>3.5443870682877687E-2</v>
      </c>
      <c r="J933" s="294">
        <f t="shared" si="42"/>
        <v>166873.00187511553</v>
      </c>
      <c r="K933" s="294">
        <f t="shared" si="43"/>
        <v>167763.63053657676</v>
      </c>
      <c r="L933" s="281">
        <f t="shared" si="44"/>
        <v>1</v>
      </c>
    </row>
    <row r="934" spans="2:12" x14ac:dyDescent="0.15">
      <c r="B934" s="281">
        <v>927</v>
      </c>
      <c r="C934" s="294">
        <v>20413.539060056417</v>
      </c>
      <c r="D934" s="392">
        <v>6.224181231081638</v>
      </c>
      <c r="E934" s="294">
        <v>20566.578290234851</v>
      </c>
      <c r="F934" s="272">
        <v>6.2451767768539481</v>
      </c>
      <c r="G934" s="272">
        <v>153.03923017843408</v>
      </c>
      <c r="H934" s="277">
        <v>2.0995545772310109E-2</v>
      </c>
      <c r="J934" s="294">
        <f t="shared" si="42"/>
        <v>166311.89787239273</v>
      </c>
      <c r="K934" s="294">
        <f t="shared" si="43"/>
        <v>166788.72501538359</v>
      </c>
      <c r="L934" s="281">
        <f t="shared" si="44"/>
        <v>1</v>
      </c>
    </row>
    <row r="935" spans="2:12" x14ac:dyDescent="0.15">
      <c r="B935" s="281">
        <v>928</v>
      </c>
      <c r="C935" s="294">
        <v>21575.721635895337</v>
      </c>
      <c r="D935" s="392">
        <v>6.3417429188243162</v>
      </c>
      <c r="E935" s="294">
        <v>21741.382370561219</v>
      </c>
      <c r="F935" s="272">
        <v>6.3593624537638824</v>
      </c>
      <c r="G935" s="272">
        <v>165.66073466588205</v>
      </c>
      <c r="H935" s="277">
        <v>1.761953493956625E-2</v>
      </c>
      <c r="J935" s="294">
        <f t="shared" si="42"/>
        <v>168676.56592883414</v>
      </c>
      <c r="K935" s="294">
        <f t="shared" si="43"/>
        <v>169039.49124235526</v>
      </c>
      <c r="L935" s="281">
        <f t="shared" si="44"/>
        <v>1</v>
      </c>
    </row>
    <row r="936" spans="2:12" x14ac:dyDescent="0.15">
      <c r="B936" s="281">
        <v>929</v>
      </c>
      <c r="C936" s="294">
        <v>21177.31175050317</v>
      </c>
      <c r="D936" s="392">
        <v>6.2938009252435361</v>
      </c>
      <c r="E936" s="294">
        <v>21372.471362040458</v>
      </c>
      <c r="F936" s="272">
        <v>6.3373019933278965</v>
      </c>
      <c r="G936" s="272">
        <v>195.15961153728858</v>
      </c>
      <c r="H936" s="277">
        <v>4.3501068084360384E-2</v>
      </c>
      <c r="J936" s="294">
        <f t="shared" si="42"/>
        <v>167636.71600680292</v>
      </c>
      <c r="K936" s="294">
        <f t="shared" si="43"/>
        <v>168746.58843779642</v>
      </c>
      <c r="L936" s="281">
        <f t="shared" si="44"/>
        <v>1</v>
      </c>
    </row>
    <row r="937" spans="2:12" x14ac:dyDescent="0.15">
      <c r="B937" s="281">
        <v>930</v>
      </c>
      <c r="C937" s="294">
        <v>22743.664045817699</v>
      </c>
      <c r="D937" s="392">
        <v>6.3035867938953887</v>
      </c>
      <c r="E937" s="294">
        <v>22948.498195222604</v>
      </c>
      <c r="F937" s="272">
        <v>6.3417213374343433</v>
      </c>
      <c r="G937" s="272">
        <v>204.83414940490547</v>
      </c>
      <c r="H937" s="277">
        <v>3.8134543538954624E-2</v>
      </c>
      <c r="J937" s="294">
        <f t="shared" si="42"/>
        <v>166363.93977104395</v>
      </c>
      <c r="K937" s="294">
        <f t="shared" si="43"/>
        <v>167303.14192780768</v>
      </c>
      <c r="L937" s="281">
        <f t="shared" si="44"/>
        <v>1</v>
      </c>
    </row>
    <row r="938" spans="2:12" x14ac:dyDescent="0.15">
      <c r="B938" s="281">
        <v>931</v>
      </c>
      <c r="C938" s="294">
        <v>21818.769942230691</v>
      </c>
      <c r="D938" s="392">
        <v>6.3495833167076814</v>
      </c>
      <c r="E938" s="294">
        <v>22132.061631497145</v>
      </c>
      <c r="F938" s="272">
        <v>6.4024559759288184</v>
      </c>
      <c r="G938" s="272">
        <v>313.29168926645434</v>
      </c>
      <c r="H938" s="277">
        <v>5.2872659221137042E-2</v>
      </c>
      <c r="J938" s="294">
        <f t="shared" si="42"/>
        <v>168668.72955899974</v>
      </c>
      <c r="K938" s="294">
        <f t="shared" si="43"/>
        <v>169941.61764636741</v>
      </c>
      <c r="L938" s="281">
        <f t="shared" si="44"/>
        <v>1</v>
      </c>
    </row>
    <row r="939" spans="2:12" x14ac:dyDescent="0.15">
      <c r="B939" s="281">
        <v>932</v>
      </c>
      <c r="C939" s="294">
        <v>21247.518954158084</v>
      </c>
      <c r="D939" s="392">
        <v>6.3765051250592686</v>
      </c>
      <c r="E939" s="294">
        <v>21522.128340286483</v>
      </c>
      <c r="F939" s="272">
        <v>6.4084568113588123</v>
      </c>
      <c r="G939" s="272">
        <v>274.60938612839891</v>
      </c>
      <c r="H939" s="277">
        <v>3.1951686299543702E-2</v>
      </c>
      <c r="J939" s="294">
        <f t="shared" si="42"/>
        <v>170047.63479761998</v>
      </c>
      <c r="K939" s="294">
        <f t="shared" si="43"/>
        <v>170731.57600047789</v>
      </c>
      <c r="L939" s="281">
        <f t="shared" si="44"/>
        <v>1</v>
      </c>
    </row>
    <row r="940" spans="2:12" x14ac:dyDescent="0.15">
      <c r="B940" s="281">
        <v>933</v>
      </c>
      <c r="C940" s="294">
        <v>21582.391557316991</v>
      </c>
      <c r="D940" s="392">
        <v>6.243772058347405</v>
      </c>
      <c r="E940" s="294">
        <v>21793.004803299118</v>
      </c>
      <c r="F940" s="272">
        <v>6.2845454888416743</v>
      </c>
      <c r="G940" s="272">
        <v>210.61324598212741</v>
      </c>
      <c r="H940" s="277">
        <v>4.0773430494269292E-2</v>
      </c>
      <c r="J940" s="294">
        <f t="shared" si="42"/>
        <v>165730.77019310516</v>
      </c>
      <c r="K940" s="294">
        <f t="shared" si="43"/>
        <v>166743.35986195112</v>
      </c>
      <c r="L940" s="281">
        <f t="shared" si="44"/>
        <v>1</v>
      </c>
    </row>
    <row r="941" spans="2:12" x14ac:dyDescent="0.15">
      <c r="B941" s="281">
        <v>934</v>
      </c>
      <c r="C941" s="294">
        <v>21376.636718513382</v>
      </c>
      <c r="D941" s="392">
        <v>6.2665622430074945</v>
      </c>
      <c r="E941" s="294">
        <v>21612.760803846279</v>
      </c>
      <c r="F941" s="272">
        <v>6.3153954891161774</v>
      </c>
      <c r="G941" s="272">
        <v>236.12408533289636</v>
      </c>
      <c r="H941" s="277">
        <v>4.8833246108682893E-2</v>
      </c>
      <c r="J941" s="294">
        <f t="shared" si="42"/>
        <v>166620.23057171144</v>
      </c>
      <c r="K941" s="294">
        <f t="shared" si="43"/>
        <v>167849.10386963905</v>
      </c>
      <c r="L941" s="281">
        <f t="shared" si="44"/>
        <v>1</v>
      </c>
    </row>
    <row r="942" spans="2:12" x14ac:dyDescent="0.15">
      <c r="B942" s="281">
        <v>935</v>
      </c>
      <c r="C942" s="294">
        <v>21765.044562838157</v>
      </c>
      <c r="D942" s="392">
        <v>6.2095958931695092</v>
      </c>
      <c r="E942" s="294">
        <v>21969.497521787962</v>
      </c>
      <c r="F942" s="272">
        <v>6.2411058798668586</v>
      </c>
      <c r="G942" s="272">
        <v>204.45295894980518</v>
      </c>
      <c r="H942" s="277">
        <v>3.150998669734939E-2</v>
      </c>
      <c r="J942" s="294">
        <f t="shared" si="42"/>
        <v>164522.83223224711</v>
      </c>
      <c r="K942" s="294">
        <f t="shared" si="43"/>
        <v>165263.67887421779</v>
      </c>
      <c r="L942" s="281">
        <f t="shared" si="44"/>
        <v>1</v>
      </c>
    </row>
    <row r="943" spans="2:12" x14ac:dyDescent="0.15">
      <c r="B943" s="281">
        <v>936</v>
      </c>
      <c r="C943" s="294">
        <v>21451.876854423757</v>
      </c>
      <c r="D943" s="392">
        <v>6.3588661908004349</v>
      </c>
      <c r="E943" s="294">
        <v>21712.83008456451</v>
      </c>
      <c r="F943" s="272">
        <v>6.3909720445847125</v>
      </c>
      <c r="G943" s="272">
        <v>260.95323014075257</v>
      </c>
      <c r="H943" s="277">
        <v>3.2105853784277549E-2</v>
      </c>
      <c r="J943" s="294">
        <f t="shared" si="42"/>
        <v>169314.10886958928</v>
      </c>
      <c r="K943" s="294">
        <f t="shared" si="43"/>
        <v>170016.33125297687</v>
      </c>
      <c r="L943" s="281">
        <f t="shared" si="44"/>
        <v>1</v>
      </c>
    </row>
    <row r="944" spans="2:12" x14ac:dyDescent="0.15">
      <c r="B944" s="281">
        <v>937</v>
      </c>
      <c r="C944" s="294">
        <v>22339.070833075733</v>
      </c>
      <c r="D944" s="392">
        <v>6.2681005151002607</v>
      </c>
      <c r="E944" s="294">
        <v>22513.696677293396</v>
      </c>
      <c r="F944" s="272">
        <v>6.2830034525720748</v>
      </c>
      <c r="G944" s="272">
        <v>174.62584421766223</v>
      </c>
      <c r="H944" s="277">
        <v>1.4902937471814148E-2</v>
      </c>
      <c r="J944" s="294">
        <f t="shared" si="42"/>
        <v>165703.9446199321</v>
      </c>
      <c r="K944" s="294">
        <f t="shared" si="43"/>
        <v>165976.40689986886</v>
      </c>
      <c r="L944" s="281">
        <f t="shared" si="44"/>
        <v>1</v>
      </c>
    </row>
    <row r="945" spans="2:12" x14ac:dyDescent="0.15">
      <c r="B945" s="281">
        <v>938</v>
      </c>
      <c r="C945" s="294">
        <v>22288.851185806965</v>
      </c>
      <c r="D945" s="392">
        <v>6.3349147033986526</v>
      </c>
      <c r="E945" s="294">
        <v>22460.09005539785</v>
      </c>
      <c r="F945" s="272">
        <v>6.3456375365825419</v>
      </c>
      <c r="G945" s="272">
        <v>171.23886959088486</v>
      </c>
      <c r="H945" s="277">
        <v>1.0722833183889335E-2</v>
      </c>
      <c r="J945" s="294">
        <f t="shared" si="42"/>
        <v>167758.58991615262</v>
      </c>
      <c r="K945" s="294">
        <f t="shared" si="43"/>
        <v>167909.0360420784</v>
      </c>
      <c r="L945" s="281">
        <f t="shared" si="44"/>
        <v>1</v>
      </c>
    </row>
    <row r="946" spans="2:12" x14ac:dyDescent="0.15">
      <c r="B946" s="281">
        <v>939</v>
      </c>
      <c r="C946" s="294">
        <v>22326.10412933155</v>
      </c>
      <c r="D946" s="392">
        <v>6.3069817497284149</v>
      </c>
      <c r="E946" s="294">
        <v>22482.771540303856</v>
      </c>
      <c r="F946" s="272">
        <v>6.3433151490706576</v>
      </c>
      <c r="G946" s="272">
        <v>156.66741097230624</v>
      </c>
      <c r="H946" s="277">
        <v>3.6333399342242778E-2</v>
      </c>
      <c r="J946" s="294">
        <f t="shared" si="42"/>
        <v>166883.34836252092</v>
      </c>
      <c r="K946" s="294">
        <f t="shared" si="43"/>
        <v>167816.68293181586</v>
      </c>
      <c r="L946" s="281">
        <f t="shared" si="44"/>
        <v>1</v>
      </c>
    </row>
    <row r="947" spans="2:12" x14ac:dyDescent="0.15">
      <c r="B947" s="281">
        <v>940</v>
      </c>
      <c r="C947" s="294">
        <v>21809.779693709846</v>
      </c>
      <c r="D947" s="392">
        <v>6.1921835005253634</v>
      </c>
      <c r="E947" s="294">
        <v>22054.805853983748</v>
      </c>
      <c r="F947" s="272">
        <v>6.2340274251496401</v>
      </c>
      <c r="G947" s="272">
        <v>245.02616027390104</v>
      </c>
      <c r="H947" s="277">
        <v>4.1843924624276774E-2</v>
      </c>
      <c r="J947" s="294">
        <f t="shared" si="42"/>
        <v>163955.72532205103</v>
      </c>
      <c r="K947" s="294">
        <f t="shared" si="43"/>
        <v>164966.01690050546</v>
      </c>
      <c r="L947" s="281">
        <f t="shared" si="44"/>
        <v>1</v>
      </c>
    </row>
    <row r="948" spans="2:12" x14ac:dyDescent="0.15">
      <c r="B948" s="281">
        <v>941</v>
      </c>
      <c r="C948" s="294">
        <v>21589.553761374595</v>
      </c>
      <c r="D948" s="392">
        <v>6.26082196474567</v>
      </c>
      <c r="E948" s="294">
        <v>21809.724409498274</v>
      </c>
      <c r="F948" s="272">
        <v>6.2829886075931896</v>
      </c>
      <c r="G948" s="272">
        <v>220.17064812367971</v>
      </c>
      <c r="H948" s="277">
        <v>2.2166642847519569E-2</v>
      </c>
      <c r="J948" s="294">
        <f t="shared" si="42"/>
        <v>166235.10518099551</v>
      </c>
      <c r="K948" s="294">
        <f t="shared" si="43"/>
        <v>166679.9338182974</v>
      </c>
      <c r="L948" s="281">
        <f t="shared" si="44"/>
        <v>1</v>
      </c>
    </row>
    <row r="949" spans="2:12" x14ac:dyDescent="0.15">
      <c r="B949" s="281">
        <v>942</v>
      </c>
      <c r="C949" s="294">
        <v>22824.172774242623</v>
      </c>
      <c r="D949" s="392">
        <v>6.2659757687836324</v>
      </c>
      <c r="E949" s="294">
        <v>22964.620910638096</v>
      </c>
      <c r="F949" s="272">
        <v>6.2922789896986355</v>
      </c>
      <c r="G949" s="272">
        <v>140.44813639547283</v>
      </c>
      <c r="H949" s="277">
        <v>2.6303220915003145E-2</v>
      </c>
      <c r="J949" s="294">
        <f t="shared" si="42"/>
        <v>165155.10028926635</v>
      </c>
      <c r="K949" s="294">
        <f t="shared" si="43"/>
        <v>165803.74878032098</v>
      </c>
      <c r="L949" s="281">
        <f t="shared" si="44"/>
        <v>1</v>
      </c>
    </row>
    <row r="950" spans="2:12" x14ac:dyDescent="0.15">
      <c r="B950" s="281">
        <v>943</v>
      </c>
      <c r="C950" s="294">
        <v>20019.675933293547</v>
      </c>
      <c r="D950" s="392">
        <v>6.3382136563102565</v>
      </c>
      <c r="E950" s="294">
        <v>20170.94909122281</v>
      </c>
      <c r="F950" s="272">
        <v>6.3750330493403196</v>
      </c>
      <c r="G950" s="272">
        <v>151.27315792926311</v>
      </c>
      <c r="H950" s="277">
        <v>3.6819393030063097E-2</v>
      </c>
      <c r="J950" s="294">
        <f t="shared" si="42"/>
        <v>170126.73375601415</v>
      </c>
      <c r="K950" s="294">
        <f t="shared" si="43"/>
        <v>171080.04238898677</v>
      </c>
      <c r="L950" s="281">
        <f t="shared" si="44"/>
        <v>1</v>
      </c>
    </row>
    <row r="951" spans="2:12" x14ac:dyDescent="0.15">
      <c r="B951" s="281">
        <v>944</v>
      </c>
      <c r="C951" s="294">
        <v>21418.6379515515</v>
      </c>
      <c r="D951" s="392">
        <v>6.31995075647544</v>
      </c>
      <c r="E951" s="294">
        <v>21684.59798237951</v>
      </c>
      <c r="F951" s="272">
        <v>6.3702111153884164</v>
      </c>
      <c r="G951" s="272">
        <v>265.96003082800962</v>
      </c>
      <c r="H951" s="277">
        <v>5.0260358912976422E-2</v>
      </c>
      <c r="J951" s="294">
        <f t="shared" si="42"/>
        <v>168179.8847427117</v>
      </c>
      <c r="K951" s="294">
        <f t="shared" si="43"/>
        <v>169421.73547927296</v>
      </c>
      <c r="L951" s="281">
        <f t="shared" si="44"/>
        <v>1</v>
      </c>
    </row>
    <row r="952" spans="2:12" x14ac:dyDescent="0.15">
      <c r="B952" s="281">
        <v>945</v>
      </c>
      <c r="C952" s="294">
        <v>20326.738241408366</v>
      </c>
      <c r="D952" s="392">
        <v>6.302093854233652</v>
      </c>
      <c r="E952" s="294">
        <v>20432.158184390781</v>
      </c>
      <c r="F952" s="272">
        <v>6.3218626429394025</v>
      </c>
      <c r="G952" s="272">
        <v>105.4199429824148</v>
      </c>
      <c r="H952" s="277">
        <v>1.9768788705750495E-2</v>
      </c>
      <c r="J952" s="294">
        <f t="shared" si="42"/>
        <v>168736.07738560118</v>
      </c>
      <c r="K952" s="294">
        <f t="shared" si="43"/>
        <v>169223.72110379129</v>
      </c>
      <c r="L952" s="281">
        <f t="shared" si="44"/>
        <v>1</v>
      </c>
    </row>
    <row r="953" spans="2:12" x14ac:dyDescent="0.15">
      <c r="B953" s="281">
        <v>946</v>
      </c>
      <c r="C953" s="294">
        <v>21082.378733083249</v>
      </c>
      <c r="D953" s="392">
        <v>6.2773588336686776</v>
      </c>
      <c r="E953" s="294">
        <v>21240.602898853973</v>
      </c>
      <c r="F953" s="272">
        <v>6.2928091883390556</v>
      </c>
      <c r="G953" s="272">
        <v>158.22416577072363</v>
      </c>
      <c r="H953" s="277">
        <v>1.5450354670377919E-2</v>
      </c>
      <c r="J953" s="294">
        <f t="shared" si="42"/>
        <v>167238.38627697708</v>
      </c>
      <c r="K953" s="294">
        <f t="shared" si="43"/>
        <v>167543.6727513177</v>
      </c>
      <c r="L953" s="281">
        <f t="shared" si="44"/>
        <v>1</v>
      </c>
    </row>
    <row r="954" spans="2:12" x14ac:dyDescent="0.15">
      <c r="B954" s="281">
        <v>947</v>
      </c>
      <c r="C954" s="294">
        <v>21923.001987830725</v>
      </c>
      <c r="D954" s="392">
        <v>6.2751516652524089</v>
      </c>
      <c r="E954" s="294">
        <v>22113.85374387843</v>
      </c>
      <c r="F954" s="272">
        <v>6.3394654049943258</v>
      </c>
      <c r="G954" s="272">
        <v>190.85175604770484</v>
      </c>
      <c r="H954" s="277">
        <v>6.4313739741916898E-2</v>
      </c>
      <c r="J954" s="294">
        <f t="shared" si="42"/>
        <v>166331.54796974154</v>
      </c>
      <c r="K954" s="294">
        <f t="shared" si="43"/>
        <v>168070.10840595135</v>
      </c>
      <c r="L954" s="281">
        <f t="shared" si="44"/>
        <v>1</v>
      </c>
    </row>
    <row r="955" spans="2:12" x14ac:dyDescent="0.15">
      <c r="B955" s="281">
        <v>948</v>
      </c>
      <c r="C955" s="294">
        <v>21155.859073627656</v>
      </c>
      <c r="D955" s="392">
        <v>6.2196396150169617</v>
      </c>
      <c r="E955" s="294">
        <v>21380.693363361508</v>
      </c>
      <c r="F955" s="272">
        <v>6.2505346283901648</v>
      </c>
      <c r="G955" s="272">
        <v>224.83428973385162</v>
      </c>
      <c r="H955" s="277">
        <v>3.0895013373203106E-2</v>
      </c>
      <c r="J955" s="294">
        <f t="shared" si="42"/>
        <v>165433.32937688119</v>
      </c>
      <c r="K955" s="294">
        <f t="shared" si="43"/>
        <v>166135.34548834345</v>
      </c>
      <c r="L955" s="281">
        <f t="shared" si="44"/>
        <v>1</v>
      </c>
    </row>
    <row r="956" spans="2:12" x14ac:dyDescent="0.15">
      <c r="B956" s="281">
        <v>949</v>
      </c>
      <c r="C956" s="294">
        <v>20419.837076522344</v>
      </c>
      <c r="D956" s="392">
        <v>6.3325004210353431</v>
      </c>
      <c r="E956" s="294">
        <v>20552.917094020046</v>
      </c>
      <c r="F956" s="272">
        <v>6.3480386577374013</v>
      </c>
      <c r="G956" s="272">
        <v>133.08001749770119</v>
      </c>
      <c r="H956" s="277">
        <v>1.5538236702058228E-2</v>
      </c>
      <c r="J956" s="294">
        <f t="shared" si="42"/>
        <v>169555.17555453794</v>
      </c>
      <c r="K956" s="294">
        <f t="shared" si="43"/>
        <v>169888.24263810198</v>
      </c>
      <c r="L956" s="281">
        <f t="shared" si="44"/>
        <v>1</v>
      </c>
    </row>
    <row r="957" spans="2:12" x14ac:dyDescent="0.15">
      <c r="B957" s="281">
        <v>950</v>
      </c>
      <c r="C957" s="294">
        <v>21518.135728467911</v>
      </c>
      <c r="D957" s="392">
        <v>6.2962503617756553</v>
      </c>
      <c r="E957" s="294">
        <v>21652.44596400754</v>
      </c>
      <c r="F957" s="272">
        <v>6.3311397424986202</v>
      </c>
      <c r="G957" s="272">
        <v>134.3102355396295</v>
      </c>
      <c r="H957" s="277">
        <v>3.488938072296488E-2</v>
      </c>
      <c r="J957" s="294">
        <f t="shared" si="42"/>
        <v>167369.37512480177</v>
      </c>
      <c r="K957" s="294">
        <f t="shared" si="43"/>
        <v>168281.74631095104</v>
      </c>
      <c r="L957" s="281">
        <f t="shared" si="44"/>
        <v>1</v>
      </c>
    </row>
    <row r="958" spans="2:12" x14ac:dyDescent="0.15">
      <c r="B958" s="281">
        <v>951</v>
      </c>
      <c r="C958" s="294">
        <v>22902.171235944727</v>
      </c>
      <c r="D958" s="392">
        <v>6.2914240630704334</v>
      </c>
      <c r="E958" s="294">
        <v>23068.414823944418</v>
      </c>
      <c r="F958" s="272">
        <v>6.3293595878639248</v>
      </c>
      <c r="G958" s="272">
        <v>166.24358799969195</v>
      </c>
      <c r="H958" s="277">
        <v>3.7935524793491382E-2</v>
      </c>
      <c r="J958" s="294">
        <f t="shared" si="42"/>
        <v>165840.55065616829</v>
      </c>
      <c r="K958" s="294">
        <f t="shared" si="43"/>
        <v>166812.37281197333</v>
      </c>
      <c r="L958" s="281">
        <f t="shared" si="44"/>
        <v>1</v>
      </c>
    </row>
    <row r="959" spans="2:12" x14ac:dyDescent="0.15">
      <c r="B959" s="281">
        <v>952</v>
      </c>
      <c r="C959" s="294">
        <v>21045.742414053664</v>
      </c>
      <c r="D959" s="392">
        <v>6.2736866999020728</v>
      </c>
      <c r="E959" s="294">
        <v>21303.282659254655</v>
      </c>
      <c r="F959" s="272">
        <v>6.3185750870544943</v>
      </c>
      <c r="G959" s="272">
        <v>257.54024520099119</v>
      </c>
      <c r="H959" s="277">
        <v>4.4888387152421494E-2</v>
      </c>
      <c r="J959" s="294">
        <f t="shared" si="42"/>
        <v>167164.85858300852</v>
      </c>
      <c r="K959" s="294">
        <f t="shared" si="43"/>
        <v>168253.96995238017</v>
      </c>
      <c r="L959" s="281">
        <f t="shared" si="44"/>
        <v>1</v>
      </c>
    </row>
    <row r="960" spans="2:12" x14ac:dyDescent="0.15">
      <c r="B960" s="281">
        <v>953</v>
      </c>
      <c r="C960" s="294">
        <v>21727.183913311932</v>
      </c>
      <c r="D960" s="392">
        <v>6.2560756423847685</v>
      </c>
      <c r="E960" s="294">
        <v>21891.173771402791</v>
      </c>
      <c r="F960" s="272">
        <v>6.2918600920507446</v>
      </c>
      <c r="G960" s="272">
        <v>163.98985809085934</v>
      </c>
      <c r="H960" s="277">
        <v>3.5784449665976048E-2</v>
      </c>
      <c r="J960" s="294">
        <f t="shared" si="42"/>
        <v>165955.08535823112</v>
      </c>
      <c r="K960" s="294">
        <f t="shared" si="43"/>
        <v>166864.62899011953</v>
      </c>
      <c r="L960" s="281">
        <f t="shared" si="44"/>
        <v>1</v>
      </c>
    </row>
    <row r="961" spans="2:12" x14ac:dyDescent="0.15">
      <c r="B961" s="281">
        <v>954</v>
      </c>
      <c r="C961" s="294">
        <v>21073.824630450985</v>
      </c>
      <c r="D961" s="392">
        <v>6.2373650140580441</v>
      </c>
      <c r="E961" s="294">
        <v>21305.249594872195</v>
      </c>
      <c r="F961" s="272">
        <v>6.2892293077081867</v>
      </c>
      <c r="G961" s="272">
        <v>231.42496442121046</v>
      </c>
      <c r="H961" s="277">
        <v>5.1864293650142557E-2</v>
      </c>
      <c r="J961" s="294">
        <f t="shared" si="42"/>
        <v>166047.12579129034</v>
      </c>
      <c r="K961" s="294">
        <f t="shared" si="43"/>
        <v>167371.6296363734</v>
      </c>
      <c r="L961" s="281">
        <f t="shared" si="44"/>
        <v>1</v>
      </c>
    </row>
    <row r="962" spans="2:12" x14ac:dyDescent="0.15">
      <c r="B962" s="281">
        <v>955</v>
      </c>
      <c r="C962" s="294">
        <v>20071.83087935597</v>
      </c>
      <c r="D962" s="392">
        <v>6.2155354300897976</v>
      </c>
      <c r="E962" s="294">
        <v>20269.631947596688</v>
      </c>
      <c r="F962" s="272">
        <v>6.2364022058012694</v>
      </c>
      <c r="G962" s="272">
        <v>197.80106824071845</v>
      </c>
      <c r="H962" s="277">
        <v>2.0866775711471774E-2</v>
      </c>
      <c r="J962" s="294">
        <f t="shared" si="42"/>
        <v>166394.23202333797</v>
      </c>
      <c r="K962" s="294">
        <f t="shared" si="43"/>
        <v>166822.43422644137</v>
      </c>
      <c r="L962" s="281">
        <f t="shared" si="44"/>
        <v>1</v>
      </c>
    </row>
    <row r="963" spans="2:12" x14ac:dyDescent="0.15">
      <c r="B963" s="281">
        <v>956</v>
      </c>
      <c r="C963" s="294">
        <v>20539.925717928134</v>
      </c>
      <c r="D963" s="392">
        <v>6.2428325211032556</v>
      </c>
      <c r="E963" s="294">
        <v>20751.327203596778</v>
      </c>
      <c r="F963" s="272">
        <v>6.2857651586871572</v>
      </c>
      <c r="G963" s="272">
        <v>211.40148566864445</v>
      </c>
      <c r="H963" s="277">
        <v>4.2932637583901645E-2</v>
      </c>
      <c r="J963" s="294">
        <f t="shared" si="42"/>
        <v>166745.04991516954</v>
      </c>
      <c r="K963" s="294">
        <f t="shared" si="43"/>
        <v>167821.62755701796</v>
      </c>
      <c r="L963" s="281">
        <f t="shared" si="44"/>
        <v>1</v>
      </c>
    </row>
    <row r="964" spans="2:12" x14ac:dyDescent="0.15">
      <c r="B964" s="281">
        <v>957</v>
      </c>
      <c r="C964" s="294">
        <v>20645.943843181351</v>
      </c>
      <c r="D964" s="392">
        <v>6.3299330304715102</v>
      </c>
      <c r="E964" s="294">
        <v>20628.688050916346</v>
      </c>
      <c r="F964" s="272">
        <v>6.2960366343091732</v>
      </c>
      <c r="G964" s="272">
        <v>-17.255792265004857</v>
      </c>
      <c r="H964" s="277">
        <v>-3.3896396162337084E-2</v>
      </c>
      <c r="J964" s="294">
        <f t="shared" si="42"/>
        <v>169252.04707096395</v>
      </c>
      <c r="K964" s="294">
        <f t="shared" si="43"/>
        <v>168252.41097835882</v>
      </c>
      <c r="L964" s="281">
        <f t="shared" si="44"/>
        <v>0</v>
      </c>
    </row>
    <row r="965" spans="2:12" x14ac:dyDescent="0.15">
      <c r="B965" s="281">
        <v>958</v>
      </c>
      <c r="C965" s="294">
        <v>22906.502967105476</v>
      </c>
      <c r="D965" s="392">
        <v>6.1673153200011219</v>
      </c>
      <c r="E965" s="294">
        <v>23061.881795258738</v>
      </c>
      <c r="F965" s="272">
        <v>6.2113013244294217</v>
      </c>
      <c r="G965" s="272">
        <v>155.37882815326157</v>
      </c>
      <c r="H965" s="277">
        <v>4.3986004428299808E-2</v>
      </c>
      <c r="J965" s="294">
        <f t="shared" si="42"/>
        <v>162112.95663292817</v>
      </c>
      <c r="K965" s="294">
        <f t="shared" si="43"/>
        <v>163277.15793762394</v>
      </c>
      <c r="L965" s="281">
        <f t="shared" si="44"/>
        <v>1</v>
      </c>
    </row>
    <row r="966" spans="2:12" x14ac:dyDescent="0.15">
      <c r="B966" s="281">
        <v>959</v>
      </c>
      <c r="C966" s="294">
        <v>20804.03640828071</v>
      </c>
      <c r="D966" s="392">
        <v>6.3590764424083419</v>
      </c>
      <c r="E966" s="294">
        <v>21024.276756719177</v>
      </c>
      <c r="F966" s="272">
        <v>6.3833783947109248</v>
      </c>
      <c r="G966" s="272">
        <v>220.24034843846675</v>
      </c>
      <c r="H966" s="277">
        <v>2.4301952302582919E-2</v>
      </c>
      <c r="J966" s="294">
        <f t="shared" si="42"/>
        <v>169968.25686396952</v>
      </c>
      <c r="K966" s="294">
        <f t="shared" si="43"/>
        <v>170477.07508460857</v>
      </c>
      <c r="L966" s="281">
        <f t="shared" si="44"/>
        <v>1</v>
      </c>
    </row>
    <row r="967" spans="2:12" x14ac:dyDescent="0.15">
      <c r="B967" s="281">
        <v>960</v>
      </c>
      <c r="C967" s="294">
        <v>21912.450883868525</v>
      </c>
      <c r="D967" s="392">
        <v>6.2464018892091095</v>
      </c>
      <c r="E967" s="294">
        <v>22081.893379625308</v>
      </c>
      <c r="F967" s="272">
        <v>6.2879743002410056</v>
      </c>
      <c r="G967" s="272">
        <v>169.44249575678259</v>
      </c>
      <c r="H967" s="277">
        <v>4.1572411031896017E-2</v>
      </c>
      <c r="J967" s="294">
        <f t="shared" si="42"/>
        <v>165479.60579240476</v>
      </c>
      <c r="K967" s="294">
        <f t="shared" si="43"/>
        <v>166557.33562760486</v>
      </c>
      <c r="L967" s="281">
        <f t="shared" si="44"/>
        <v>1</v>
      </c>
    </row>
    <row r="968" spans="2:12" x14ac:dyDescent="0.15">
      <c r="B968" s="281">
        <v>961</v>
      </c>
      <c r="C968" s="294">
        <v>21840.118941950343</v>
      </c>
      <c r="D968" s="392">
        <v>6.2326583614451598</v>
      </c>
      <c r="E968" s="294">
        <v>21958.821236557073</v>
      </c>
      <c r="F968" s="272">
        <v>6.2556450345316783</v>
      </c>
      <c r="G968" s="272">
        <v>118.70229460672999</v>
      </c>
      <c r="H968" s="277">
        <v>2.2986673086518472E-2</v>
      </c>
      <c r="J968" s="294">
        <f t="shared" ref="J968:J1007" si="45">(D968*wtp)-C968</f>
        <v>165139.63190140444</v>
      </c>
      <c r="K968" s="294">
        <f t="shared" ref="K968:K1007" si="46">(F968*wtp)-E968</f>
        <v>165710.52979939329</v>
      </c>
      <c r="L968" s="281">
        <f t="shared" si="44"/>
        <v>1</v>
      </c>
    </row>
    <row r="969" spans="2:12" x14ac:dyDescent="0.15">
      <c r="B969" s="281">
        <v>962</v>
      </c>
      <c r="C969" s="294">
        <v>19924.118982376633</v>
      </c>
      <c r="D969" s="392">
        <v>6.3003301091326076</v>
      </c>
      <c r="E969" s="294">
        <v>20077.420512046203</v>
      </c>
      <c r="F969" s="272">
        <v>6.3272986937807056</v>
      </c>
      <c r="G969" s="272">
        <v>153.3015296695703</v>
      </c>
      <c r="H969" s="277">
        <v>2.6968584648098037E-2</v>
      </c>
      <c r="J969" s="294">
        <f t="shared" si="45"/>
        <v>169085.78429160162</v>
      </c>
      <c r="K969" s="294">
        <f t="shared" si="46"/>
        <v>169741.54030137497</v>
      </c>
      <c r="L969" s="281">
        <f t="shared" ref="L969:L1007" si="47">IF(K969&gt;J969,1,0)</f>
        <v>1</v>
      </c>
    </row>
    <row r="970" spans="2:12" x14ac:dyDescent="0.15">
      <c r="B970" s="281">
        <v>963</v>
      </c>
      <c r="C970" s="294">
        <v>21253.545283966308</v>
      </c>
      <c r="D970" s="392">
        <v>6.1827404840133013</v>
      </c>
      <c r="E970" s="294">
        <v>21455.524565293799</v>
      </c>
      <c r="F970" s="272">
        <v>6.2038131184274468</v>
      </c>
      <c r="G970" s="272">
        <v>201.97928132749075</v>
      </c>
      <c r="H970" s="277">
        <v>2.1072634414145419E-2</v>
      </c>
      <c r="J970" s="294">
        <f t="shared" si="45"/>
        <v>164228.66923643273</v>
      </c>
      <c r="K970" s="294">
        <f t="shared" si="46"/>
        <v>164658.8689875296</v>
      </c>
      <c r="L970" s="281">
        <f t="shared" si="47"/>
        <v>1</v>
      </c>
    </row>
    <row r="971" spans="2:12" x14ac:dyDescent="0.15">
      <c r="B971" s="281">
        <v>964</v>
      </c>
      <c r="C971" s="294">
        <v>21860.734231435425</v>
      </c>
      <c r="D971" s="392">
        <v>6.3072141047798462</v>
      </c>
      <c r="E971" s="294">
        <v>22034.582805430855</v>
      </c>
      <c r="F971" s="272">
        <v>6.3267456746853998</v>
      </c>
      <c r="G971" s="272">
        <v>173.84857399543034</v>
      </c>
      <c r="H971" s="277">
        <v>1.9531569905553603E-2</v>
      </c>
      <c r="J971" s="294">
        <f t="shared" si="45"/>
        <v>167355.68891195997</v>
      </c>
      <c r="K971" s="294">
        <f t="shared" si="46"/>
        <v>167767.78743513112</v>
      </c>
      <c r="L971" s="281">
        <f t="shared" si="47"/>
        <v>1</v>
      </c>
    </row>
    <row r="972" spans="2:12" x14ac:dyDescent="0.15">
      <c r="B972" s="281">
        <v>965</v>
      </c>
      <c r="C972" s="294">
        <v>23428.098981895524</v>
      </c>
      <c r="D972" s="392">
        <v>6.1655123189200163</v>
      </c>
      <c r="E972" s="294">
        <v>23639.093051205702</v>
      </c>
      <c r="F972" s="272">
        <v>6.2011622553970174</v>
      </c>
      <c r="G972" s="272">
        <v>210.99406931017802</v>
      </c>
      <c r="H972" s="277">
        <v>3.5649936477001098E-2</v>
      </c>
      <c r="J972" s="294">
        <f t="shared" si="45"/>
        <v>161537.27058570497</v>
      </c>
      <c r="K972" s="294">
        <f t="shared" si="46"/>
        <v>162395.7746107048</v>
      </c>
      <c r="L972" s="281">
        <f t="shared" si="47"/>
        <v>1</v>
      </c>
    </row>
    <row r="973" spans="2:12" x14ac:dyDescent="0.15">
      <c r="B973" s="281">
        <v>966</v>
      </c>
      <c r="C973" s="294">
        <v>20968.008738076805</v>
      </c>
      <c r="D973" s="392">
        <v>6.2238428093208755</v>
      </c>
      <c r="E973" s="294">
        <v>21235.946585470272</v>
      </c>
      <c r="F973" s="272">
        <v>6.2640284847342214</v>
      </c>
      <c r="G973" s="272">
        <v>267.93784739346665</v>
      </c>
      <c r="H973" s="277">
        <v>4.0185675413345834E-2</v>
      </c>
      <c r="J973" s="294">
        <f t="shared" si="45"/>
        <v>165747.27554154946</v>
      </c>
      <c r="K973" s="294">
        <f t="shared" si="46"/>
        <v>166684.90795655636</v>
      </c>
      <c r="L973" s="281">
        <f t="shared" si="47"/>
        <v>1</v>
      </c>
    </row>
    <row r="974" spans="2:12" x14ac:dyDescent="0.15">
      <c r="B974" s="281">
        <v>967</v>
      </c>
      <c r="C974" s="294">
        <v>22755.702700993519</v>
      </c>
      <c r="D974" s="392">
        <v>6.3090083261749283</v>
      </c>
      <c r="E974" s="294">
        <v>23073.106254363331</v>
      </c>
      <c r="F974" s="272">
        <v>6.3473317416789499</v>
      </c>
      <c r="G974" s="272">
        <v>317.40355336981156</v>
      </c>
      <c r="H974" s="277">
        <v>3.8323415504021519E-2</v>
      </c>
      <c r="J974" s="294">
        <f t="shared" si="45"/>
        <v>166514.54708425433</v>
      </c>
      <c r="K974" s="294">
        <f t="shared" si="46"/>
        <v>167346.84599600517</v>
      </c>
      <c r="L974" s="281">
        <f t="shared" si="47"/>
        <v>1</v>
      </c>
    </row>
    <row r="975" spans="2:12" x14ac:dyDescent="0.15">
      <c r="B975" s="281">
        <v>968</v>
      </c>
      <c r="C975" s="294">
        <v>20634.017109627363</v>
      </c>
      <c r="D975" s="392">
        <v>6.2962749417533193</v>
      </c>
      <c r="E975" s="294">
        <v>20938.384282572781</v>
      </c>
      <c r="F975" s="272">
        <v>6.3413321295455267</v>
      </c>
      <c r="G975" s="272">
        <v>304.36717294541813</v>
      </c>
      <c r="H975" s="277">
        <v>4.5057187792207465E-2</v>
      </c>
      <c r="J975" s="294">
        <f t="shared" si="45"/>
        <v>168254.23114297222</v>
      </c>
      <c r="K975" s="294">
        <f t="shared" si="46"/>
        <v>169301.57960379301</v>
      </c>
      <c r="L975" s="281">
        <f t="shared" si="47"/>
        <v>1</v>
      </c>
    </row>
    <row r="976" spans="2:12" x14ac:dyDescent="0.15">
      <c r="B976" s="281">
        <v>969</v>
      </c>
      <c r="C976" s="294">
        <v>19747.6363046935</v>
      </c>
      <c r="D976" s="392">
        <v>6.3674761407680256</v>
      </c>
      <c r="E976" s="294">
        <v>19915.685016393654</v>
      </c>
      <c r="F976" s="272">
        <v>6.4053109694641348</v>
      </c>
      <c r="G976" s="272">
        <v>168.04871170015394</v>
      </c>
      <c r="H976" s="277">
        <v>3.7834828696109213E-2</v>
      </c>
      <c r="J976" s="294">
        <f t="shared" si="45"/>
        <v>171276.64791834727</v>
      </c>
      <c r="K976" s="294">
        <f t="shared" si="46"/>
        <v>172243.64406753037</v>
      </c>
      <c r="L976" s="281">
        <f t="shared" si="47"/>
        <v>1</v>
      </c>
    </row>
    <row r="977" spans="2:12" x14ac:dyDescent="0.15">
      <c r="B977" s="281">
        <v>970</v>
      </c>
      <c r="C977" s="294">
        <v>22549.466271076155</v>
      </c>
      <c r="D977" s="392">
        <v>6.2453192409002121</v>
      </c>
      <c r="E977" s="294">
        <v>22754.595098434678</v>
      </c>
      <c r="F977" s="272">
        <v>6.2627049682659948</v>
      </c>
      <c r="G977" s="272">
        <v>205.12882735852327</v>
      </c>
      <c r="H977" s="277">
        <v>1.7385727365782699E-2</v>
      </c>
      <c r="J977" s="294">
        <f t="shared" si="45"/>
        <v>164810.11095593023</v>
      </c>
      <c r="K977" s="294">
        <f t="shared" si="46"/>
        <v>165126.55394954517</v>
      </c>
      <c r="L977" s="281">
        <f t="shared" si="47"/>
        <v>1</v>
      </c>
    </row>
    <row r="978" spans="2:12" x14ac:dyDescent="0.15">
      <c r="B978" s="281">
        <v>971</v>
      </c>
      <c r="C978" s="294">
        <v>22451.287202977681</v>
      </c>
      <c r="D978" s="392">
        <v>6.2251728907975981</v>
      </c>
      <c r="E978" s="294">
        <v>22784.136148711121</v>
      </c>
      <c r="F978" s="272">
        <v>6.2657104800212355</v>
      </c>
      <c r="G978" s="272">
        <v>332.8489457334399</v>
      </c>
      <c r="H978" s="277">
        <v>4.0537589223637482E-2</v>
      </c>
      <c r="J978" s="294">
        <f t="shared" si="45"/>
        <v>164303.89952095025</v>
      </c>
      <c r="K978" s="294">
        <f t="shared" si="46"/>
        <v>165187.17825192594</v>
      </c>
      <c r="L978" s="281">
        <f t="shared" si="47"/>
        <v>1</v>
      </c>
    </row>
    <row r="979" spans="2:12" x14ac:dyDescent="0.15">
      <c r="B979" s="281">
        <v>972</v>
      </c>
      <c r="C979" s="294">
        <v>23077.064733637431</v>
      </c>
      <c r="D979" s="392">
        <v>6.2465436176283644</v>
      </c>
      <c r="E979" s="294">
        <v>23419.929734448306</v>
      </c>
      <c r="F979" s="272">
        <v>6.2846410067114027</v>
      </c>
      <c r="G979" s="272">
        <v>342.86500081087434</v>
      </c>
      <c r="H979" s="277">
        <v>3.809738908303828E-2</v>
      </c>
      <c r="J979" s="294">
        <f t="shared" si="45"/>
        <v>164319.24379521349</v>
      </c>
      <c r="K979" s="294">
        <f t="shared" si="46"/>
        <v>165119.30046689376</v>
      </c>
      <c r="L979" s="281">
        <f t="shared" si="47"/>
        <v>1</v>
      </c>
    </row>
    <row r="980" spans="2:12" x14ac:dyDescent="0.15">
      <c r="B980" s="281">
        <v>973</v>
      </c>
      <c r="C980" s="294">
        <v>21917.884139868547</v>
      </c>
      <c r="D980" s="392">
        <v>6.3112753059127922</v>
      </c>
      <c r="E980" s="294">
        <v>22056.253888686111</v>
      </c>
      <c r="F980" s="272">
        <v>6.3282754221755066</v>
      </c>
      <c r="G980" s="272">
        <v>138.36974881756396</v>
      </c>
      <c r="H980" s="277">
        <v>1.7000116262714471E-2</v>
      </c>
      <c r="J980" s="294">
        <f t="shared" si="45"/>
        <v>167420.37503751522</v>
      </c>
      <c r="K980" s="294">
        <f t="shared" si="46"/>
        <v>167792.00877657911</v>
      </c>
      <c r="L980" s="281">
        <f t="shared" si="47"/>
        <v>1</v>
      </c>
    </row>
    <row r="981" spans="2:12" x14ac:dyDescent="0.15">
      <c r="B981" s="281">
        <v>974</v>
      </c>
      <c r="C981" s="294">
        <v>20606.44283919187</v>
      </c>
      <c r="D981" s="392">
        <v>6.2357119783305031</v>
      </c>
      <c r="E981" s="294">
        <v>20803.917061318589</v>
      </c>
      <c r="F981" s="272">
        <v>6.2831838648709102</v>
      </c>
      <c r="G981" s="272">
        <v>197.47422212671881</v>
      </c>
      <c r="H981" s="277">
        <v>4.7471886540407127E-2</v>
      </c>
      <c r="J981" s="294">
        <f t="shared" si="45"/>
        <v>166464.91651072321</v>
      </c>
      <c r="K981" s="294">
        <f t="shared" si="46"/>
        <v>167691.59888480871</v>
      </c>
      <c r="L981" s="281">
        <f t="shared" si="47"/>
        <v>1</v>
      </c>
    </row>
    <row r="982" spans="2:12" x14ac:dyDescent="0.15">
      <c r="B982" s="281">
        <v>975</v>
      </c>
      <c r="C982" s="294">
        <v>21238.789302848683</v>
      </c>
      <c r="D982" s="392">
        <v>6.174577751638231</v>
      </c>
      <c r="E982" s="294">
        <v>21515.80822736409</v>
      </c>
      <c r="F982" s="272">
        <v>6.2192688203975095</v>
      </c>
      <c r="G982" s="272">
        <v>277.01892451540698</v>
      </c>
      <c r="H982" s="277">
        <v>4.4691068759278529E-2</v>
      </c>
      <c r="J982" s="294">
        <f t="shared" si="45"/>
        <v>163998.54324629824</v>
      </c>
      <c r="K982" s="294">
        <f t="shared" si="46"/>
        <v>165062.25638456119</v>
      </c>
      <c r="L982" s="281">
        <f t="shared" si="47"/>
        <v>1</v>
      </c>
    </row>
    <row r="983" spans="2:12" x14ac:dyDescent="0.15">
      <c r="B983" s="281">
        <v>976</v>
      </c>
      <c r="C983" s="294">
        <v>23204.826225506462</v>
      </c>
      <c r="D983" s="392">
        <v>6.2450289876751963</v>
      </c>
      <c r="E983" s="294">
        <v>23520.087861007589</v>
      </c>
      <c r="F983" s="272">
        <v>6.280626760557098</v>
      </c>
      <c r="G983" s="272">
        <v>315.26163550112688</v>
      </c>
      <c r="H983" s="277">
        <v>3.559777288190169E-2</v>
      </c>
      <c r="J983" s="294">
        <f t="shared" si="45"/>
        <v>164146.04340474942</v>
      </c>
      <c r="K983" s="294">
        <f t="shared" si="46"/>
        <v>164898.71495570533</v>
      </c>
      <c r="L983" s="281">
        <f t="shared" si="47"/>
        <v>1</v>
      </c>
    </row>
    <row r="984" spans="2:12" x14ac:dyDescent="0.15">
      <c r="B984" s="281">
        <v>977</v>
      </c>
      <c r="C984" s="294">
        <v>20947.446852461515</v>
      </c>
      <c r="D984" s="392">
        <v>6.350938652541358</v>
      </c>
      <c r="E984" s="294">
        <v>21193.725918575085</v>
      </c>
      <c r="F984" s="272">
        <v>6.3892048443458549</v>
      </c>
      <c r="G984" s="272">
        <v>246.27906611356957</v>
      </c>
      <c r="H984" s="277">
        <v>3.8266191804496863E-2</v>
      </c>
      <c r="J984" s="294">
        <f t="shared" si="45"/>
        <v>169580.71272377923</v>
      </c>
      <c r="K984" s="294">
        <f t="shared" si="46"/>
        <v>170482.41941180057</v>
      </c>
      <c r="L984" s="281">
        <f t="shared" si="47"/>
        <v>1</v>
      </c>
    </row>
    <row r="985" spans="2:12" x14ac:dyDescent="0.15">
      <c r="B985" s="281">
        <v>978</v>
      </c>
      <c r="C985" s="294">
        <v>20855.988180775446</v>
      </c>
      <c r="D985" s="392">
        <v>6.1810385974163173</v>
      </c>
      <c r="E985" s="294">
        <v>21080.549465992022</v>
      </c>
      <c r="F985" s="272">
        <v>6.2260672140809925</v>
      </c>
      <c r="G985" s="272">
        <v>224.56128521657593</v>
      </c>
      <c r="H985" s="277">
        <v>4.502861666467517E-2</v>
      </c>
      <c r="J985" s="294">
        <f t="shared" si="45"/>
        <v>164575.16974171405</v>
      </c>
      <c r="K985" s="294">
        <f t="shared" si="46"/>
        <v>165701.46695643774</v>
      </c>
      <c r="L985" s="281">
        <f t="shared" si="47"/>
        <v>1</v>
      </c>
    </row>
    <row r="986" spans="2:12" x14ac:dyDescent="0.15">
      <c r="B986" s="281">
        <v>979</v>
      </c>
      <c r="C986" s="294">
        <v>22324.909187449073</v>
      </c>
      <c r="D986" s="392">
        <v>6.2710591318315343</v>
      </c>
      <c r="E986" s="294">
        <v>22404.764119047577</v>
      </c>
      <c r="F986" s="272">
        <v>6.2683617467743469</v>
      </c>
      <c r="G986" s="272">
        <v>79.854931598503754</v>
      </c>
      <c r="H986" s="277">
        <v>-2.6973850571874181E-3</v>
      </c>
      <c r="J986" s="294">
        <f t="shared" si="45"/>
        <v>165806.86476749694</v>
      </c>
      <c r="K986" s="294">
        <f t="shared" si="46"/>
        <v>165646.08828418283</v>
      </c>
      <c r="L986" s="281">
        <f t="shared" si="47"/>
        <v>0</v>
      </c>
    </row>
    <row r="987" spans="2:12" x14ac:dyDescent="0.15">
      <c r="B987" s="281">
        <v>980</v>
      </c>
      <c r="C987" s="294">
        <v>21453.360643751144</v>
      </c>
      <c r="D987" s="392">
        <v>6.1704676615259597</v>
      </c>
      <c r="E987" s="294">
        <v>21731.27619323105</v>
      </c>
      <c r="F987" s="272">
        <v>6.1993395093681034</v>
      </c>
      <c r="G987" s="272">
        <v>277.91554947990517</v>
      </c>
      <c r="H987" s="277">
        <v>2.8871847842143694E-2</v>
      </c>
      <c r="J987" s="294">
        <f t="shared" si="45"/>
        <v>163660.66920202767</v>
      </c>
      <c r="K987" s="294">
        <f t="shared" si="46"/>
        <v>164248.90908781206</v>
      </c>
      <c r="L987" s="281">
        <f t="shared" si="47"/>
        <v>1</v>
      </c>
    </row>
    <row r="988" spans="2:12" x14ac:dyDescent="0.15">
      <c r="B988" s="281">
        <v>981</v>
      </c>
      <c r="C988" s="294">
        <v>22372.594016279061</v>
      </c>
      <c r="D988" s="392">
        <v>6.2374835026266737</v>
      </c>
      <c r="E988" s="294">
        <v>22603.850206370218</v>
      </c>
      <c r="F988" s="272">
        <v>6.2833010167986947</v>
      </c>
      <c r="G988" s="272">
        <v>231.2561900911569</v>
      </c>
      <c r="H988" s="277">
        <v>4.5817514172020957E-2</v>
      </c>
      <c r="J988" s="294">
        <f t="shared" si="45"/>
        <v>164751.91106252113</v>
      </c>
      <c r="K988" s="294">
        <f t="shared" si="46"/>
        <v>165895.18029759062</v>
      </c>
      <c r="L988" s="281">
        <f t="shared" si="47"/>
        <v>1</v>
      </c>
    </row>
    <row r="989" spans="2:12" x14ac:dyDescent="0.15">
      <c r="B989" s="281">
        <v>982</v>
      </c>
      <c r="C989" s="294">
        <v>22269.16953119549</v>
      </c>
      <c r="D989" s="392">
        <v>6.3089311049604611</v>
      </c>
      <c r="E989" s="294">
        <v>22601.193582184278</v>
      </c>
      <c r="F989" s="272">
        <v>6.3561866759441621</v>
      </c>
      <c r="G989" s="272">
        <v>332.02405098878808</v>
      </c>
      <c r="H989" s="277">
        <v>4.7255570983701034E-2</v>
      </c>
      <c r="J989" s="294">
        <f t="shared" si="45"/>
        <v>166998.76361761836</v>
      </c>
      <c r="K989" s="294">
        <f t="shared" si="46"/>
        <v>168084.40669614059</v>
      </c>
      <c r="L989" s="281">
        <f t="shared" si="47"/>
        <v>1</v>
      </c>
    </row>
    <row r="990" spans="2:12" x14ac:dyDescent="0.15">
      <c r="B990" s="281">
        <v>983</v>
      </c>
      <c r="C990" s="294">
        <v>20989.437110973773</v>
      </c>
      <c r="D990" s="392">
        <v>6.237615001501724</v>
      </c>
      <c r="E990" s="294">
        <v>21295.157352505503</v>
      </c>
      <c r="F990" s="272">
        <v>6.2717821808900709</v>
      </c>
      <c r="G990" s="272">
        <v>305.7202415317297</v>
      </c>
      <c r="H990" s="277">
        <v>3.4167179388346902E-2</v>
      </c>
      <c r="J990" s="294">
        <f t="shared" si="45"/>
        <v>166139.01293407794</v>
      </c>
      <c r="K990" s="294">
        <f t="shared" si="46"/>
        <v>166858.30807419663</v>
      </c>
      <c r="L990" s="281">
        <f t="shared" si="47"/>
        <v>1</v>
      </c>
    </row>
    <row r="991" spans="2:12" x14ac:dyDescent="0.15">
      <c r="B991" s="281">
        <v>984</v>
      </c>
      <c r="C991" s="294">
        <v>21047.179962499435</v>
      </c>
      <c r="D991" s="392">
        <v>6.2268489660945914</v>
      </c>
      <c r="E991" s="294">
        <v>21210.555222920852</v>
      </c>
      <c r="F991" s="272">
        <v>6.2105087248430602</v>
      </c>
      <c r="G991" s="272">
        <v>163.3752604214169</v>
      </c>
      <c r="H991" s="277">
        <v>-1.6340241251531218E-2</v>
      </c>
      <c r="J991" s="294">
        <f t="shared" si="45"/>
        <v>165758.2890203383</v>
      </c>
      <c r="K991" s="294">
        <f t="shared" si="46"/>
        <v>165104.70652237095</v>
      </c>
      <c r="L991" s="281">
        <f t="shared" si="47"/>
        <v>0</v>
      </c>
    </row>
    <row r="992" spans="2:12" x14ac:dyDescent="0.15">
      <c r="B992" s="281">
        <v>985</v>
      </c>
      <c r="C992" s="294">
        <v>23217.174326434415</v>
      </c>
      <c r="D992" s="392">
        <v>6.2449423873604619</v>
      </c>
      <c r="E992" s="294">
        <v>23364.51121549233</v>
      </c>
      <c r="F992" s="272">
        <v>6.2768766756693344</v>
      </c>
      <c r="G992" s="272">
        <v>147.33688905791496</v>
      </c>
      <c r="H992" s="277">
        <v>3.1934288308872461E-2</v>
      </c>
      <c r="J992" s="294">
        <f t="shared" si="45"/>
        <v>164131.09729437943</v>
      </c>
      <c r="K992" s="294">
        <f t="shared" si="46"/>
        <v>164941.78905458772</v>
      </c>
      <c r="L992" s="281">
        <f t="shared" si="47"/>
        <v>1</v>
      </c>
    </row>
    <row r="993" spans="2:12" x14ac:dyDescent="0.15">
      <c r="B993" s="281">
        <v>986</v>
      </c>
      <c r="C993" s="294">
        <v>20817.730896655557</v>
      </c>
      <c r="D993" s="392">
        <v>6.3233217523470948</v>
      </c>
      <c r="E993" s="294">
        <v>21061.514029790538</v>
      </c>
      <c r="F993" s="272">
        <v>6.3783343469150138</v>
      </c>
      <c r="G993" s="272">
        <v>243.78313313498074</v>
      </c>
      <c r="H993" s="277">
        <v>5.501259456791896E-2</v>
      </c>
      <c r="J993" s="294">
        <f t="shared" si="45"/>
        <v>168881.92167375729</v>
      </c>
      <c r="K993" s="294">
        <f t="shared" si="46"/>
        <v>170288.51637765989</v>
      </c>
      <c r="L993" s="281">
        <f t="shared" si="47"/>
        <v>1</v>
      </c>
    </row>
    <row r="994" spans="2:12" x14ac:dyDescent="0.15">
      <c r="B994" s="281">
        <v>987</v>
      </c>
      <c r="C994" s="294">
        <v>21952.339263920963</v>
      </c>
      <c r="D994" s="392">
        <v>6.264875112035365</v>
      </c>
      <c r="E994" s="294">
        <v>22281.163018300947</v>
      </c>
      <c r="F994" s="272">
        <v>6.2970613419052839</v>
      </c>
      <c r="G994" s="272">
        <v>328.82375437998417</v>
      </c>
      <c r="H994" s="277">
        <v>3.2186229869918925E-2</v>
      </c>
      <c r="J994" s="294">
        <f t="shared" si="45"/>
        <v>165993.91409713999</v>
      </c>
      <c r="K994" s="294">
        <f t="shared" si="46"/>
        <v>166630.67723885755</v>
      </c>
      <c r="L994" s="281">
        <f t="shared" si="47"/>
        <v>1</v>
      </c>
    </row>
    <row r="995" spans="2:12" x14ac:dyDescent="0.15">
      <c r="B995" s="281">
        <v>988</v>
      </c>
      <c r="C995" s="294">
        <v>20502.978231546276</v>
      </c>
      <c r="D995" s="392">
        <v>6.2792819943849691</v>
      </c>
      <c r="E995" s="294">
        <v>20673.409170971594</v>
      </c>
      <c r="F995" s="272">
        <v>6.3152223838313333</v>
      </c>
      <c r="G995" s="272">
        <v>170.43093942531777</v>
      </c>
      <c r="H995" s="277">
        <v>3.5940389446364129E-2</v>
      </c>
      <c r="J995" s="294">
        <f t="shared" si="45"/>
        <v>167875.48160000282</v>
      </c>
      <c r="K995" s="294">
        <f t="shared" si="46"/>
        <v>168783.26234396841</v>
      </c>
      <c r="L995" s="281">
        <f t="shared" si="47"/>
        <v>1</v>
      </c>
    </row>
    <row r="996" spans="2:12" x14ac:dyDescent="0.15">
      <c r="B996" s="281">
        <v>989</v>
      </c>
      <c r="C996" s="294">
        <v>22120.363452722017</v>
      </c>
      <c r="D996" s="392">
        <v>6.1166475520777643</v>
      </c>
      <c r="E996" s="294">
        <v>22342.688141435669</v>
      </c>
      <c r="F996" s="272">
        <v>6.1460033685256121</v>
      </c>
      <c r="G996" s="272">
        <v>222.32468871365199</v>
      </c>
      <c r="H996" s="277">
        <v>2.9355816447847793E-2</v>
      </c>
      <c r="J996" s="294">
        <f t="shared" si="45"/>
        <v>161379.0631096109</v>
      </c>
      <c r="K996" s="294">
        <f t="shared" si="46"/>
        <v>162037.4129143327</v>
      </c>
      <c r="L996" s="281">
        <f t="shared" si="47"/>
        <v>1</v>
      </c>
    </row>
    <row r="997" spans="2:12" x14ac:dyDescent="0.15">
      <c r="B997" s="281">
        <v>990</v>
      </c>
      <c r="C997" s="294">
        <v>21120.127982994465</v>
      </c>
      <c r="D997" s="392">
        <v>6.3120776278793347</v>
      </c>
      <c r="E997" s="294">
        <v>21345.929207914538</v>
      </c>
      <c r="F997" s="272">
        <v>6.352572182798589</v>
      </c>
      <c r="G997" s="272">
        <v>225.80122492007285</v>
      </c>
      <c r="H997" s="277">
        <v>4.0494554919254355E-2</v>
      </c>
      <c r="J997" s="294">
        <f t="shared" si="45"/>
        <v>168242.20085338558</v>
      </c>
      <c r="K997" s="294">
        <f t="shared" si="46"/>
        <v>169231.23627604314</v>
      </c>
      <c r="L997" s="281">
        <f t="shared" si="47"/>
        <v>1</v>
      </c>
    </row>
    <row r="998" spans="2:12" x14ac:dyDescent="0.15">
      <c r="B998" s="281">
        <v>991</v>
      </c>
      <c r="C998" s="294">
        <v>21226.159283019515</v>
      </c>
      <c r="D998" s="392">
        <v>6.2128299502315105</v>
      </c>
      <c r="E998" s="294">
        <v>21538.24327547372</v>
      </c>
      <c r="F998" s="272">
        <v>6.2629024482978135</v>
      </c>
      <c r="G998" s="272">
        <v>312.08399245420514</v>
      </c>
      <c r="H998" s="277">
        <v>5.0072498066302984E-2</v>
      </c>
      <c r="J998" s="294">
        <f t="shared" si="45"/>
        <v>165158.7392239258</v>
      </c>
      <c r="K998" s="294">
        <f t="shared" si="46"/>
        <v>166348.83017346071</v>
      </c>
      <c r="L998" s="281">
        <f t="shared" si="47"/>
        <v>1</v>
      </c>
    </row>
    <row r="999" spans="2:12" x14ac:dyDescent="0.15">
      <c r="B999" s="281">
        <v>992</v>
      </c>
      <c r="C999" s="294">
        <v>22265.890853280322</v>
      </c>
      <c r="D999" s="392">
        <v>6.307207143058581</v>
      </c>
      <c r="E999" s="294">
        <v>22432.153294386761</v>
      </c>
      <c r="F999" s="272">
        <v>6.3482012377298407</v>
      </c>
      <c r="G999" s="272">
        <v>166.26244110643893</v>
      </c>
      <c r="H999" s="277">
        <v>4.0994094671259695E-2</v>
      </c>
      <c r="J999" s="294">
        <f t="shared" si="45"/>
        <v>166950.32343847712</v>
      </c>
      <c r="K999" s="294">
        <f t="shared" si="46"/>
        <v>168013.88383750847</v>
      </c>
      <c r="L999" s="281">
        <f t="shared" si="47"/>
        <v>1</v>
      </c>
    </row>
    <row r="1000" spans="2:12" x14ac:dyDescent="0.15">
      <c r="B1000" s="281">
        <v>993</v>
      </c>
      <c r="C1000" s="294">
        <v>21006.98249778134</v>
      </c>
      <c r="D1000" s="392">
        <v>6.206399904118304</v>
      </c>
      <c r="E1000" s="294">
        <v>21183.590079666774</v>
      </c>
      <c r="F1000" s="272">
        <v>6.2399040930262117</v>
      </c>
      <c r="G1000" s="272">
        <v>176.60758188543332</v>
      </c>
      <c r="H1000" s="277">
        <v>3.3504188907907739E-2</v>
      </c>
      <c r="J1000" s="294">
        <f t="shared" si="45"/>
        <v>165185.01462576777</v>
      </c>
      <c r="K1000" s="294">
        <f t="shared" si="46"/>
        <v>166013.53271111957</v>
      </c>
      <c r="L1000" s="281">
        <f t="shared" si="47"/>
        <v>1</v>
      </c>
    </row>
    <row r="1001" spans="2:12" x14ac:dyDescent="0.15">
      <c r="B1001" s="281">
        <v>994</v>
      </c>
      <c r="C1001" s="294">
        <v>21659.209555169469</v>
      </c>
      <c r="D1001" s="392">
        <v>6.3375002888908893</v>
      </c>
      <c r="E1001" s="294">
        <v>21827.480430089581</v>
      </c>
      <c r="F1001" s="272">
        <v>6.3724044066718832</v>
      </c>
      <c r="G1001" s="272">
        <v>168.27087492011196</v>
      </c>
      <c r="H1001" s="277">
        <v>3.4904117780993893E-2</v>
      </c>
      <c r="J1001" s="294">
        <f t="shared" si="45"/>
        <v>168465.79911155719</v>
      </c>
      <c r="K1001" s="294">
        <f t="shared" si="46"/>
        <v>169344.65177006691</v>
      </c>
      <c r="L1001" s="281">
        <f t="shared" si="47"/>
        <v>1</v>
      </c>
    </row>
    <row r="1002" spans="2:12" x14ac:dyDescent="0.15">
      <c r="B1002" s="281">
        <v>995</v>
      </c>
      <c r="C1002" s="294">
        <v>20975.271281090583</v>
      </c>
      <c r="D1002" s="392">
        <v>6.3105291080489456</v>
      </c>
      <c r="E1002" s="294">
        <v>21105.232362083949</v>
      </c>
      <c r="F1002" s="272">
        <v>6.3015493747278031</v>
      </c>
      <c r="G1002" s="272">
        <v>129.96108099336561</v>
      </c>
      <c r="H1002" s="277">
        <v>-8.9797333211425467E-3</v>
      </c>
      <c r="J1002" s="294">
        <f t="shared" si="45"/>
        <v>168340.60196037777</v>
      </c>
      <c r="K1002" s="294">
        <f t="shared" si="46"/>
        <v>167941.24887975014</v>
      </c>
      <c r="L1002" s="281">
        <f t="shared" si="47"/>
        <v>0</v>
      </c>
    </row>
    <row r="1003" spans="2:12" x14ac:dyDescent="0.15">
      <c r="B1003" s="281">
        <v>996</v>
      </c>
      <c r="C1003" s="294">
        <v>21918.987433170092</v>
      </c>
      <c r="D1003" s="392">
        <v>6.3135800764376713</v>
      </c>
      <c r="E1003" s="294">
        <v>22049.478721532709</v>
      </c>
      <c r="F1003" s="272">
        <v>6.3370722183033497</v>
      </c>
      <c r="G1003" s="272">
        <v>130.49128836261661</v>
      </c>
      <c r="H1003" s="277">
        <v>2.3492141865678384E-2</v>
      </c>
      <c r="J1003" s="294">
        <f t="shared" si="45"/>
        <v>167488.41485996006</v>
      </c>
      <c r="K1003" s="294">
        <f t="shared" si="46"/>
        <v>168062.68782756777</v>
      </c>
      <c r="L1003" s="281">
        <f t="shared" si="47"/>
        <v>1</v>
      </c>
    </row>
    <row r="1004" spans="2:12" x14ac:dyDescent="0.15">
      <c r="B1004" s="281">
        <v>997</v>
      </c>
      <c r="C1004" s="294">
        <v>21406.894116391311</v>
      </c>
      <c r="D1004" s="392">
        <v>6.2461407700486333</v>
      </c>
      <c r="E1004" s="294">
        <v>21618.701497228922</v>
      </c>
      <c r="F1004" s="272">
        <v>6.3073153521857854</v>
      </c>
      <c r="G1004" s="272">
        <v>211.80738083761025</v>
      </c>
      <c r="H1004" s="277">
        <v>6.11745821371521E-2</v>
      </c>
      <c r="J1004" s="294">
        <f t="shared" si="45"/>
        <v>165977.3289850677</v>
      </c>
      <c r="K1004" s="294">
        <f t="shared" si="46"/>
        <v>167600.75906834463</v>
      </c>
      <c r="L1004" s="281">
        <f t="shared" si="47"/>
        <v>1</v>
      </c>
    </row>
    <row r="1005" spans="2:12" x14ac:dyDescent="0.15">
      <c r="B1005" s="281">
        <v>998</v>
      </c>
      <c r="C1005" s="294">
        <v>22973.709390090844</v>
      </c>
      <c r="D1005" s="392">
        <v>6.1823129325226613</v>
      </c>
      <c r="E1005" s="294">
        <v>23361.045572987092</v>
      </c>
      <c r="F1005" s="272">
        <v>6.2262567244737372</v>
      </c>
      <c r="G1005" s="272">
        <v>387.33618289624792</v>
      </c>
      <c r="H1005" s="277">
        <v>4.3943791951075895E-2</v>
      </c>
      <c r="J1005" s="294">
        <f t="shared" si="45"/>
        <v>162495.67858558899</v>
      </c>
      <c r="K1005" s="294">
        <f t="shared" si="46"/>
        <v>163426.65616122502</v>
      </c>
      <c r="L1005" s="281">
        <f t="shared" si="47"/>
        <v>1</v>
      </c>
    </row>
    <row r="1006" spans="2:12" x14ac:dyDescent="0.15">
      <c r="B1006" s="281">
        <v>999</v>
      </c>
      <c r="C1006" s="294">
        <v>21177.871832279794</v>
      </c>
      <c r="D1006" s="392">
        <v>6.245574581891324</v>
      </c>
      <c r="E1006" s="294">
        <v>21304.540959664628</v>
      </c>
      <c r="F1006" s="272">
        <v>6.2705442672574527</v>
      </c>
      <c r="G1006" s="272">
        <v>126.6691273848337</v>
      </c>
      <c r="H1006" s="277">
        <v>2.4969685366128758E-2</v>
      </c>
      <c r="J1006" s="294">
        <f t="shared" si="45"/>
        <v>166189.36562445993</v>
      </c>
      <c r="K1006" s="294">
        <f t="shared" si="46"/>
        <v>166811.78705805895</v>
      </c>
      <c r="L1006" s="281">
        <f t="shared" si="47"/>
        <v>1</v>
      </c>
    </row>
    <row r="1007" spans="2:12" x14ac:dyDescent="0.15">
      <c r="B1007" s="281">
        <v>1000</v>
      </c>
      <c r="C1007" s="294">
        <v>20485.361625426311</v>
      </c>
      <c r="D1007" s="392">
        <v>6.3161732440642417</v>
      </c>
      <c r="E1007" s="294">
        <v>20572.024820508814</v>
      </c>
      <c r="F1007" s="272">
        <v>6.3078509716870554</v>
      </c>
      <c r="G1007" s="272">
        <v>86.66319508250308</v>
      </c>
      <c r="H1007" s="277">
        <v>-8.3222723771863016E-3</v>
      </c>
      <c r="J1007" s="294">
        <f t="shared" si="45"/>
        <v>168999.83569650096</v>
      </c>
      <c r="K1007" s="294">
        <f t="shared" si="46"/>
        <v>168663.50433010285</v>
      </c>
      <c r="L1007" s="281">
        <f t="shared" si="47"/>
        <v>0</v>
      </c>
    </row>
    <row r="1008" spans="2:12" x14ac:dyDescent="0.15">
      <c r="G1008" s="277">
        <f>AVERAGE(G8:G1007)</f>
        <v>214.77989830534486</v>
      </c>
      <c r="H1008" s="277">
        <f>AVERAGE(H8:H1007)</f>
        <v>3.5300879654351802E-2</v>
      </c>
    </row>
  </sheetData>
  <mergeCells count="4">
    <mergeCell ref="C5:D5"/>
    <mergeCell ref="E5:F5"/>
    <mergeCell ref="G5:H5"/>
    <mergeCell ref="J5:K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0439A-DFC3-4665-BAC4-85C807B18135}">
  <sheetPr codeName="Sheet8"/>
  <dimension ref="C3:BD42"/>
  <sheetViews>
    <sheetView topLeftCell="J1" zoomScale="86" workbookViewId="0">
      <selection activeCell="W14" sqref="W14"/>
    </sheetView>
  </sheetViews>
  <sheetFormatPr baseColWidth="10" defaultColWidth="9.5" defaultRowHeight="15" x14ac:dyDescent="0.2"/>
  <cols>
    <col min="3" max="3" width="24.1640625" customWidth="1"/>
    <col min="4" max="4" width="10.5" bestFit="1" customWidth="1"/>
    <col min="5" max="5" width="11.1640625" customWidth="1"/>
    <col min="6" max="6" width="12.5" customWidth="1"/>
    <col min="11" max="13" width="5.5" customWidth="1"/>
    <col min="14" max="14" width="16.83203125" customWidth="1"/>
    <col min="15" max="15" width="9.1640625" customWidth="1"/>
    <col min="16" max="16" width="14.5" customWidth="1"/>
    <col min="17" max="17" width="10.1640625" customWidth="1"/>
    <col min="18" max="18" width="8.5" customWidth="1"/>
    <col min="19" max="19" width="8.1640625" customWidth="1"/>
    <col min="20" max="20" width="7.83203125" customWidth="1"/>
    <col min="21" max="21" width="13.5" customWidth="1"/>
    <col min="22" max="22" width="10.5" customWidth="1"/>
    <col min="27" max="27" width="5.5" customWidth="1"/>
    <col min="28" max="28" width="41.5" customWidth="1"/>
    <col min="29" max="29" width="7.5" customWidth="1"/>
    <col min="30" max="30" width="13.1640625" customWidth="1"/>
    <col min="31" max="31" width="6.1640625" customWidth="1"/>
    <col min="32" max="32" width="5.83203125" customWidth="1"/>
    <col min="33" max="33" width="9.1640625" customWidth="1"/>
    <col min="35" max="35" width="20.1640625" customWidth="1"/>
    <col min="36" max="36" width="10.5" customWidth="1"/>
    <col min="38" max="38" width="9.5" bestFit="1" customWidth="1"/>
    <col min="40" max="40" width="13.83203125" customWidth="1"/>
    <col min="45" max="45" width="11.1640625" customWidth="1"/>
    <col min="49" max="49" width="18.83203125" customWidth="1"/>
    <col min="50" max="50" width="13.5" customWidth="1"/>
    <col min="1982" max="1982" width="2.5" customWidth="1"/>
    <col min="1985" max="1985" width="2.5" customWidth="1"/>
  </cols>
  <sheetData>
    <row r="3" spans="3:56" ht="23" x14ac:dyDescent="0.2">
      <c r="K3" s="3"/>
      <c r="R3" s="436"/>
      <c r="S3" s="436"/>
      <c r="T3" s="436"/>
      <c r="U3" s="436"/>
    </row>
    <row r="4" spans="3:56" x14ac:dyDescent="0.2">
      <c r="C4" s="97" t="s">
        <v>526</v>
      </c>
      <c r="D4" s="39"/>
      <c r="E4" s="39"/>
      <c r="F4" s="39"/>
      <c r="G4" s="39"/>
      <c r="H4" s="39"/>
      <c r="I4" s="39"/>
      <c r="J4" s="40"/>
      <c r="M4" s="105"/>
      <c r="N4" s="103" t="s">
        <v>527</v>
      </c>
      <c r="O4" s="39"/>
      <c r="P4" s="39"/>
      <c r="Q4" s="39"/>
      <c r="R4" s="39"/>
      <c r="S4" s="39"/>
      <c r="T4" s="39"/>
      <c r="U4" s="39"/>
      <c r="V4" s="39"/>
      <c r="W4" s="39"/>
      <c r="X4" s="39"/>
      <c r="Y4" s="39"/>
      <c r="Z4" s="40"/>
      <c r="AE4" s="118"/>
      <c r="AI4" s="103" t="s">
        <v>528</v>
      </c>
      <c r="AJ4" s="39"/>
      <c r="AK4" s="113"/>
      <c r="AL4" s="113"/>
      <c r="AM4" s="113"/>
      <c r="AN4" s="39"/>
      <c r="AO4" s="39"/>
      <c r="AP4" s="39"/>
      <c r="AQ4" s="39"/>
      <c r="AR4" s="40"/>
      <c r="AW4" s="189" t="s">
        <v>529</v>
      </c>
      <c r="AX4" s="39"/>
      <c r="AY4" s="39"/>
      <c r="AZ4" s="39"/>
      <c r="BA4" s="39"/>
      <c r="BB4" s="39"/>
      <c r="BC4" s="39"/>
      <c r="BD4" s="40"/>
    </row>
    <row r="5" spans="3:56" ht="32" customHeight="1" x14ac:dyDescent="0.2">
      <c r="C5" s="48" t="s">
        <v>530</v>
      </c>
      <c r="D5" s="90" t="s">
        <v>531</v>
      </c>
      <c r="E5" s="90" t="s">
        <v>532</v>
      </c>
      <c r="F5" s="90" t="s">
        <v>533</v>
      </c>
      <c r="G5" s="90" t="s">
        <v>534</v>
      </c>
      <c r="H5" s="90" t="s">
        <v>531</v>
      </c>
      <c r="I5" s="90" t="s">
        <v>532</v>
      </c>
      <c r="J5" s="58" t="s">
        <v>533</v>
      </c>
      <c r="M5" s="63"/>
      <c r="N5" s="117" t="s">
        <v>535</v>
      </c>
      <c r="O5" s="101" t="s">
        <v>536</v>
      </c>
      <c r="P5" s="101" t="s">
        <v>537</v>
      </c>
      <c r="Q5" s="101" t="s">
        <v>538</v>
      </c>
      <c r="R5" s="101" t="s">
        <v>539</v>
      </c>
      <c r="S5" s="101" t="s">
        <v>540</v>
      </c>
      <c r="T5" s="101" t="s">
        <v>541</v>
      </c>
      <c r="U5" s="101" t="s">
        <v>542</v>
      </c>
      <c r="V5" s="101" t="s">
        <v>543</v>
      </c>
      <c r="W5" s="101" t="s">
        <v>539</v>
      </c>
      <c r="X5" s="101" t="s">
        <v>540</v>
      </c>
      <c r="Y5" s="101" t="s">
        <v>544</v>
      </c>
      <c r="Z5" s="102" t="s">
        <v>545</v>
      </c>
      <c r="AB5" s="125" t="s">
        <v>546</v>
      </c>
      <c r="AC5" s="39"/>
      <c r="AD5" s="39"/>
      <c r="AE5" s="39"/>
      <c r="AF5" s="39"/>
      <c r="AG5" s="40"/>
      <c r="AI5" s="127" t="s">
        <v>547</v>
      </c>
      <c r="AJ5" s="22" t="s">
        <v>536</v>
      </c>
      <c r="AK5" s="85" t="s">
        <v>548</v>
      </c>
      <c r="AL5" s="22" t="s">
        <v>549</v>
      </c>
      <c r="AM5" s="22" t="s">
        <v>550</v>
      </c>
      <c r="AN5" s="22" t="s">
        <v>551</v>
      </c>
      <c r="AO5" s="22" t="s">
        <v>496</v>
      </c>
      <c r="AP5" s="22" t="s">
        <v>143</v>
      </c>
      <c r="AQ5" s="22" t="s">
        <v>549</v>
      </c>
      <c r="AR5" s="112" t="s">
        <v>550</v>
      </c>
      <c r="AS5" s="22"/>
      <c r="AW5" s="93" t="s">
        <v>552</v>
      </c>
      <c r="AY5" s="189" t="s">
        <v>553</v>
      </c>
      <c r="BA5" s="1"/>
      <c r="BB5" s="1"/>
      <c r="BD5" s="42"/>
    </row>
    <row r="6" spans="3:56" ht="17" customHeight="1" x14ac:dyDescent="0.2">
      <c r="C6" s="91" t="s">
        <v>554</v>
      </c>
      <c r="D6" s="1"/>
      <c r="E6" s="1"/>
      <c r="F6" s="1"/>
      <c r="G6" s="1"/>
      <c r="H6" s="1"/>
      <c r="I6" s="1"/>
      <c r="J6" s="92"/>
      <c r="M6" s="105"/>
      <c r="N6" s="104" t="s">
        <v>555</v>
      </c>
      <c r="O6" s="107">
        <f>prob_dead_ac</f>
        <v>5.4330679775487001E-2</v>
      </c>
      <c r="P6" s="107">
        <f>O6/(1-O6)</f>
        <v>5.745209093025061E-2</v>
      </c>
      <c r="Q6" s="106">
        <f>or_dead_tica_clop</f>
        <v>0.77</v>
      </c>
      <c r="R6" s="106">
        <v>0.68</v>
      </c>
      <c r="S6" s="106">
        <v>0.88</v>
      </c>
      <c r="T6" s="107">
        <f>EXP((LN(P6)+LN(Q6)))/(1+EXP(LN(P6)+LN(Q6)))</f>
        <v>4.2364006438725683E-2</v>
      </c>
      <c r="U6" s="107">
        <f>(LN(S6)-LN(R6))/(2*1.96)</f>
        <v>6.5772731964821363E-2</v>
      </c>
      <c r="V6" s="106">
        <f>or_dead_pras_clop</f>
        <v>1</v>
      </c>
      <c r="W6" s="106">
        <v>0.83</v>
      </c>
      <c r="X6" s="106">
        <v>1.21</v>
      </c>
      <c r="Y6" s="107">
        <f>(EXP(LN(P6)+LN(V6)))/(1+EXP(LN(P6)+LN(V6)))</f>
        <v>5.4330679775487008E-2</v>
      </c>
      <c r="Z6" s="110">
        <f>(LN(X6)-LN(W6))/(2*1.96)</f>
        <v>9.616069841840387E-2</v>
      </c>
      <c r="AB6" s="41" t="s">
        <v>556</v>
      </c>
      <c r="AC6" s="122">
        <v>0.28699999999999998</v>
      </c>
      <c r="AD6" t="s">
        <v>557</v>
      </c>
      <c r="AG6" s="42"/>
      <c r="AI6" s="41" t="s">
        <v>558</v>
      </c>
      <c r="AJ6" s="82">
        <f>prob_dead_ac</f>
        <v>5.4330679775487001E-2</v>
      </c>
      <c r="AK6">
        <v>1.88</v>
      </c>
      <c r="AL6" s="82">
        <v>1.18</v>
      </c>
      <c r="AM6" s="82">
        <v>3.01</v>
      </c>
      <c r="AN6" s="82">
        <f>AJ6/AK6</f>
        <v>2.8899297752918621E-2</v>
      </c>
      <c r="AO6" s="82">
        <v>2561</v>
      </c>
      <c r="AP6" s="126">
        <f>SQRT((AN6 * (1 - AN6)) / AO6)</f>
        <v>3.3103277118235346E-3</v>
      </c>
      <c r="AQ6" s="82">
        <f>AN6-(1.96*AP6)</f>
        <v>2.2411055437744493E-2</v>
      </c>
      <c r="AR6" s="98">
        <f>AN6+(1.96*AQ6)</f>
        <v>7.2824966410897835E-2</v>
      </c>
      <c r="AW6" s="41" t="s">
        <v>559</v>
      </c>
      <c r="AX6" s="1">
        <v>49</v>
      </c>
      <c r="AY6" s="101" t="s">
        <v>535</v>
      </c>
      <c r="AZ6" t="s">
        <v>179</v>
      </c>
      <c r="BA6" t="s">
        <v>560</v>
      </c>
      <c r="BB6" t="s">
        <v>143</v>
      </c>
      <c r="BC6" t="s">
        <v>561</v>
      </c>
      <c r="BD6" s="42" t="s">
        <v>562</v>
      </c>
    </row>
    <row r="7" spans="3:56" x14ac:dyDescent="0.2">
      <c r="C7" s="93">
        <v>2014</v>
      </c>
      <c r="D7" s="1">
        <v>6673</v>
      </c>
      <c r="E7" s="1">
        <v>8455</v>
      </c>
      <c r="F7" s="1">
        <v>2953</v>
      </c>
      <c r="G7" s="1">
        <v>18081</v>
      </c>
      <c r="H7" s="62">
        <f>D7/G7</f>
        <v>0.36906144571649796</v>
      </c>
      <c r="I7" s="62">
        <f>E7/G7</f>
        <v>0.46761794148553731</v>
      </c>
      <c r="J7" s="70">
        <f>F7/G7</f>
        <v>0.16332061279796473</v>
      </c>
      <c r="M7" s="105"/>
      <c r="N7" s="104" t="s">
        <v>563</v>
      </c>
      <c r="O7" s="107">
        <f>prob_mi_ac</f>
        <v>4.2200000000000001E-2</v>
      </c>
      <c r="P7" s="107">
        <f>O7/(1-O7)</f>
        <v>4.4059302568385889E-2</v>
      </c>
      <c r="Q7" s="106">
        <f>or_mi_tica_clop</f>
        <v>0.82</v>
      </c>
      <c r="R7" s="106">
        <v>0.73</v>
      </c>
      <c r="S7" s="106">
        <v>0.92</v>
      </c>
      <c r="T7" s="107">
        <f>EXP((LN(P7)+LN(Q7)))/(1+EXP(LN(P7)+LN(Q7)))</f>
        <v>3.4868863890109257E-2</v>
      </c>
      <c r="U7" s="107">
        <f>(LN(S7)-LN(R7))/(2*1.96)</f>
        <v>5.901253466853297E-2</v>
      </c>
      <c r="V7" s="106">
        <f>or_mi_pras_clop</f>
        <v>0.75</v>
      </c>
      <c r="W7" s="106">
        <v>0.66</v>
      </c>
      <c r="X7" s="106">
        <v>0.84</v>
      </c>
      <c r="Y7" s="107">
        <f>(EXP(LN(P7)+LN(V7)))/(1+EXP(LN(P7)+LN(V7)))</f>
        <v>3.1987467785133158E-2</v>
      </c>
      <c r="Z7" s="110">
        <f>(LN(X7)-LN(W7))/(2*1.96)</f>
        <v>6.1520932861451015E-2</v>
      </c>
      <c r="AB7" s="41" t="s">
        <v>564</v>
      </c>
      <c r="AC7" s="122">
        <v>0.58799999999999997</v>
      </c>
      <c r="AD7" t="s">
        <v>565</v>
      </c>
      <c r="AG7" s="42"/>
      <c r="AI7" s="41" t="s">
        <v>563</v>
      </c>
      <c r="AJ7" s="82">
        <f>prob_mi_ac</f>
        <v>4.2200000000000001E-2</v>
      </c>
      <c r="AK7">
        <v>1.67</v>
      </c>
      <c r="AL7" s="82">
        <v>1.21</v>
      </c>
      <c r="AM7" s="82">
        <v>2.31</v>
      </c>
      <c r="AN7" s="82">
        <f>AJ7/AK7</f>
        <v>2.5269461077844314E-2</v>
      </c>
      <c r="AO7" s="82">
        <v>2696</v>
      </c>
      <c r="AP7" s="126">
        <f>SQRT((AN7 * (1 - AN7)) / AO7)</f>
        <v>3.0225975951261152E-3</v>
      </c>
      <c r="AQ7" s="82">
        <f>AN7-(1.96*AP7)</f>
        <v>1.9345169791397131E-2</v>
      </c>
      <c r="AR7" s="98">
        <f>AN7+(1.96*AQ7)</f>
        <v>6.3185993868982687E-2</v>
      </c>
      <c r="AW7" s="41" t="s">
        <v>566</v>
      </c>
      <c r="AX7" s="1">
        <v>53</v>
      </c>
      <c r="AY7" s="105" t="s">
        <v>567</v>
      </c>
      <c r="AZ7" s="82">
        <v>7.8E-2</v>
      </c>
      <c r="BA7" s="1">
        <v>4387</v>
      </c>
      <c r="BB7" s="82">
        <f>(BD7-BC7)/1.96</f>
        <v>0.15816326530612237</v>
      </c>
      <c r="BC7" s="82">
        <v>1.62</v>
      </c>
      <c r="BD7" s="98">
        <v>1.93</v>
      </c>
    </row>
    <row r="8" spans="3:56" x14ac:dyDescent="0.2">
      <c r="C8" s="93">
        <v>2015</v>
      </c>
      <c r="D8" s="1">
        <v>6226</v>
      </c>
      <c r="E8" s="1">
        <v>9632</v>
      </c>
      <c r="F8" s="1">
        <v>2378</v>
      </c>
      <c r="G8" s="1">
        <v>18236</v>
      </c>
      <c r="H8" s="62">
        <f t="shared" ref="H8:H15" si="0">D8/G8</f>
        <v>0.34141259048036848</v>
      </c>
      <c r="I8" s="62">
        <f t="shared" ref="I8:I15" si="1">E8/G8</f>
        <v>0.528186005703005</v>
      </c>
      <c r="J8" s="70">
        <f t="shared" ref="J8:J15" si="2">F8/G8</f>
        <v>0.13040140381662646</v>
      </c>
      <c r="M8" s="105"/>
      <c r="N8" s="104" t="s">
        <v>568</v>
      </c>
      <c r="O8" s="107">
        <f>prob_stk_ac</f>
        <v>6.3E-3</v>
      </c>
      <c r="P8" s="107">
        <f>O8/(1-O8)</f>
        <v>6.3399416322833854E-3</v>
      </c>
      <c r="Q8" s="106">
        <f>or_stk_tica_clop</f>
        <v>1.1299999999999999</v>
      </c>
      <c r="R8" s="106">
        <v>0.89</v>
      </c>
      <c r="S8" s="106">
        <v>1.44</v>
      </c>
      <c r="T8" s="107">
        <f>EXP((LN(P8)+LN(Q8)))/(1+EXP(LN(P8)+LN(Q8)))</f>
        <v>7.1131743102399109E-3</v>
      </c>
      <c r="U8" s="107">
        <f>(LN(S8)-LN(R8))/(2*1.96)</f>
        <v>0.12274921679690325</v>
      </c>
      <c r="V8" s="106">
        <f>or_stk_pras_clop</f>
        <v>0.93</v>
      </c>
      <c r="W8" s="106">
        <v>0.67</v>
      </c>
      <c r="X8" s="106">
        <v>1.3</v>
      </c>
      <c r="Y8" s="107">
        <f>(EXP(LN(P8)+LN(V8)))/(1+EXP(LN(P8)+LN(V8)))</f>
        <v>5.861584958966902E-3</v>
      </c>
      <c r="Z8" s="110">
        <f>(LN(X8)-LN(W8))/(2*1.96)</f>
        <v>0.16909230384301435</v>
      </c>
      <c r="AB8" s="41" t="s">
        <v>569</v>
      </c>
      <c r="AC8" s="122">
        <v>0.31900000000000001</v>
      </c>
      <c r="AD8" t="s">
        <v>55</v>
      </c>
      <c r="AG8" s="42"/>
      <c r="AI8" s="41" t="s">
        <v>570</v>
      </c>
      <c r="AJ8" s="82">
        <f>prob_stk_ac</f>
        <v>6.3E-3</v>
      </c>
      <c r="AK8">
        <v>1</v>
      </c>
      <c r="AL8" s="82">
        <v>0.79</v>
      </c>
      <c r="AM8" s="82">
        <v>2.3199999999999998</v>
      </c>
      <c r="AN8" s="82">
        <f>AJ8/AK8</f>
        <v>6.3E-3</v>
      </c>
      <c r="AO8" s="82">
        <v>2696</v>
      </c>
      <c r="AP8" s="126">
        <f>SQRT((AN8 * (1 - AN8)) / AO8)</f>
        <v>1.5238351098909942E-3</v>
      </c>
      <c r="AQ8" s="82">
        <f>AN8-(1.96*AP8)</f>
        <v>3.3132831846136514E-3</v>
      </c>
      <c r="AR8" s="98">
        <f>AN8+(1.96*AQ8)</f>
        <v>1.2794035041842757E-2</v>
      </c>
      <c r="AS8" t="s">
        <v>571</v>
      </c>
      <c r="AW8" s="41" t="s">
        <v>572</v>
      </c>
      <c r="AX8" s="62">
        <v>7.85E-2</v>
      </c>
      <c r="AY8" s="105"/>
      <c r="AZ8" s="82"/>
      <c r="BA8" s="1"/>
      <c r="BB8" s="82"/>
      <c r="BC8" s="82"/>
      <c r="BD8" s="98"/>
    </row>
    <row r="9" spans="3:56" x14ac:dyDescent="0.2">
      <c r="C9" s="93">
        <v>2016</v>
      </c>
      <c r="D9" s="1">
        <v>5475</v>
      </c>
      <c r="E9" s="1">
        <v>9646</v>
      </c>
      <c r="F9" s="1">
        <v>2161</v>
      </c>
      <c r="G9" s="1">
        <v>17282</v>
      </c>
      <c r="H9" s="62">
        <f t="shared" si="0"/>
        <v>0.31680361069320678</v>
      </c>
      <c r="I9" s="62">
        <f t="shared" si="1"/>
        <v>0.55815299155190368</v>
      </c>
      <c r="J9" s="70">
        <f t="shared" si="2"/>
        <v>0.12504339775488948</v>
      </c>
      <c r="N9" s="104" t="s">
        <v>573</v>
      </c>
      <c r="O9" s="107">
        <f>prob_maj_bleed_ac</f>
        <v>2.3800000000000002E-2</v>
      </c>
      <c r="P9" s="107">
        <f>O9/(1-O9)</f>
        <v>2.4380249948780991E-2</v>
      </c>
      <c r="Q9" s="106">
        <f>or_maj_bleed__tica_clop</f>
        <v>1.04</v>
      </c>
      <c r="R9" s="106">
        <v>0.95</v>
      </c>
      <c r="S9" s="106">
        <v>1.1399999999999999</v>
      </c>
      <c r="T9" s="107">
        <f>EXP((LN(P9)+LN(Q9)))/(1+EXP(LN(P9)+LN(Q9)))</f>
        <v>2.4728458507500863E-2</v>
      </c>
      <c r="U9" s="107">
        <f>(LN(S9)-LN(R9))/(2*1.96)</f>
        <v>4.6510601222947597E-2</v>
      </c>
      <c r="V9" s="106">
        <f>or_maj_bleed_pras_clop</f>
        <v>1.43</v>
      </c>
      <c r="W9" s="106">
        <v>1.1399999999999999</v>
      </c>
      <c r="X9" s="106">
        <v>1.79</v>
      </c>
      <c r="Y9" s="107">
        <f>(EXP(LN(P9)+LN(V9)))/(1+EXP(LN(P9)+LN(V9)))</f>
        <v>3.3689224476705415E-2</v>
      </c>
      <c r="Z9" s="110">
        <f>(LN(X9)-LN(W9))/(2*1.96)</f>
        <v>0.11509881567506626</v>
      </c>
      <c r="AB9" s="41" t="s">
        <v>574</v>
      </c>
      <c r="AC9" s="122">
        <v>0.56999999999999995</v>
      </c>
      <c r="AD9" t="s">
        <v>171</v>
      </c>
      <c r="AG9" s="42"/>
      <c r="AI9" s="41"/>
      <c r="AR9" s="42"/>
      <c r="AW9" s="41" t="s">
        <v>575</v>
      </c>
      <c r="AX9" s="1"/>
      <c r="AY9" s="105"/>
      <c r="AZ9" s="82"/>
      <c r="BA9" s="1"/>
      <c r="BC9" s="82"/>
      <c r="BD9" s="98"/>
    </row>
    <row r="10" spans="3:56" x14ac:dyDescent="0.2">
      <c r="C10" s="93">
        <v>2017</v>
      </c>
      <c r="D10" s="1">
        <v>4797</v>
      </c>
      <c r="E10" s="1">
        <v>11303</v>
      </c>
      <c r="F10" s="1">
        <v>1610</v>
      </c>
      <c r="G10" s="1">
        <v>17710</v>
      </c>
      <c r="H10" s="62">
        <f t="shared" si="0"/>
        <v>0.27086391869000565</v>
      </c>
      <c r="I10" s="62">
        <f t="shared" si="1"/>
        <v>0.63822699040090347</v>
      </c>
      <c r="J10" s="70">
        <f t="shared" si="2"/>
        <v>9.0909090909090912E-2</v>
      </c>
      <c r="N10" s="108" t="s">
        <v>576</v>
      </c>
      <c r="O10" s="115">
        <f>prob_min_bleed_ac</f>
        <v>1.5100000000000001E-2</v>
      </c>
      <c r="P10" s="115">
        <f>O10/(1-O10)</f>
        <v>1.5331505736623008E-2</v>
      </c>
      <c r="Q10" s="109">
        <f>or_min_bleed_tica_clop</f>
        <v>1.37</v>
      </c>
      <c r="R10" s="109">
        <v>1.19</v>
      </c>
      <c r="S10" s="109">
        <v>1.57</v>
      </c>
      <c r="T10" s="115">
        <f>EXP((LN(P10)+LN(Q10)))/(1+EXP(LN(P10)+LN(Q10)))</f>
        <v>2.0572063879107424E-2</v>
      </c>
      <c r="U10" s="115">
        <f>(LN(S10)-LN(R10))/(2*1.96)</f>
        <v>7.0694467407341519E-2</v>
      </c>
      <c r="V10" s="109">
        <f>or_min_bleed_pras_clop</f>
        <v>2.0699999999999998</v>
      </c>
      <c r="W10" s="109">
        <v>0.88</v>
      </c>
      <c r="X10" s="109">
        <v>4.87</v>
      </c>
      <c r="Y10" s="115">
        <f>(EXP(LN(P10)+LN(V10)))/(1+EXP(LN(P10)+LN(V10)))</f>
        <v>3.0760010510186904E-2</v>
      </c>
      <c r="Z10" s="111">
        <f>(LN(X10)-LN(W10))/(2*1.96)</f>
        <v>0.43646104811336311</v>
      </c>
      <c r="AB10" s="41"/>
      <c r="AG10" s="42"/>
      <c r="AI10" s="47" t="s">
        <v>147</v>
      </c>
      <c r="AJ10" s="45"/>
      <c r="AK10" s="45"/>
      <c r="AL10" s="45"/>
      <c r="AM10" s="45"/>
      <c r="AN10" s="45"/>
      <c r="AO10" s="45"/>
      <c r="AP10" s="45"/>
      <c r="AQ10" s="45"/>
      <c r="AR10" s="46"/>
      <c r="AW10" s="41" t="s">
        <v>577</v>
      </c>
      <c r="AX10" s="1"/>
      <c r="AY10" s="105"/>
      <c r="AZ10" s="82"/>
      <c r="BA10" s="1"/>
      <c r="BB10" s="82"/>
      <c r="BC10" s="82"/>
      <c r="BD10" s="98"/>
    </row>
    <row r="11" spans="3:56" ht="16.5" customHeight="1" x14ac:dyDescent="0.2">
      <c r="C11" s="93">
        <v>2018</v>
      </c>
      <c r="D11" s="1">
        <v>4485</v>
      </c>
      <c r="E11" s="1">
        <v>10606</v>
      </c>
      <c r="F11" s="1">
        <v>1407</v>
      </c>
      <c r="G11" s="1">
        <v>16498</v>
      </c>
      <c r="H11" s="62">
        <f t="shared" si="0"/>
        <v>0.2718511334707237</v>
      </c>
      <c r="I11" s="62">
        <f t="shared" si="1"/>
        <v>0.64286580191538367</v>
      </c>
      <c r="J11" s="70">
        <f t="shared" si="2"/>
        <v>8.5283064613892595E-2</v>
      </c>
      <c r="AB11" s="41"/>
      <c r="AC11" s="435"/>
      <c r="AD11" s="435"/>
      <c r="AG11" s="42"/>
      <c r="AW11" s="41" t="s">
        <v>578</v>
      </c>
      <c r="AX11" s="89">
        <v>0.8</v>
      </c>
      <c r="AY11" s="105"/>
      <c r="AZ11" s="82"/>
      <c r="BA11" s="1"/>
      <c r="BB11" s="82"/>
      <c r="BC11" s="82"/>
      <c r="BD11" s="98"/>
    </row>
    <row r="12" spans="3:56" x14ac:dyDescent="0.2">
      <c r="C12" s="93">
        <v>2019</v>
      </c>
      <c r="D12" s="1">
        <v>4342</v>
      </c>
      <c r="E12" s="1">
        <v>10932</v>
      </c>
      <c r="F12" s="1">
        <v>1382</v>
      </c>
      <c r="G12" s="1">
        <v>16656</v>
      </c>
      <c r="H12" s="62">
        <f t="shared" si="0"/>
        <v>0.26068683957732947</v>
      </c>
      <c r="I12" s="62">
        <f t="shared" si="1"/>
        <v>0.65634005763688763</v>
      </c>
      <c r="J12" s="70">
        <f t="shared" si="2"/>
        <v>8.2973102785782904E-2</v>
      </c>
      <c r="U12" s="38"/>
      <c r="AB12" s="52" t="s">
        <v>579</v>
      </c>
      <c r="AC12" s="6" t="s">
        <v>580</v>
      </c>
      <c r="AD12" s="6" t="s">
        <v>581</v>
      </c>
      <c r="AE12" s="6" t="s">
        <v>582</v>
      </c>
      <c r="AF12" s="6" t="s">
        <v>583</v>
      </c>
      <c r="AG12" s="69" t="s">
        <v>584</v>
      </c>
      <c r="AW12" s="41" t="s">
        <v>585</v>
      </c>
      <c r="AX12" s="89">
        <v>0.3</v>
      </c>
      <c r="BD12" s="42"/>
    </row>
    <row r="13" spans="3:56" x14ac:dyDescent="0.2">
      <c r="C13" s="93">
        <v>2020</v>
      </c>
      <c r="D13" s="1">
        <v>3716</v>
      </c>
      <c r="E13" s="1">
        <v>9320</v>
      </c>
      <c r="F13" s="1">
        <v>2355</v>
      </c>
      <c r="G13" s="1">
        <v>15391</v>
      </c>
      <c r="H13" s="62">
        <f t="shared" si="0"/>
        <v>0.24143980248196997</v>
      </c>
      <c r="I13" s="62">
        <f t="shared" si="1"/>
        <v>0.60554869729062444</v>
      </c>
      <c r="J13" s="70">
        <f t="shared" si="2"/>
        <v>0.15301150022740562</v>
      </c>
      <c r="N13" s="103" t="s">
        <v>553</v>
      </c>
      <c r="O13" s="39"/>
      <c r="P13" s="113"/>
      <c r="Q13" s="113"/>
      <c r="R13" s="39"/>
      <c r="S13" s="40"/>
      <c r="U13" s="38"/>
      <c r="V13" s="106"/>
      <c r="W13" s="38"/>
      <c r="X13" s="106"/>
      <c r="Y13" s="106"/>
      <c r="AB13" s="123" t="s">
        <v>586</v>
      </c>
      <c r="AC13" s="6"/>
      <c r="AD13" s="6"/>
      <c r="AE13" s="6"/>
      <c r="AF13" s="6"/>
      <c r="AG13" s="69"/>
      <c r="AW13" s="41" t="s">
        <v>587</v>
      </c>
      <c r="AX13" s="190">
        <f>AX7/3</f>
        <v>17.666666666666668</v>
      </c>
      <c r="BD13" s="42"/>
    </row>
    <row r="14" spans="3:56" x14ac:dyDescent="0.2">
      <c r="C14" s="93">
        <v>2021</v>
      </c>
      <c r="D14" s="1">
        <v>3568</v>
      </c>
      <c r="E14" s="1">
        <v>8974</v>
      </c>
      <c r="F14" s="1">
        <v>3723</v>
      </c>
      <c r="G14" s="1">
        <v>16265</v>
      </c>
      <c r="H14" s="62">
        <f t="shared" si="0"/>
        <v>0.21936673839532739</v>
      </c>
      <c r="I14" s="62">
        <f t="shared" si="1"/>
        <v>0.55173685828466035</v>
      </c>
      <c r="J14" s="70">
        <f t="shared" si="2"/>
        <v>0.22889640332001229</v>
      </c>
      <c r="L14" s="1"/>
      <c r="N14" s="117" t="s">
        <v>535</v>
      </c>
      <c r="O14" t="s">
        <v>179</v>
      </c>
      <c r="P14" t="s">
        <v>560</v>
      </c>
      <c r="Q14" t="s">
        <v>143</v>
      </c>
      <c r="R14" t="s">
        <v>561</v>
      </c>
      <c r="S14" s="42" t="s">
        <v>562</v>
      </c>
      <c r="U14" s="38"/>
      <c r="V14" s="61" t="s">
        <v>525</v>
      </c>
      <c r="W14" s="61"/>
      <c r="X14" s="61"/>
      <c r="Y14" s="106"/>
      <c r="AB14" s="123" t="s">
        <v>588</v>
      </c>
      <c r="AC14" s="6">
        <v>1.1000000000000001</v>
      </c>
      <c r="AD14" s="119">
        <v>644900</v>
      </c>
      <c r="AE14" s="6" t="s">
        <v>589</v>
      </c>
      <c r="AF14" s="120">
        <v>53.316300000000005</v>
      </c>
      <c r="AG14" s="44">
        <f>AF14*AC14/100</f>
        <v>0.58647930000000015</v>
      </c>
      <c r="AW14" s="41" t="s">
        <v>590</v>
      </c>
      <c r="AX14" s="1">
        <f>AX6*AX11</f>
        <v>39.200000000000003</v>
      </c>
      <c r="BD14" s="42"/>
    </row>
    <row r="15" spans="3:56" x14ac:dyDescent="0.2">
      <c r="C15" s="93">
        <v>2022</v>
      </c>
      <c r="D15" s="1">
        <v>701</v>
      </c>
      <c r="E15" s="1">
        <v>2086</v>
      </c>
      <c r="F15" s="1">
        <v>974</v>
      </c>
      <c r="G15" s="1">
        <v>3761</v>
      </c>
      <c r="H15" s="62">
        <f t="shared" si="0"/>
        <v>0.1863865993086945</v>
      </c>
      <c r="I15" s="62">
        <f t="shared" si="1"/>
        <v>0.55463972347779844</v>
      </c>
      <c r="J15" s="70">
        <f t="shared" si="2"/>
        <v>0.25897367721350706</v>
      </c>
      <c r="L15" s="83"/>
      <c r="N15" s="104" t="s">
        <v>555</v>
      </c>
      <c r="O15" s="82">
        <v>7.6598682607015037E-2</v>
      </c>
      <c r="P15" s="1">
        <v>4012</v>
      </c>
      <c r="Q15" s="82">
        <f>SQRT((O15 * (1 - O15)) / P15)</f>
        <v>4.1988023630102362E-3</v>
      </c>
      <c r="R15" s="82">
        <f>O15-(1.96*Q15)</f>
        <v>6.8369029975514972E-2</v>
      </c>
      <c r="S15" s="98">
        <f>O15+(1.96*Q15)</f>
        <v>8.4828335238515101E-2</v>
      </c>
      <c r="V15" s="106"/>
      <c r="W15" s="38"/>
      <c r="X15" s="106"/>
      <c r="Y15" s="106"/>
      <c r="AB15" s="123" t="s">
        <v>591</v>
      </c>
      <c r="AC15" s="6">
        <v>0.7</v>
      </c>
      <c r="AD15" s="119">
        <v>445646</v>
      </c>
      <c r="AE15" s="6" t="s">
        <v>592</v>
      </c>
      <c r="AF15" s="6">
        <v>56.8</v>
      </c>
      <c r="AG15" s="44">
        <f t="shared" ref="AG15:AG36" si="3">AF15*AC15/100</f>
        <v>0.39759999999999995</v>
      </c>
      <c r="AW15" s="41" t="s">
        <v>593</v>
      </c>
      <c r="AX15" s="1">
        <f>AX13*AX12</f>
        <v>5.3</v>
      </c>
      <c r="BD15" s="42"/>
    </row>
    <row r="16" spans="3:56" x14ac:dyDescent="0.2">
      <c r="C16" s="91" t="s">
        <v>594</v>
      </c>
      <c r="D16" s="1"/>
      <c r="E16" s="1"/>
      <c r="F16" s="1"/>
      <c r="G16" s="1"/>
      <c r="H16" s="1"/>
      <c r="I16" s="1"/>
      <c r="J16" s="92"/>
      <c r="L16" s="7"/>
      <c r="N16" s="104" t="s">
        <v>563</v>
      </c>
      <c r="O16" s="82">
        <v>5.4379328977747207E-2</v>
      </c>
      <c r="P16" s="1">
        <v>4237</v>
      </c>
      <c r="Q16" s="82">
        <f>SQRT((O16 * (1 - O16)) / P16)</f>
        <v>3.4837434784263611E-3</v>
      </c>
      <c r="R16" s="82">
        <f>O16-(1.96*Q16)</f>
        <v>4.7551191760031537E-2</v>
      </c>
      <c r="S16" s="98">
        <f>O16+(1.96*Q16)</f>
        <v>6.1207466195462877E-2</v>
      </c>
      <c r="U16" s="38"/>
      <c r="V16" s="106"/>
      <c r="W16" s="38"/>
      <c r="X16" s="106"/>
      <c r="Y16" s="106"/>
      <c r="AB16" s="123" t="s">
        <v>595</v>
      </c>
      <c r="AC16" s="6">
        <v>3.1</v>
      </c>
      <c r="AD16" s="119">
        <v>1864304</v>
      </c>
      <c r="AE16" s="6" t="s">
        <v>589</v>
      </c>
      <c r="AF16" s="120">
        <v>53.316300000000005</v>
      </c>
      <c r="AG16" s="44">
        <f t="shared" si="3"/>
        <v>1.6528053000000003</v>
      </c>
      <c r="AW16" s="41" t="s">
        <v>429</v>
      </c>
      <c r="AX16" s="1">
        <f>AX14+AX15</f>
        <v>44.5</v>
      </c>
      <c r="BD16" s="42"/>
    </row>
    <row r="17" spans="3:56" x14ac:dyDescent="0.2">
      <c r="C17" s="93">
        <v>2014</v>
      </c>
      <c r="D17" s="1">
        <v>17374</v>
      </c>
      <c r="E17" s="1">
        <v>8943</v>
      </c>
      <c r="F17" s="1">
        <v>504</v>
      </c>
      <c r="G17" s="1">
        <v>26821</v>
      </c>
      <c r="H17" s="89">
        <f>D17/G17</f>
        <v>0.64777599642071515</v>
      </c>
      <c r="I17" s="89">
        <f>E17/G17</f>
        <v>0.33343275791357518</v>
      </c>
      <c r="J17" s="94">
        <f>F17/G17</f>
        <v>1.8791245665709704E-2</v>
      </c>
      <c r="L17" s="7"/>
      <c r="N17" s="104" t="s">
        <v>568</v>
      </c>
      <c r="O17" s="82">
        <v>1.4102084113315859E-2</v>
      </c>
      <c r="P17" s="1">
        <v>4387</v>
      </c>
      <c r="Q17" s="82">
        <f>SQRT((O17 * (1 - O17)) / P17)</f>
        <v>1.780220539464367E-3</v>
      </c>
      <c r="R17" s="82">
        <f>O17-(1.96*Q17)</f>
        <v>1.0612851855965701E-2</v>
      </c>
      <c r="S17" s="98">
        <f>O17+(1.96*Q17)</f>
        <v>1.7591316370666018E-2</v>
      </c>
      <c r="U17" s="38"/>
      <c r="V17" s="106"/>
      <c r="W17" s="38"/>
      <c r="X17" s="106"/>
      <c r="Y17" s="106"/>
      <c r="AB17" s="123" t="s">
        <v>596</v>
      </c>
      <c r="AC17" s="6">
        <v>2.7</v>
      </c>
      <c r="AD17" s="119">
        <v>1587822</v>
      </c>
      <c r="AE17" s="6" t="s">
        <v>589</v>
      </c>
      <c r="AF17" s="120">
        <v>53.316300000000005</v>
      </c>
      <c r="AG17" s="44">
        <f t="shared" si="3"/>
        <v>1.4395401000000001</v>
      </c>
      <c r="AW17" s="41" t="s">
        <v>597</v>
      </c>
      <c r="AX17" s="1">
        <v>4.9000000000000002E-2</v>
      </c>
      <c r="BD17" s="42"/>
    </row>
    <row r="18" spans="3:56" x14ac:dyDescent="0.2">
      <c r="C18" s="93">
        <v>2015</v>
      </c>
      <c r="D18" s="1">
        <v>16185</v>
      </c>
      <c r="E18" s="1">
        <v>10645</v>
      </c>
      <c r="F18" s="1">
        <v>500</v>
      </c>
      <c r="G18" s="1">
        <v>27330</v>
      </c>
      <c r="H18" s="89">
        <f t="shared" ref="H18:H25" si="4">D18/G18</f>
        <v>0.59220636663007686</v>
      </c>
      <c r="I18" s="89">
        <f t="shared" ref="I18:I25" si="5">E18/G18</f>
        <v>0.38949871935601904</v>
      </c>
      <c r="J18" s="94">
        <f t="shared" ref="J18:J25" si="6">F18/G18</f>
        <v>1.8294914013904134E-2</v>
      </c>
      <c r="L18" s="7"/>
      <c r="N18" s="104" t="s">
        <v>573</v>
      </c>
      <c r="O18" s="82">
        <v>2.2859883302693625E-2</v>
      </c>
      <c r="P18" s="1">
        <v>4387</v>
      </c>
      <c r="Q18" s="82">
        <f>SQRT((O18 * (1 - O18)) / P18)</f>
        <v>2.2564806266275154E-3</v>
      </c>
      <c r="R18" s="82">
        <f>O18-(1.96*Q18)</f>
        <v>1.8437181274503694E-2</v>
      </c>
      <c r="S18" s="98">
        <f>O18+(1.96*Q18)</f>
        <v>2.7282585330883555E-2</v>
      </c>
      <c r="U18" s="38"/>
      <c r="AB18" s="123" t="s">
        <v>598</v>
      </c>
      <c r="AC18" s="6">
        <v>1.6</v>
      </c>
      <c r="AD18" s="119">
        <v>972783</v>
      </c>
      <c r="AE18" s="6" t="s">
        <v>589</v>
      </c>
      <c r="AF18" s="120">
        <v>53.316300000000005</v>
      </c>
      <c r="AG18" s="44">
        <f t="shared" si="3"/>
        <v>0.85306080000000006</v>
      </c>
      <c r="AW18" s="47" t="s">
        <v>599</v>
      </c>
      <c r="AX18" s="99" t="s">
        <v>600</v>
      </c>
      <c r="AY18" s="45"/>
      <c r="AZ18" s="45"/>
      <c r="BA18" s="45"/>
      <c r="BB18" s="45"/>
      <c r="BC18" s="45"/>
      <c r="BD18" s="46"/>
    </row>
    <row r="19" spans="3:56" x14ac:dyDescent="0.2">
      <c r="C19" s="93">
        <v>2016</v>
      </c>
      <c r="D19" s="1">
        <v>16148</v>
      </c>
      <c r="E19" s="1">
        <v>11775</v>
      </c>
      <c r="F19" s="1">
        <v>357</v>
      </c>
      <c r="G19" s="1">
        <v>28280</v>
      </c>
      <c r="H19" s="89">
        <f t="shared" si="4"/>
        <v>0.57100424328147104</v>
      </c>
      <c r="I19" s="89">
        <f t="shared" si="5"/>
        <v>0.41637199434229138</v>
      </c>
      <c r="J19" s="94">
        <f t="shared" si="6"/>
        <v>1.2623762376237625E-2</v>
      </c>
      <c r="L19" s="7"/>
      <c r="N19" s="108" t="s">
        <v>576</v>
      </c>
      <c r="O19" s="116">
        <v>8.6305323455729055E-2</v>
      </c>
      <c r="P19" s="99">
        <v>4387</v>
      </c>
      <c r="Q19" s="116">
        <f>SQRT((O19 * (1 - O19)) / P19)</f>
        <v>4.2397038584785236E-3</v>
      </c>
      <c r="R19" s="116">
        <f>O19-(1.96*Q19)</f>
        <v>7.7995503893111148E-2</v>
      </c>
      <c r="S19" s="100">
        <f>O19+(1.96*Q19)</f>
        <v>9.4615143018346962E-2</v>
      </c>
      <c r="AB19" s="123" t="s">
        <v>601</v>
      </c>
      <c r="AC19" s="6"/>
      <c r="AD19" s="55"/>
      <c r="AE19" s="6"/>
      <c r="AF19" s="6"/>
      <c r="AG19" s="44"/>
    </row>
    <row r="20" spans="3:56" x14ac:dyDescent="0.2">
      <c r="C20" s="93">
        <v>2017</v>
      </c>
      <c r="D20" s="1">
        <v>14726</v>
      </c>
      <c r="E20" s="1">
        <v>13568</v>
      </c>
      <c r="F20" s="1">
        <v>329</v>
      </c>
      <c r="G20" s="1">
        <v>28623</v>
      </c>
      <c r="H20" s="89">
        <f t="shared" si="4"/>
        <v>0.51448136114313658</v>
      </c>
      <c r="I20" s="89">
        <f t="shared" si="5"/>
        <v>0.47402438598330016</v>
      </c>
      <c r="J20" s="94">
        <f t="shared" si="6"/>
        <v>1.1494252873563218E-2</v>
      </c>
      <c r="L20" s="7"/>
      <c r="P20" s="1"/>
      <c r="Q20" s="1"/>
      <c r="R20" s="1"/>
      <c r="S20" s="1"/>
      <c r="AB20" s="123" t="s">
        <v>602</v>
      </c>
      <c r="AC20" s="6">
        <v>2.5</v>
      </c>
      <c r="AD20" s="119">
        <v>1488387</v>
      </c>
      <c r="AE20" s="6" t="s">
        <v>603</v>
      </c>
      <c r="AF20" s="120">
        <v>31.132899999999996</v>
      </c>
      <c r="AG20" s="44">
        <f t="shared" si="3"/>
        <v>0.77832249999999992</v>
      </c>
    </row>
    <row r="21" spans="3:56" x14ac:dyDescent="0.2">
      <c r="C21" s="93">
        <v>2018</v>
      </c>
      <c r="D21" s="1">
        <v>13506</v>
      </c>
      <c r="E21" s="1">
        <v>13359</v>
      </c>
      <c r="F21" s="1">
        <v>289</v>
      </c>
      <c r="G21" s="1">
        <v>27154</v>
      </c>
      <c r="H21" s="89">
        <f t="shared" si="4"/>
        <v>0.49738528393606835</v>
      </c>
      <c r="I21" s="89">
        <f t="shared" si="5"/>
        <v>0.49197171687412539</v>
      </c>
      <c r="J21" s="94">
        <f t="shared" si="6"/>
        <v>1.0642999189806291E-2</v>
      </c>
      <c r="N21" s="103" t="s">
        <v>604</v>
      </c>
      <c r="O21" s="39"/>
      <c r="P21" s="113"/>
      <c r="Q21" s="113"/>
      <c r="R21" s="113"/>
      <c r="S21" s="114"/>
      <c r="V21" s="106"/>
      <c r="W21" s="106"/>
      <c r="X21" s="106"/>
      <c r="Y21" s="7"/>
      <c r="AB21" s="123" t="s">
        <v>605</v>
      </c>
      <c r="AC21" s="6">
        <v>1</v>
      </c>
      <c r="AD21" s="119">
        <v>623115</v>
      </c>
      <c r="AE21" s="6" t="s">
        <v>603</v>
      </c>
      <c r="AF21" s="120">
        <v>31.132899999999996</v>
      </c>
      <c r="AG21" s="44">
        <f t="shared" si="3"/>
        <v>0.31132899999999997</v>
      </c>
    </row>
    <row r="22" spans="3:56" x14ac:dyDescent="0.2">
      <c r="C22" s="93">
        <v>2019</v>
      </c>
      <c r="D22" s="1">
        <v>13809</v>
      </c>
      <c r="E22" s="1">
        <v>14450</v>
      </c>
      <c r="F22" s="1">
        <v>270</v>
      </c>
      <c r="G22" s="1">
        <v>28529</v>
      </c>
      <c r="H22" s="89">
        <f t="shared" si="4"/>
        <v>0.48403379017841497</v>
      </c>
      <c r="I22" s="89">
        <f t="shared" si="5"/>
        <v>0.50650215570121626</v>
      </c>
      <c r="J22" s="94">
        <f t="shared" si="6"/>
        <v>9.4640541203687475E-3</v>
      </c>
      <c r="N22" s="117" t="s">
        <v>535</v>
      </c>
      <c r="O22" t="s">
        <v>179</v>
      </c>
      <c r="P22" s="1" t="s">
        <v>560</v>
      </c>
      <c r="Q22" s="1" t="s">
        <v>143</v>
      </c>
      <c r="R22" s="1" t="s">
        <v>561</v>
      </c>
      <c r="S22" s="92" t="s">
        <v>562</v>
      </c>
      <c r="V22" s="106"/>
      <c r="W22" s="106"/>
      <c r="X22" s="106"/>
      <c r="Y22" s="7"/>
      <c r="AB22" s="123" t="s">
        <v>606</v>
      </c>
      <c r="AC22" s="6">
        <v>0.5</v>
      </c>
      <c r="AD22" s="119">
        <v>297781</v>
      </c>
      <c r="AE22" s="6" t="s">
        <v>603</v>
      </c>
      <c r="AF22" s="120">
        <v>31.132899999999996</v>
      </c>
      <c r="AG22" s="44">
        <f t="shared" si="3"/>
        <v>0.15566449999999998</v>
      </c>
    </row>
    <row r="23" spans="3:56" x14ac:dyDescent="0.2">
      <c r="C23" s="93">
        <v>2020</v>
      </c>
      <c r="D23" s="1">
        <v>12230</v>
      </c>
      <c r="E23" s="1">
        <v>12743</v>
      </c>
      <c r="F23" s="1">
        <v>578</v>
      </c>
      <c r="G23" s="1">
        <v>25551</v>
      </c>
      <c r="H23" s="89">
        <f t="shared" si="4"/>
        <v>0.47865054205314861</v>
      </c>
      <c r="I23" s="89">
        <f t="shared" si="5"/>
        <v>0.49872803412782279</v>
      </c>
      <c r="J23" s="94">
        <f t="shared" si="6"/>
        <v>2.262142381902861E-2</v>
      </c>
      <c r="N23" s="104" t="s">
        <v>607</v>
      </c>
      <c r="O23" s="82">
        <v>9.7253633201505651E-2</v>
      </c>
      <c r="P23" s="1">
        <v>1769</v>
      </c>
      <c r="Q23" s="82">
        <f>SQRT((O23 * (1 - O23)) / P23)</f>
        <v>7.0448520280021361E-3</v>
      </c>
      <c r="R23" s="82">
        <f>O23-(1.96*Q23)</f>
        <v>8.3445723226621471E-2</v>
      </c>
      <c r="S23" s="98">
        <f>O23+(1.96*Q23)</f>
        <v>0.11106154317638983</v>
      </c>
      <c r="V23" s="106"/>
      <c r="W23" s="106"/>
      <c r="X23" s="106"/>
      <c r="Y23" s="7"/>
      <c r="AB23" s="123" t="s">
        <v>608</v>
      </c>
      <c r="AC23" s="6"/>
      <c r="AD23" s="55"/>
      <c r="AE23" s="6"/>
      <c r="AF23" s="6"/>
      <c r="AG23" s="44">
        <f t="shared" si="3"/>
        <v>0</v>
      </c>
    </row>
    <row r="24" spans="3:56" x14ac:dyDescent="0.2">
      <c r="C24" s="93">
        <v>2021</v>
      </c>
      <c r="D24" s="1">
        <v>13228</v>
      </c>
      <c r="E24" s="1">
        <v>12349</v>
      </c>
      <c r="F24" s="1">
        <v>784</v>
      </c>
      <c r="G24" s="1">
        <v>26361</v>
      </c>
      <c r="H24" s="89">
        <f t="shared" si="4"/>
        <v>0.50180190432836391</v>
      </c>
      <c r="I24" s="89">
        <f t="shared" si="5"/>
        <v>0.46845719054664087</v>
      </c>
      <c r="J24" s="94">
        <f t="shared" si="6"/>
        <v>2.9740905124995259E-2</v>
      </c>
      <c r="L24" s="85"/>
      <c r="M24" s="85"/>
      <c r="N24" s="104" t="s">
        <v>563</v>
      </c>
      <c r="O24" s="82">
        <v>4.9969154842689711E-2</v>
      </c>
      <c r="P24" s="1">
        <v>1769</v>
      </c>
      <c r="Q24" s="82">
        <f>SQRT((O24 * (1 - O24)) / P24)</f>
        <v>5.1803122542955935E-3</v>
      </c>
      <c r="R24" s="82">
        <f>O24-(1.96*Q24)</f>
        <v>3.9815742824270348E-2</v>
      </c>
      <c r="S24" s="98">
        <f>O24+(1.96*Q24)</f>
        <v>6.0122566861109075E-2</v>
      </c>
      <c r="V24" s="106"/>
      <c r="W24" s="106"/>
      <c r="X24" s="106"/>
      <c r="Y24" s="7"/>
      <c r="AB24" s="123" t="s">
        <v>609</v>
      </c>
      <c r="AC24" s="6">
        <v>0.8</v>
      </c>
      <c r="AD24" s="119">
        <v>488228</v>
      </c>
      <c r="AE24" s="6" t="s">
        <v>610</v>
      </c>
      <c r="AF24" s="120">
        <v>26.287100000000006</v>
      </c>
      <c r="AG24" s="44">
        <f t="shared" si="3"/>
        <v>0.21029680000000006</v>
      </c>
    </row>
    <row r="25" spans="3:56" x14ac:dyDescent="0.2">
      <c r="C25" s="93">
        <v>2022</v>
      </c>
      <c r="D25" s="1">
        <v>3135</v>
      </c>
      <c r="E25" s="1">
        <v>2970</v>
      </c>
      <c r="F25" s="1">
        <v>158</v>
      </c>
      <c r="G25" s="1">
        <v>6263</v>
      </c>
      <c r="H25" s="89">
        <f t="shared" si="4"/>
        <v>0.5005588376177551</v>
      </c>
      <c r="I25" s="89">
        <f t="shared" si="5"/>
        <v>0.47421363563787322</v>
      </c>
      <c r="J25" s="94">
        <f t="shared" si="6"/>
        <v>2.5227526744371707E-2</v>
      </c>
      <c r="L25" s="86"/>
      <c r="M25" s="86"/>
      <c r="N25" s="104" t="s">
        <v>570</v>
      </c>
      <c r="O25" s="82">
        <v>1.1635180783185286E-2</v>
      </c>
      <c r="P25" s="1">
        <v>1769</v>
      </c>
      <c r="Q25" s="82">
        <f>SQRT((O25 * (1 - O25)) / P25)</f>
        <v>2.5496542457632007E-3</v>
      </c>
      <c r="R25" s="82">
        <f>O25-(1.96*Q25)</f>
        <v>6.6378584614894126E-3</v>
      </c>
      <c r="S25" s="98">
        <f>O25+(1.96*Q25)</f>
        <v>1.6632503104881159E-2</v>
      </c>
      <c r="V25" s="106"/>
      <c r="W25" s="106"/>
      <c r="X25" s="106"/>
      <c r="Y25" s="7"/>
      <c r="AB25" s="123" t="s">
        <v>611</v>
      </c>
      <c r="AC25" s="6">
        <v>0.4</v>
      </c>
      <c r="AD25" s="119">
        <v>249593</v>
      </c>
      <c r="AE25" s="6" t="s">
        <v>610</v>
      </c>
      <c r="AF25" s="120">
        <v>26.287100000000006</v>
      </c>
      <c r="AG25" s="44">
        <f t="shared" si="3"/>
        <v>0.10514840000000003</v>
      </c>
    </row>
    <row r="26" spans="3:56" ht="15" customHeight="1" x14ac:dyDescent="0.2">
      <c r="C26" s="95" t="s">
        <v>147</v>
      </c>
      <c r="D26" s="433" t="s">
        <v>155</v>
      </c>
      <c r="E26" s="433"/>
      <c r="F26" s="433"/>
      <c r="G26" s="433"/>
      <c r="H26" s="433"/>
      <c r="I26" s="433"/>
      <c r="J26" s="434"/>
      <c r="L26" s="87"/>
      <c r="M26" s="88"/>
      <c r="N26" s="104" t="s">
        <v>612</v>
      </c>
      <c r="O26" s="82">
        <v>3.1165177421591746E-2</v>
      </c>
      <c r="P26" s="1">
        <v>1023</v>
      </c>
      <c r="Q26" s="82">
        <f>SQRT((O26 * (1 - O26)) / P26)</f>
        <v>5.4327767021908327E-3</v>
      </c>
      <c r="R26" s="82">
        <f>O26-(1.96*Q26)</f>
        <v>2.0516935085297713E-2</v>
      </c>
      <c r="S26" s="98">
        <f>O26+(1.96*Q26)</f>
        <v>4.1813419757885779E-2</v>
      </c>
      <c r="AB26" s="123" t="s">
        <v>613</v>
      </c>
      <c r="AC26" s="6">
        <v>0.9</v>
      </c>
      <c r="AD26" s="119">
        <v>513040</v>
      </c>
      <c r="AE26" s="6" t="s">
        <v>610</v>
      </c>
      <c r="AF26" s="120">
        <v>26.287100000000006</v>
      </c>
      <c r="AG26" s="44">
        <f t="shared" si="3"/>
        <v>0.23658390000000004</v>
      </c>
    </row>
    <row r="27" spans="3:56" x14ac:dyDescent="0.2">
      <c r="L27" s="87"/>
      <c r="M27" s="88"/>
      <c r="N27" s="108" t="s">
        <v>614</v>
      </c>
      <c r="O27" s="116">
        <v>0.12489534758632949</v>
      </c>
      <c r="P27" s="99">
        <v>1023</v>
      </c>
      <c r="Q27" s="116">
        <f>SQRT((O27 * (1 - O27)) / P27)</f>
        <v>1.0336304860998012E-2</v>
      </c>
      <c r="R27" s="116">
        <f>O27-(1.96*Q27)</f>
        <v>0.10463619005877339</v>
      </c>
      <c r="S27" s="100">
        <f>O27+(1.96*Q27)</f>
        <v>0.14515450511388558</v>
      </c>
      <c r="AB27" s="123" t="s">
        <v>615</v>
      </c>
      <c r="AC27" s="6">
        <v>0.8</v>
      </c>
      <c r="AD27" s="119">
        <v>467116</v>
      </c>
      <c r="AE27" s="6" t="s">
        <v>610</v>
      </c>
      <c r="AF27" s="120">
        <v>26.287100000000006</v>
      </c>
      <c r="AG27" s="44">
        <f t="shared" si="3"/>
        <v>0.21029680000000006</v>
      </c>
    </row>
    <row r="28" spans="3:56" x14ac:dyDescent="0.2">
      <c r="E28" s="191"/>
      <c r="F28" s="174"/>
      <c r="L28" s="87"/>
      <c r="M28" s="88"/>
      <c r="AB28" s="123" t="s">
        <v>616</v>
      </c>
      <c r="AC28" s="6"/>
      <c r="AD28" s="55"/>
      <c r="AE28" s="6"/>
      <c r="AF28" s="120"/>
      <c r="AG28" s="44"/>
    </row>
    <row r="29" spans="3:56" x14ac:dyDescent="0.2">
      <c r="D29" s="118"/>
      <c r="E29" s="118"/>
      <c r="L29" s="87"/>
      <c r="M29" s="88"/>
      <c r="O29" s="38"/>
      <c r="AB29" s="123" t="s">
        <v>617</v>
      </c>
      <c r="AC29" s="6">
        <v>0.1</v>
      </c>
      <c r="AD29" s="119">
        <v>67757</v>
      </c>
      <c r="AE29" s="6" t="s">
        <v>618</v>
      </c>
      <c r="AF29" s="120">
        <v>27.128499999999995</v>
      </c>
      <c r="AG29" s="44">
        <f t="shared" si="3"/>
        <v>2.7128499999999996E-2</v>
      </c>
    </row>
    <row r="30" spans="3:56" x14ac:dyDescent="0.2">
      <c r="D30" s="118"/>
      <c r="E30" s="118"/>
      <c r="L30" s="87"/>
      <c r="M30" s="88"/>
      <c r="O30" s="38"/>
      <c r="AB30" s="123" t="s">
        <v>619</v>
      </c>
      <c r="AC30" s="6">
        <v>0.2</v>
      </c>
      <c r="AD30" s="119">
        <v>100964</v>
      </c>
      <c r="AE30" s="6" t="s">
        <v>618</v>
      </c>
      <c r="AF30" s="120">
        <v>27.128499999999995</v>
      </c>
      <c r="AG30" s="44">
        <f t="shared" si="3"/>
        <v>5.4256999999999993E-2</v>
      </c>
    </row>
    <row r="31" spans="3:56" x14ac:dyDescent="0.2">
      <c r="D31" s="118"/>
      <c r="E31" s="118"/>
      <c r="O31" s="38"/>
      <c r="AB31" s="123" t="s">
        <v>620</v>
      </c>
      <c r="AC31" s="6">
        <v>74.400000000000006</v>
      </c>
      <c r="AD31" s="119">
        <v>44355044</v>
      </c>
      <c r="AE31" s="6" t="s">
        <v>618</v>
      </c>
      <c r="AF31" s="120">
        <v>27.128499999999995</v>
      </c>
      <c r="AG31" s="44">
        <f t="shared" si="3"/>
        <v>20.183603999999999</v>
      </c>
    </row>
    <row r="32" spans="3:56" x14ac:dyDescent="0.2">
      <c r="O32" s="38"/>
      <c r="AB32" s="123" t="s">
        <v>621</v>
      </c>
      <c r="AC32" s="6">
        <v>0.9</v>
      </c>
      <c r="AD32" s="119">
        <v>507473</v>
      </c>
      <c r="AE32" s="6" t="s">
        <v>618</v>
      </c>
      <c r="AF32" s="120">
        <v>27.128499999999995</v>
      </c>
      <c r="AG32" s="44">
        <f t="shared" si="3"/>
        <v>0.24415649999999997</v>
      </c>
    </row>
    <row r="33" spans="15:33" x14ac:dyDescent="0.2">
      <c r="O33" s="38"/>
      <c r="AB33" s="123" t="s">
        <v>622</v>
      </c>
      <c r="AC33" s="6">
        <v>6.2</v>
      </c>
      <c r="AD33" s="119">
        <v>3667993</v>
      </c>
      <c r="AE33" s="6" t="s">
        <v>618</v>
      </c>
      <c r="AF33" s="120">
        <v>27.128499999999995</v>
      </c>
      <c r="AG33" s="44">
        <f t="shared" si="3"/>
        <v>1.6819669999999995</v>
      </c>
    </row>
    <row r="34" spans="15:33" x14ac:dyDescent="0.2">
      <c r="AB34" s="123" t="s">
        <v>610</v>
      </c>
      <c r="AC34" s="6"/>
      <c r="AD34" s="6"/>
      <c r="AE34" s="6"/>
      <c r="AF34" s="120"/>
      <c r="AG34" s="44"/>
    </row>
    <row r="35" spans="15:33" x14ac:dyDescent="0.2">
      <c r="O35" s="38"/>
      <c r="AB35" s="123" t="s">
        <v>623</v>
      </c>
      <c r="AC35" s="6">
        <v>0.6</v>
      </c>
      <c r="AD35" s="121">
        <v>331856</v>
      </c>
      <c r="AE35" s="6" t="s">
        <v>624</v>
      </c>
      <c r="AF35" s="120">
        <v>26.287100000000006</v>
      </c>
      <c r="AG35" s="44">
        <f t="shared" si="3"/>
        <v>0.15772260000000002</v>
      </c>
    </row>
    <row r="36" spans="15:33" x14ac:dyDescent="0.2">
      <c r="O36" s="38"/>
      <c r="AB36" s="123" t="s">
        <v>625</v>
      </c>
      <c r="AC36" s="6">
        <v>1.6</v>
      </c>
      <c r="AD36" s="121">
        <v>923776</v>
      </c>
      <c r="AE36" s="6" t="s">
        <v>624</v>
      </c>
      <c r="AF36" s="120">
        <v>26.287100000000006</v>
      </c>
      <c r="AG36" s="44">
        <f t="shared" si="3"/>
        <v>0.42059360000000012</v>
      </c>
    </row>
    <row r="37" spans="15:33" x14ac:dyDescent="0.2">
      <c r="O37" s="38"/>
      <c r="AB37" s="52" t="s">
        <v>626</v>
      </c>
      <c r="AC37" s="6"/>
      <c r="AD37" s="6"/>
      <c r="AE37" s="6"/>
      <c r="AF37" s="6"/>
      <c r="AG37" s="44">
        <f>SUM(AG14:AG36)</f>
        <v>29.706556599999999</v>
      </c>
    </row>
    <row r="38" spans="15:33" x14ac:dyDescent="0.2">
      <c r="O38" s="38"/>
      <c r="AB38" s="41"/>
      <c r="AG38" s="42"/>
    </row>
    <row r="39" spans="15:33" x14ac:dyDescent="0.2">
      <c r="O39" s="38"/>
      <c r="AB39" s="41" t="s">
        <v>557</v>
      </c>
      <c r="AC39" t="s">
        <v>627</v>
      </c>
      <c r="AG39" s="42"/>
    </row>
    <row r="40" spans="15:33" x14ac:dyDescent="0.2">
      <c r="AB40" s="41" t="s">
        <v>565</v>
      </c>
      <c r="AC40" s="124" t="s">
        <v>628</v>
      </c>
      <c r="AG40" s="42"/>
    </row>
    <row r="41" spans="15:33" x14ac:dyDescent="0.2">
      <c r="AB41" s="41" t="s">
        <v>55</v>
      </c>
      <c r="AC41" s="124" t="s">
        <v>225</v>
      </c>
      <c r="AG41" s="42"/>
    </row>
    <row r="42" spans="15:33" x14ac:dyDescent="0.2">
      <c r="AB42" s="47" t="s">
        <v>171</v>
      </c>
      <c r="AC42" s="45" t="s">
        <v>629</v>
      </c>
      <c r="AD42" s="45"/>
      <c r="AE42" s="45"/>
      <c r="AF42" s="45"/>
      <c r="AG42" s="46"/>
    </row>
  </sheetData>
  <mergeCells count="3">
    <mergeCell ref="D26:J26"/>
    <mergeCell ref="AC11:AD11"/>
    <mergeCell ref="R3:U3"/>
  </mergeCells>
  <hyperlinks>
    <hyperlink ref="D26" r:id="rId1" display="https://doi.org/10.1161/jaha.124.034414" xr:uid="{74D8E13B-E546-461B-83E8-E6ED49FA12A2}"/>
    <hyperlink ref="AC41" r:id="rId2" display="https://doi.org/10.1111/cts.12830" xr:uid="{D484D76B-243D-4863-8457-692893D7FA31}"/>
    <hyperlink ref="AC40" r:id="rId3" display="https://doi.org/10.1016/j.jns.2016.08.025" xr:uid="{03C68187-FA64-4A09-A722-78D911D787FA}"/>
  </hyperlinks>
  <pageMargins left="0.7" right="0.7" top="0.75" bottom="0.75" header="0.3" footer="0.3"/>
  <pageSetup paperSize="9" orientation="portrait"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C243C-C82C-4A3A-BF64-B6D95F1AF4A1}">
  <sheetPr codeName="Sheet11"/>
  <dimension ref="A1:AS112"/>
  <sheetViews>
    <sheetView showGridLines="0" topLeftCell="G1" workbookViewId="0">
      <pane ySplit="2" topLeftCell="A3" activePane="bottomLeft" state="frozen"/>
      <selection pane="bottomLeft" activeCell="AM7" sqref="AM7"/>
    </sheetView>
  </sheetViews>
  <sheetFormatPr baseColWidth="10" defaultColWidth="8.83203125" defaultRowHeight="15" x14ac:dyDescent="0.2"/>
  <cols>
    <col min="1" max="1" width="2.1640625" customWidth="1"/>
    <col min="2" max="2" width="64.83203125" customWidth="1"/>
    <col min="3" max="4" width="0.83203125" customWidth="1"/>
    <col min="5" max="5" width="9.1640625" style="1" customWidth="1"/>
    <col min="6" max="6" width="1.83203125" style="1" customWidth="1"/>
    <col min="7" max="7" width="9.1640625" style="1" customWidth="1"/>
    <col min="8" max="8" width="0.83203125" style="1" customWidth="1"/>
    <col min="9" max="9" width="11.5" customWidth="1"/>
    <col min="10" max="10" width="1.1640625" customWidth="1"/>
    <col min="11" max="11" width="11.83203125" customWidth="1"/>
    <col min="12" max="12" width="0.83203125" customWidth="1"/>
    <col min="13" max="13" width="1.5" style="1" customWidth="1"/>
    <col min="14" max="14" width="14.1640625" style="1" customWidth="1"/>
    <col min="15" max="15" width="1.83203125" style="1" customWidth="1"/>
    <col min="16" max="16" width="14.1640625" style="1" customWidth="1"/>
    <col min="17" max="17" width="1.83203125" style="1" customWidth="1"/>
    <col min="18" max="18" width="14.1640625" style="1" customWidth="1"/>
    <col min="19" max="19" width="1.83203125" style="1" customWidth="1"/>
    <col min="20" max="20" width="16.5" style="1" customWidth="1"/>
    <col min="21" max="21" width="12.5" style="1" customWidth="1"/>
    <col min="22" max="22" width="1.33203125" style="1" customWidth="1"/>
    <col min="23" max="23" width="11.1640625" customWidth="1"/>
    <col min="24" max="24" width="1.33203125" customWidth="1"/>
    <col min="25" max="25" width="12.5" customWidth="1"/>
    <col min="26" max="26" width="0.83203125" customWidth="1"/>
    <col min="27" max="27" width="13.5" customWidth="1"/>
    <col min="28" max="28" width="0.83203125" customWidth="1"/>
    <col min="29" max="29" width="14.1640625" customWidth="1"/>
    <col min="30" max="30" width="0.5" customWidth="1"/>
    <col min="31" max="31" width="14.5" customWidth="1"/>
    <col min="32" max="32" width="0.83203125" customWidth="1"/>
    <col min="33" max="33" width="14.83203125" customWidth="1"/>
    <col min="34" max="34" width="0.83203125" customWidth="1"/>
    <col min="35" max="35" width="13.83203125" customWidth="1"/>
    <col min="36" max="36" width="1.5" customWidth="1"/>
    <col min="37" max="37" width="25.1640625" customWidth="1"/>
    <col min="38" max="38" width="1.5" customWidth="1"/>
    <col min="39" max="39" width="14.5" customWidth="1"/>
    <col min="40" max="40" width="1.83203125" customWidth="1"/>
    <col min="41" max="41" width="9.83203125" customWidth="1"/>
    <col min="42" max="42" width="20" customWidth="1"/>
    <col min="43" max="43" width="13.83203125" customWidth="1"/>
    <col min="45" max="45" width="54.83203125" customWidth="1"/>
    <col min="2000" max="2001" width="2.5" customWidth="1"/>
    <col min="2003" max="2003" width="2.5" customWidth="1"/>
    <col min="2024" max="2024" width="2.5" customWidth="1"/>
    <col min="2029" max="2029" width="2.5" customWidth="1"/>
  </cols>
  <sheetData>
    <row r="1" spans="1:45" x14ac:dyDescent="0.2">
      <c r="B1" s="173"/>
      <c r="E1" s="61"/>
    </row>
    <row r="2" spans="1:45" s="168" customFormat="1" ht="38.5" customHeight="1" x14ac:dyDescent="0.2">
      <c r="A2" s="63"/>
      <c r="B2" s="179" t="s">
        <v>630</v>
      </c>
      <c r="C2" s="63"/>
      <c r="D2" s="63"/>
      <c r="E2" s="168" t="s">
        <v>631</v>
      </c>
      <c r="F2" s="63"/>
      <c r="G2" s="168" t="s">
        <v>632</v>
      </c>
      <c r="H2" s="63"/>
      <c r="I2" s="168" t="s">
        <v>633</v>
      </c>
      <c r="J2" s="63"/>
      <c r="K2" s="168" t="s">
        <v>634</v>
      </c>
      <c r="L2" s="63"/>
      <c r="M2" s="63"/>
      <c r="N2" s="168" t="s">
        <v>635</v>
      </c>
      <c r="O2" s="63"/>
      <c r="P2" s="168" t="s">
        <v>636</v>
      </c>
      <c r="Q2" s="63"/>
      <c r="R2" s="168" t="s">
        <v>637</v>
      </c>
      <c r="S2" s="63"/>
      <c r="T2" s="63"/>
      <c r="U2" s="63"/>
      <c r="V2" s="63"/>
      <c r="W2" s="168" t="s">
        <v>638</v>
      </c>
      <c r="X2" s="63"/>
      <c r="Y2" s="168" t="s">
        <v>639</v>
      </c>
      <c r="Z2" s="63"/>
      <c r="AA2" s="168" t="s">
        <v>640</v>
      </c>
      <c r="AB2" s="63"/>
      <c r="AC2" s="168" t="s">
        <v>641</v>
      </c>
      <c r="AD2" s="63"/>
      <c r="AE2" s="168" t="s">
        <v>642</v>
      </c>
      <c r="AF2" s="63"/>
      <c r="AG2" s="168" t="s">
        <v>643</v>
      </c>
      <c r="AH2" s="63"/>
      <c r="AI2" s="293"/>
      <c r="AJ2" s="63"/>
      <c r="AK2" s="63"/>
      <c r="AL2" s="63"/>
      <c r="AM2" s="63"/>
      <c r="AN2" s="63"/>
      <c r="AO2" s="63"/>
      <c r="AP2" s="63"/>
      <c r="AQ2" s="168" t="s">
        <v>644</v>
      </c>
    </row>
    <row r="3" spans="1:45" s="175" customFormat="1" ht="10" customHeight="1" x14ac:dyDescent="0.2">
      <c r="B3" s="63"/>
      <c r="E3" s="63"/>
      <c r="F3" s="63"/>
      <c r="G3" s="63"/>
      <c r="K3" s="63"/>
      <c r="M3" s="63"/>
      <c r="N3" s="63"/>
      <c r="O3" s="63"/>
      <c r="P3" s="63"/>
      <c r="Q3" s="63"/>
      <c r="R3" s="63"/>
      <c r="S3" s="63"/>
      <c r="T3" s="63"/>
      <c r="U3" s="63"/>
      <c r="V3" s="63"/>
      <c r="W3" s="63"/>
      <c r="X3" s="63"/>
      <c r="AA3" s="63"/>
      <c r="AE3" s="63"/>
      <c r="AF3" s="63"/>
      <c r="AG3" s="63"/>
      <c r="AI3" s="293"/>
    </row>
    <row r="4" spans="1:45" ht="16.5" customHeight="1" x14ac:dyDescent="0.2">
      <c r="B4" s="14" t="s">
        <v>645</v>
      </c>
      <c r="D4" s="167"/>
      <c r="E4" s="170">
        <f>stemi_size*prop_ac_st*(1-prob_mi_ac-prob_stk_ac-prob_dead_ac)</f>
        <v>448.58466011225653</v>
      </c>
      <c r="F4" s="167"/>
      <c r="G4" s="176">
        <f>prop_ac_st*(1-prob_mi_ac-prob_stk_ac-prob_dead_ac)</f>
        <v>0.44858466011225651</v>
      </c>
      <c r="H4" s="167"/>
      <c r="I4" s="170">
        <f>(ld_clop_600 + ((day_cost_asa + day_cost_clop)*md_328_day))</f>
        <v>21.754285714285718</v>
      </c>
      <c r="J4" s="167"/>
      <c r="K4" s="170">
        <f>((c_pci)+(c_drug_ac_noevent_st)+(c_bleed_ac)+(c_dys_ac)+(c_noevent_tree))</f>
        <v>5214.2524251196237</v>
      </c>
      <c r="L4" s="167"/>
      <c r="M4" s="167"/>
      <c r="N4" s="170">
        <f>G4*K4</f>
        <v>2339.0336518617955</v>
      </c>
      <c r="O4" s="167"/>
      <c r="P4" s="176">
        <f>u_noevent_tree - u_dec_bleed_ac -u_dec_dys_ac</f>
        <v>0.67909230267715071</v>
      </c>
      <c r="Q4" s="82"/>
      <c r="R4" s="176">
        <f>G4*P4</f>
        <v>0.30463038978127926</v>
      </c>
      <c r="S4" s="167"/>
      <c r="T4" s="292" t="s">
        <v>646</v>
      </c>
      <c r="U4" s="176">
        <f>G4+G9+G14</f>
        <v>0.90617662715630365</v>
      </c>
      <c r="V4" s="167"/>
      <c r="W4" s="172">
        <f>SUM(N4:N17)</f>
        <v>5777.7904432293171</v>
      </c>
      <c r="X4" s="186"/>
      <c r="Y4" s="172">
        <f>SUM(N19:N36)</f>
        <v>5775.6062791588829</v>
      </c>
      <c r="AA4" s="301">
        <f>SUM(R4:R17)</f>
        <v>0.6610876009388641</v>
      </c>
      <c r="AB4" s="177"/>
      <c r="AC4" s="301">
        <f>SUM(R19:R36)</f>
        <v>0.66301250975831449</v>
      </c>
      <c r="AD4" s="167"/>
      <c r="AE4" s="172">
        <f>c_poc_tree-c_st_tree</f>
        <v>-2.1841640704342353</v>
      </c>
      <c r="AF4" s="186"/>
      <c r="AG4" s="301">
        <f>qaly_poc_tree-qaly_st_tree</f>
        <v>1.9249088194503994E-3</v>
      </c>
      <c r="AH4" s="167"/>
      <c r="AI4" s="186">
        <f>AE4/AG4</f>
        <v>-1134.6844319918794</v>
      </c>
      <c r="AJ4" s="167"/>
      <c r="AN4" s="167"/>
      <c r="AO4" s="167"/>
      <c r="AP4" s="167"/>
      <c r="AQ4" t="s">
        <v>23</v>
      </c>
      <c r="AR4" s="4" t="s">
        <v>647</v>
      </c>
    </row>
    <row r="5" spans="1:45" x14ac:dyDescent="0.2">
      <c r="B5" s="14" t="s">
        <v>648</v>
      </c>
      <c r="D5" s="61"/>
      <c r="E5" s="169">
        <f>stemi_size*prop_ac_st*prob_mi_ac</f>
        <v>21.1</v>
      </c>
      <c r="F5" s="61"/>
      <c r="G5" s="176">
        <f>prop_ac_st*prob_mi_ac</f>
        <v>2.1100000000000001E-2</v>
      </c>
      <c r="H5" s="61"/>
      <c r="I5" s="169">
        <f>(ld_clop_600 + ((day_cost_asa + day_cost_clop)*md_365_day))</f>
        <v>24.172500000000003</v>
      </c>
      <c r="J5" s="61"/>
      <c r="K5" s="170">
        <f>((c_pci)+(c_drug_ac_mi_st)+(c_bleed_ac)+(c_dys_ac)+(c_mi_tree))</f>
        <v>10011.379725360304</v>
      </c>
      <c r="L5" s="167"/>
      <c r="M5" s="167"/>
      <c r="N5" s="170">
        <f>G5*K5</f>
        <v>211.24011220510243</v>
      </c>
      <c r="O5" s="167"/>
      <c r="P5" s="176">
        <f>((u_noevent_tree*0.5)+(u_rinfar_tree*0.5 ))- u_dec_bleed_ac -u_dec_dys_ac</f>
        <v>0.65367049063915073</v>
      </c>
      <c r="Q5" s="82"/>
      <c r="R5" s="176">
        <f>G5*P5</f>
        <v>1.3792447352486081E-2</v>
      </c>
      <c r="S5" s="167"/>
      <c r="T5" s="292" t="s">
        <v>649</v>
      </c>
      <c r="U5" s="176">
        <f>G5+G10+G15</f>
        <v>3.8447990061905343E-2</v>
      </c>
      <c r="V5" s="167"/>
      <c r="AA5" s="177"/>
      <c r="AB5" s="167"/>
      <c r="AC5" s="177"/>
      <c r="AD5" s="167"/>
      <c r="AH5" s="167"/>
      <c r="AJ5" s="167"/>
      <c r="AN5" s="167"/>
      <c r="AO5" s="167"/>
      <c r="AP5" s="167"/>
      <c r="AQ5" s="148"/>
      <c r="AR5" s="4" t="s">
        <v>647</v>
      </c>
    </row>
    <row r="6" spans="1:45" x14ac:dyDescent="0.2">
      <c r="B6" s="14" t="s">
        <v>650</v>
      </c>
      <c r="D6" s="61"/>
      <c r="E6" s="169">
        <f>stemi_size*prop_ac_st*prob_stk_ac</f>
        <v>3.15</v>
      </c>
      <c r="F6" s="61"/>
      <c r="G6" s="176">
        <f>prop_ac_st*prob_stk_ac</f>
        <v>3.15E-3</v>
      </c>
      <c r="H6" s="61"/>
      <c r="I6" s="169">
        <f>(ld_clop_600 + ((day_cost_asa + day_cost_clop)*md_365_day))</f>
        <v>24.172500000000003</v>
      </c>
      <c r="J6" s="61"/>
      <c r="K6" s="170">
        <f>((c_pci)+(c_drug_ac_stk_st)+(c_bleed_ac)+(c_dys_ac)+(c_stk_tree))</f>
        <v>21789.208695676287</v>
      </c>
      <c r="L6" s="167"/>
      <c r="M6" s="167"/>
      <c r="N6" s="170">
        <f>G6*K6</f>
        <v>68.636007391380303</v>
      </c>
      <c r="O6" s="167"/>
      <c r="P6" s="176">
        <f>((u_noevent_tree*0.5)+(u_stk_tree*0.5)) - u_dec_bleed_ac-u_dec_dys_ac</f>
        <v>0.62300290786315071</v>
      </c>
      <c r="Q6" s="82"/>
      <c r="R6" s="176">
        <f>G6*P6</f>
        <v>1.9624591597689248E-3</v>
      </c>
      <c r="S6" s="167"/>
      <c r="T6" s="292" t="s">
        <v>651</v>
      </c>
      <c r="U6" s="176">
        <f>G6+G11+G16</f>
        <v>6.6690394745817644E-3</v>
      </c>
      <c r="V6" s="167"/>
      <c r="AC6" s="28"/>
      <c r="AJ6" s="167"/>
      <c r="AM6" s="183"/>
      <c r="AN6" s="175"/>
      <c r="AO6" s="183"/>
      <c r="AP6" s="167"/>
      <c r="AQ6" s="148"/>
      <c r="AR6" s="4" t="s">
        <v>652</v>
      </c>
    </row>
    <row r="7" spans="1:45" x14ac:dyDescent="0.2">
      <c r="B7" s="14" t="s">
        <v>653</v>
      </c>
      <c r="D7" s="61"/>
      <c r="E7" s="169">
        <f>stemi_size*prop_ac_st*prob_dead_ac</f>
        <v>27.1653398877435</v>
      </c>
      <c r="F7" s="61"/>
      <c r="G7" s="176">
        <f>prop_ac_st*prob_dead_ac</f>
        <v>2.71653398877435E-2</v>
      </c>
      <c r="H7" s="61"/>
      <c r="I7" s="169">
        <f>(ld_clop_600 + ((day_cost_asa + day_cost_clop)*md_halfway))</f>
        <v>12.244821428571429</v>
      </c>
      <c r="J7" s="61"/>
      <c r="K7" s="170">
        <f>((c_pci)+(c_drug_ac_dead_st)+(c_bleed_ac)+(c_dys_ac)+(c_dead_tree))</f>
        <v>4628.0093500870325</v>
      </c>
      <c r="L7" s="167"/>
      <c r="M7" s="167"/>
      <c r="N7" s="170">
        <f>G7*K7</f>
        <v>125.72144699876914</v>
      </c>
      <c r="O7" s="167"/>
      <c r="P7" s="176">
        <f>(u_noevent_tree*0.5)- u_dec_bleed_ac-u_dec_dys_ac</f>
        <v>0.33932776718515073</v>
      </c>
      <c r="Q7" s="82"/>
      <c r="R7" s="176">
        <f>G7*P7</f>
        <v>9.2179541289337148E-3</v>
      </c>
      <c r="S7" s="167"/>
      <c r="T7" s="292" t="s">
        <v>654</v>
      </c>
      <c r="U7" s="176">
        <f>G7+G12+G17</f>
        <v>4.8706343307209174E-2</v>
      </c>
      <c r="V7" s="167"/>
      <c r="W7" s="175"/>
      <c r="X7" s="175"/>
      <c r="Y7" s="175"/>
      <c r="Z7" s="175"/>
      <c r="AA7" s="175"/>
      <c r="AB7" s="175"/>
      <c r="AC7" s="175"/>
      <c r="AD7" s="175"/>
      <c r="AE7" s="175"/>
      <c r="AF7" s="175"/>
      <c r="AG7" s="175"/>
      <c r="AH7" s="175"/>
      <c r="AI7" s="175"/>
      <c r="AJ7" s="175"/>
      <c r="AK7" s="175"/>
      <c r="AL7" s="175"/>
      <c r="AM7" s="175"/>
      <c r="AN7" s="167"/>
      <c r="AO7" s="183"/>
      <c r="AP7" s="167"/>
      <c r="AQ7" s="148"/>
      <c r="AR7" s="4" t="s">
        <v>655</v>
      </c>
    </row>
    <row r="8" spans="1:45" ht="10" customHeight="1" x14ac:dyDescent="0.2">
      <c r="D8" s="61"/>
      <c r="E8" s="61"/>
      <c r="F8" s="61"/>
      <c r="G8" s="61"/>
      <c r="H8" s="61"/>
      <c r="I8" s="61"/>
      <c r="J8" s="61"/>
      <c r="K8" s="61"/>
      <c r="L8" s="61"/>
      <c r="M8" s="61"/>
      <c r="N8" s="61"/>
      <c r="O8" s="61"/>
      <c r="P8" s="82"/>
      <c r="Q8" s="82"/>
      <c r="R8" s="82"/>
      <c r="S8" s="61"/>
      <c r="T8" s="166"/>
      <c r="U8" s="61"/>
      <c r="V8" s="61"/>
      <c r="W8" s="175"/>
      <c r="X8" s="175"/>
      <c r="Y8" s="175"/>
      <c r="Z8" s="175"/>
      <c r="AA8" s="175"/>
      <c r="AB8" s="175"/>
      <c r="AC8" s="175"/>
      <c r="AD8" s="175"/>
      <c r="AE8" s="175"/>
      <c r="AF8" s="175"/>
      <c r="AG8" s="175"/>
      <c r="AH8" s="175"/>
      <c r="AI8" s="175"/>
      <c r="AJ8" s="175"/>
      <c r="AK8" s="175"/>
      <c r="AL8" s="175"/>
      <c r="AM8" s="175"/>
      <c r="AP8" s="61"/>
      <c r="AR8" s="4"/>
    </row>
    <row r="9" spans="1:45" ht="14.5" customHeight="1" x14ac:dyDescent="0.2">
      <c r="B9" s="14" t="s">
        <v>656</v>
      </c>
      <c r="D9" s="163"/>
      <c r="E9" s="170">
        <f>stemi_size*prop_at_st*(1-prob_mi_at-prob_stk_at-prob_dead_at)</f>
        <v>430.35735901963477</v>
      </c>
      <c r="F9" s="61"/>
      <c r="G9" s="176">
        <f>prop_at_st*(1-prob_mi_at-prob_stk_at-prob_dead_at)</f>
        <v>0.43035735901963479</v>
      </c>
      <c r="H9" s="61"/>
      <c r="I9" s="169">
        <f>(ld_tica_180 + ((day_cost_asa + day_cost_tica)*md_328_day))</f>
        <v>649.98428571428576</v>
      </c>
      <c r="J9" s="61"/>
      <c r="K9" s="169">
        <f>((c_pci)+(c_drug_at_noevent_st)+(c_bleed_at)+(c_dys_at)+(c_noevent_tree))</f>
        <v>5848.2141923699937</v>
      </c>
      <c r="L9" s="167"/>
      <c r="M9" s="167"/>
      <c r="N9" s="170">
        <f>G9*K9</f>
        <v>2516.822014809497</v>
      </c>
      <c r="O9" s="167"/>
      <c r="P9" s="176">
        <f>u_noevent_tree - u_dec_bleed_at-u_dec_dys_at</f>
        <v>0.67887341399341716</v>
      </c>
      <c r="Q9" s="82"/>
      <c r="R9" s="176">
        <f>G9*P9</f>
        <v>0.29215816955485019</v>
      </c>
      <c r="S9" s="167"/>
      <c r="T9" s="292"/>
      <c r="U9" s="61"/>
      <c r="V9" s="82"/>
      <c r="Z9" s="175"/>
      <c r="AA9" s="175"/>
      <c r="AB9" s="175"/>
      <c r="AC9" s="175"/>
      <c r="AD9" s="175"/>
      <c r="AE9" s="175"/>
      <c r="AF9" s="175"/>
      <c r="AG9" s="175"/>
      <c r="AH9" s="175"/>
      <c r="AI9" s="175"/>
      <c r="AJ9" s="175"/>
      <c r="AK9" s="175"/>
      <c r="AL9" s="175"/>
      <c r="AM9" s="175"/>
      <c r="AN9" s="167"/>
      <c r="AO9" s="184"/>
      <c r="AP9" s="163"/>
      <c r="AR9" s="4" t="s">
        <v>657</v>
      </c>
    </row>
    <row r="10" spans="1:45" x14ac:dyDescent="0.2">
      <c r="B10" s="14" t="s">
        <v>658</v>
      </c>
      <c r="D10" s="61"/>
      <c r="E10" s="169">
        <f>stemi_size*prop_at_st*prob_mi_at</f>
        <v>16.388366028351349</v>
      </c>
      <c r="F10" s="61"/>
      <c r="G10" s="176">
        <f>prop_at_st*prob_mi_at</f>
        <v>1.638836602835135E-2</v>
      </c>
      <c r="H10" s="61"/>
      <c r="I10" s="169">
        <f>(ld_tica_180 + ((day_cost_asa + day_cost_tica)*md_365_day))</f>
        <v>723.0857142857144</v>
      </c>
      <c r="J10" s="61"/>
      <c r="K10" s="169">
        <f>((c_pci)+(c_drug_at_mi_st)+(c_bleed_at)+(c_dys_at)+(c_mi_tree))</f>
        <v>10716.024706896387</v>
      </c>
      <c r="L10" s="167"/>
      <c r="M10" s="167"/>
      <c r="N10" s="170">
        <f>G10*K10</f>
        <v>175.61813526547448</v>
      </c>
      <c r="O10" s="167"/>
      <c r="P10" s="176">
        <f>((u_noevent_tree*0.5)+(u_rinfar_tree*0.5 ))- u_dec_bleed_at-u_dec_dys_at</f>
        <v>0.65345160195541718</v>
      </c>
      <c r="Q10" s="82"/>
      <c r="R10" s="176">
        <f>G10*P10</f>
        <v>1.0709004034657929E-2</v>
      </c>
      <c r="S10" s="167"/>
      <c r="T10" s="292"/>
      <c r="U10" s="61"/>
      <c r="V10" s="82"/>
      <c r="Z10" s="175"/>
      <c r="AA10" s="175"/>
      <c r="AB10" s="175"/>
      <c r="AC10" s="175"/>
      <c r="AD10" s="175"/>
      <c r="AE10" s="175"/>
      <c r="AF10" s="175"/>
      <c r="AG10" s="175"/>
      <c r="AH10" s="175"/>
      <c r="AI10" s="175"/>
      <c r="AJ10" s="175"/>
      <c r="AK10" s="175"/>
      <c r="AL10" s="175"/>
      <c r="AM10" s="175"/>
      <c r="AN10" s="167"/>
      <c r="AO10" s="185"/>
      <c r="AP10" s="61"/>
      <c r="AR10" s="4" t="s">
        <v>659</v>
      </c>
    </row>
    <row r="11" spans="1:45" x14ac:dyDescent="0.2">
      <c r="B11" s="14" t="s">
        <v>660</v>
      </c>
      <c r="D11" s="61"/>
      <c r="E11" s="169">
        <f>stemi_size*prop_at_st*prob_stk_at</f>
        <v>3.343191925812758</v>
      </c>
      <c r="F11" s="61"/>
      <c r="G11" s="176">
        <f>prop_at_st*prob_stk_at</f>
        <v>3.3431919258127578E-3</v>
      </c>
      <c r="H11" s="61"/>
      <c r="I11" s="169">
        <f>(ld_tica_180 + ((day_cost_asa + day_cost_tica)*md_365_day))</f>
        <v>723.0857142857144</v>
      </c>
      <c r="J11" s="61"/>
      <c r="K11" s="169">
        <f>((c_pci)+(c_drug_at_stk_st)+(c_bleed_at)+(c_dys_at)+(c_stk_tree))</f>
        <v>22493.853677212373</v>
      </c>
      <c r="L11" s="167"/>
      <c r="M11" s="167"/>
      <c r="N11" s="170">
        <f>G11*K11</f>
        <v>75.201269994070017</v>
      </c>
      <c r="O11" s="167"/>
      <c r="P11" s="176">
        <f>((u_noevent_tree*0.5)+(u_stk_tree*0.5)) - u_dec_bleed_at-u_dec_dys_at</f>
        <v>0.62278401917941717</v>
      </c>
      <c r="Q11" s="82"/>
      <c r="R11" s="176">
        <f>G11*P11</f>
        <v>2.0820865044458453E-3</v>
      </c>
      <c r="S11" s="167"/>
      <c r="T11" s="292"/>
      <c r="U11" s="61"/>
      <c r="V11" s="82"/>
      <c r="Z11" s="175"/>
      <c r="AA11" s="175"/>
      <c r="AB11" s="175"/>
      <c r="AC11" s="175"/>
      <c r="AD11" s="175"/>
      <c r="AE11" s="175"/>
      <c r="AF11" s="175"/>
      <c r="AG11" s="175"/>
      <c r="AH11" s="175"/>
      <c r="AI11" s="175"/>
      <c r="AJ11" s="175"/>
      <c r="AK11" s="175"/>
      <c r="AL11" s="175"/>
      <c r="AM11" s="175"/>
      <c r="AN11" s="167"/>
      <c r="AO11" s="185"/>
      <c r="AP11" s="61"/>
      <c r="AR11" s="4" t="s">
        <v>661</v>
      </c>
    </row>
    <row r="12" spans="1:45" x14ac:dyDescent="0.2">
      <c r="B12" s="14" t="s">
        <v>662</v>
      </c>
      <c r="D12" s="61"/>
      <c r="E12" s="169">
        <f>stemi_size*prop_at_st*prob_dead_at</f>
        <v>19.911083026201073</v>
      </c>
      <c r="F12" s="61"/>
      <c r="G12" s="176">
        <f>prop_at_st*prob_dead_at</f>
        <v>1.9911083026201069E-2</v>
      </c>
      <c r="H12" s="61"/>
      <c r="I12" s="169">
        <f>(ld_tica_180 + ((day_cost_asa + day_cost_tica)*md_halfway))</f>
        <v>362.51785714285717</v>
      </c>
      <c r="J12" s="61"/>
      <c r="K12" s="169">
        <f>((c_pci)+(c_drug_at_dead_st)+(c_bleed_at)+(c_dys_at)+(c_dead_tree))</f>
        <v>4984.0141530516885</v>
      </c>
      <c r="L12" s="167"/>
      <c r="M12" s="167"/>
      <c r="N12" s="170">
        <f>G12*K12</f>
        <v>99.237119605173376</v>
      </c>
      <c r="O12" s="167"/>
      <c r="P12" s="176">
        <f>(u_noevent_tree*0.5)- u_dec_bleed_at-u_dec_dys_at</f>
        <v>0.33910887850141719</v>
      </c>
      <c r="Q12" s="82"/>
      <c r="R12" s="176">
        <f>G12*P12</f>
        <v>6.7520250347636486E-3</v>
      </c>
      <c r="S12" s="167"/>
      <c r="T12" s="292"/>
      <c r="U12" s="61"/>
      <c r="V12" s="82"/>
      <c r="Y12" s="175"/>
      <c r="Z12" s="175"/>
      <c r="AA12" s="175"/>
      <c r="AB12" s="175"/>
      <c r="AC12" s="175"/>
      <c r="AD12" s="175"/>
      <c r="AE12" s="175"/>
      <c r="AF12" s="175"/>
      <c r="AG12" s="175"/>
      <c r="AH12" s="175"/>
      <c r="AI12" s="175"/>
      <c r="AJ12" s="175"/>
      <c r="AK12" s="175"/>
      <c r="AL12" s="175"/>
      <c r="AM12" s="175"/>
      <c r="AN12" s="61"/>
      <c r="AO12" s="185"/>
      <c r="AP12" s="61"/>
      <c r="AR12" s="4" t="s">
        <v>659</v>
      </c>
    </row>
    <row r="13" spans="1:45" ht="7.5" customHeight="1" x14ac:dyDescent="0.2">
      <c r="E13" s="61"/>
      <c r="F13" s="61"/>
      <c r="G13" s="61"/>
      <c r="H13" s="61"/>
      <c r="K13" t="s">
        <v>525</v>
      </c>
      <c r="M13" s="61"/>
      <c r="N13" s="167"/>
      <c r="O13" s="167"/>
      <c r="P13" s="82"/>
      <c r="Q13" s="82"/>
      <c r="R13" s="82"/>
      <c r="S13" s="167"/>
      <c r="T13" s="167"/>
      <c r="U13" s="167"/>
      <c r="V13" s="167"/>
      <c r="W13" s="175"/>
      <c r="X13" s="175"/>
      <c r="Y13" s="175"/>
      <c r="Z13" s="175"/>
      <c r="AA13" s="175"/>
      <c r="AB13" s="175"/>
      <c r="AC13" s="175"/>
      <c r="AD13" s="175"/>
      <c r="AE13" s="175"/>
      <c r="AF13" s="175"/>
      <c r="AG13" s="175"/>
      <c r="AH13" s="175"/>
      <c r="AI13" s="175"/>
      <c r="AJ13" s="175"/>
      <c r="AK13" s="175"/>
      <c r="AL13" s="175"/>
      <c r="AM13" s="175"/>
      <c r="AR13" s="4"/>
    </row>
    <row r="14" spans="1:45" ht="12" customHeight="1" x14ac:dyDescent="0.2">
      <c r="B14" s="178" t="s">
        <v>663</v>
      </c>
      <c r="C14" s="166"/>
      <c r="D14" s="163"/>
      <c r="E14" s="169">
        <f>stemi_size*prop_ap_st*(1-prob_mi_ap-prob_stk_ap-prob_dead_ap)</f>
        <v>27.234608024412388</v>
      </c>
      <c r="F14" s="61"/>
      <c r="G14" s="176">
        <f>prop_ap_st*(1-prob_mi_ap-prob_stk_ap-prob_dead_ap)</f>
        <v>2.7234608024412386E-2</v>
      </c>
      <c r="H14" s="61"/>
      <c r="I14" s="169">
        <f>(ld_pras_60 + ((day_cost_asa + day_cost_pras)*md_328_day))</f>
        <v>106.09857142857143</v>
      </c>
      <c r="J14" s="61"/>
      <c r="K14" s="169">
        <f>((c_pci)+(c_drug_ap_noevent_st)+(c_bleed_ap)+(c_dys_ap)+(c_noevent_tree))</f>
        <v>5325.5870052833798</v>
      </c>
      <c r="L14" s="167"/>
      <c r="M14" s="167"/>
      <c r="N14" s="170">
        <f>G14*K14</f>
        <v>145.04027458879708</v>
      </c>
      <c r="O14" s="167"/>
      <c r="P14" s="176">
        <f>u_noevent_tree - u_dec_bleed_ap-u_dec_dys_ap</f>
        <v>0.67903710324610023</v>
      </c>
      <c r="Q14" s="82"/>
      <c r="R14" s="176">
        <f>G14*P14</f>
        <v>1.8493309340939984E-2</v>
      </c>
      <c r="S14" s="167"/>
      <c r="T14" s="167"/>
      <c r="U14" s="167"/>
      <c r="V14" s="167"/>
      <c r="X14" s="175"/>
      <c r="Y14" s="175"/>
      <c r="Z14" s="175"/>
      <c r="AA14" s="175"/>
      <c r="AB14" s="175"/>
      <c r="AC14" s="175"/>
      <c r="AD14" s="175"/>
      <c r="AE14" s="175"/>
      <c r="AF14" s="175"/>
      <c r="AG14" s="175"/>
      <c r="AH14" s="175"/>
      <c r="AI14" s="175"/>
      <c r="AJ14" s="175"/>
      <c r="AK14" s="175"/>
      <c r="AL14" s="175"/>
      <c r="AM14" s="175"/>
      <c r="AN14" s="163"/>
      <c r="AO14" s="163"/>
      <c r="AP14" s="163"/>
      <c r="AR14" s="4" t="s">
        <v>664</v>
      </c>
      <c r="AS14" s="163" t="s">
        <v>665</v>
      </c>
    </row>
    <row r="15" spans="1:45" x14ac:dyDescent="0.2">
      <c r="B15" s="178" t="s">
        <v>666</v>
      </c>
      <c r="C15" s="166"/>
      <c r="D15" s="61"/>
      <c r="E15" s="169">
        <f>stemi_size*prop_ap_st*prob_mi_ap</f>
        <v>0.95962403355399473</v>
      </c>
      <c r="F15" s="61"/>
      <c r="G15" s="176">
        <f>prop_ap_st*prob_mi_ap</f>
        <v>9.5962403355399472E-4</v>
      </c>
      <c r="H15" s="61"/>
      <c r="I15" s="169">
        <f>(ld_pras_60 + ((day_cost_asa + day_cost_pras)*md_365_day))</f>
        <v>117.90223214285714</v>
      </c>
      <c r="J15" s="61"/>
      <c r="K15" s="169">
        <f>((c_pci)+(c_drug_ap_mi_st)+(c_bleed_ap)+(c_dys_ap)+(c_mi_tree))</f>
        <v>10132.099751952632</v>
      </c>
      <c r="L15" s="167"/>
      <c r="M15" s="167"/>
      <c r="N15" s="170">
        <f>G15*K15</f>
        <v>9.7230064323402132</v>
      </c>
      <c r="O15" s="167"/>
      <c r="P15" s="176">
        <f>((u_noevent_tree*0.5)+(u_rinfar_tree*0.5 ))- u_dec_bleed_ap-u_dec_dys_ap</f>
        <v>0.65361529120810025</v>
      </c>
      <c r="Q15" s="82"/>
      <c r="R15" s="176">
        <f>G15*P15</f>
        <v>6.2722494214168597E-4</v>
      </c>
      <c r="S15" s="167"/>
      <c r="T15" s="167"/>
      <c r="U15" s="167"/>
      <c r="V15" s="167"/>
      <c r="X15" s="175"/>
      <c r="Y15" s="175"/>
      <c r="Z15" s="175"/>
      <c r="AA15" s="175"/>
      <c r="AB15" s="175"/>
      <c r="AC15" s="175"/>
      <c r="AD15" s="175"/>
      <c r="AE15" s="175"/>
      <c r="AF15" s="175"/>
      <c r="AG15" s="175"/>
      <c r="AH15" s="175"/>
      <c r="AI15" s="175"/>
      <c r="AJ15" s="175"/>
      <c r="AK15" s="175"/>
      <c r="AL15" s="175"/>
      <c r="AM15" s="175"/>
      <c r="AN15" s="61"/>
      <c r="AO15" s="61"/>
      <c r="AP15" s="61"/>
      <c r="AR15" s="4" t="s">
        <v>667</v>
      </c>
    </row>
    <row r="16" spans="1:45" x14ac:dyDescent="0.2">
      <c r="B16" s="178" t="s">
        <v>668</v>
      </c>
      <c r="C16" s="166"/>
      <c r="D16" s="61"/>
      <c r="E16" s="169">
        <f>stemi_size*prop_ap_st*prob_stk_ap</f>
        <v>0.17584754876900704</v>
      </c>
      <c r="F16" s="61"/>
      <c r="G16" s="176">
        <f>prop_ap_st*prob_stk_ap</f>
        <v>1.7584754876900704E-4</v>
      </c>
      <c r="H16" s="61"/>
      <c r="I16" s="169">
        <f>(ld_pras_60 + ((day_cost_asa + day_cost_pras)*md_365_day))</f>
        <v>117.90223214285714</v>
      </c>
      <c r="J16" s="61"/>
      <c r="K16" s="169">
        <f>((c_pci)+(c_drug_ap_stk_st)+(c_bleed_ap)+(c_dys_ap)+(c_stk_tree))</f>
        <v>21909.928722268614</v>
      </c>
      <c r="L16" s="167"/>
      <c r="M16" s="167"/>
      <c r="N16" s="170">
        <f>G16*K16</f>
        <v>3.8528072595145981</v>
      </c>
      <c r="O16" s="167"/>
      <c r="P16" s="176">
        <f>((u_noevent_tree*0.5)+(u_stk_tree*0.5)) - u_dec_bleed_ap-u_dec_dys_ap</f>
        <v>0.62294770843210023</v>
      </c>
      <c r="Q16" s="82"/>
      <c r="R16" s="176">
        <f>G16*P16</f>
        <v>1.0954382753905492E-4</v>
      </c>
      <c r="S16" s="167"/>
      <c r="T16" s="167"/>
      <c r="U16" s="167"/>
      <c r="V16" s="167"/>
      <c r="AA16" s="61"/>
      <c r="AB16" s="61"/>
      <c r="AF16" s="61"/>
      <c r="AG16" s="61"/>
      <c r="AH16" s="61"/>
      <c r="AI16" s="177"/>
      <c r="AJ16" s="61"/>
      <c r="AK16" s="82"/>
      <c r="AL16" s="61"/>
      <c r="AM16" s="61"/>
      <c r="AN16" s="61"/>
      <c r="AO16" s="61"/>
      <c r="AP16" s="61"/>
      <c r="AR16" s="4" t="s">
        <v>667</v>
      </c>
    </row>
    <row r="17" spans="2:44" x14ac:dyDescent="0.2">
      <c r="B17" s="178" t="s">
        <v>669</v>
      </c>
      <c r="C17" s="166"/>
      <c r="D17" s="61"/>
      <c r="E17" s="169">
        <f>stemi_size*prop_ap_st*prob_dead_ap</f>
        <v>1.6299203932646102</v>
      </c>
      <c r="F17" s="61"/>
      <c r="G17" s="176">
        <f>prop_ap_st*prob_dead_ap</f>
        <v>1.6299203932646101E-3</v>
      </c>
      <c r="H17" s="61"/>
      <c r="I17" s="169">
        <f>(ld_pras_60 + ((day_cost_asa + day_cost_pras)*md_halfway))</f>
        <v>59.681473214285717</v>
      </c>
      <c r="J17" s="61"/>
      <c r="K17" s="169">
        <f>((c_pci)+(c_drug_ap_dead_st)+(c_bleed_ap)+(c_dys_ap)+(c_dead_tree))</f>
        <v>4702.4362963222165</v>
      </c>
      <c r="L17" s="167"/>
      <c r="M17" s="167"/>
      <c r="N17" s="170">
        <f>G17*K17</f>
        <v>7.6645968174032841</v>
      </c>
      <c r="O17" s="167"/>
      <c r="P17" s="176">
        <f>(u_noevent_tree*0.5)- u_dec_bleed_ap-u_dec_dys_ap</f>
        <v>0.33927256775410025</v>
      </c>
      <c r="Q17" s="82"/>
      <c r="R17" s="176">
        <f>G17*P17</f>
        <v>5.5298727705765721E-4</v>
      </c>
      <c r="S17" s="167"/>
      <c r="T17" s="167"/>
      <c r="U17" s="167"/>
      <c r="V17" s="167"/>
      <c r="AA17" s="61"/>
      <c r="AB17" s="61"/>
      <c r="AF17" s="61"/>
      <c r="AG17" s="61"/>
      <c r="AH17" s="61"/>
      <c r="AI17" s="61"/>
      <c r="AJ17" s="61"/>
      <c r="AK17" s="61"/>
      <c r="AL17" s="61"/>
      <c r="AM17" s="167"/>
      <c r="AO17" s="61"/>
      <c r="AP17" s="61"/>
      <c r="AR17" s="4" t="s">
        <v>670</v>
      </c>
    </row>
    <row r="18" spans="2:44" ht="8" customHeight="1" x14ac:dyDescent="0.2">
      <c r="E18" s="61"/>
      <c r="F18" s="61"/>
      <c r="G18" s="61"/>
      <c r="H18" s="61"/>
      <c r="M18" s="61"/>
      <c r="N18" s="61"/>
      <c r="O18" s="61"/>
      <c r="P18" s="82"/>
      <c r="Q18" s="82"/>
      <c r="R18" s="82"/>
      <c r="S18" s="61"/>
      <c r="T18" s="61"/>
      <c r="U18" s="61"/>
      <c r="V18" s="61"/>
      <c r="Z18" s="61"/>
      <c r="AM18" s="167"/>
      <c r="AN18" s="167"/>
      <c r="AR18" s="4"/>
    </row>
    <row r="19" spans="2:44" ht="15" customHeight="1" x14ac:dyDescent="0.2">
      <c r="B19" s="180" t="s">
        <v>671</v>
      </c>
      <c r="D19" s="163"/>
      <c r="E19" s="171">
        <f>stemi_size*prob_test_order*prob_test_follow*prev_lof_base*prop_at_lof*(1-prob_mi_at-prob_stk_at-prob_dead_at)</f>
        <v>221.09635141075282</v>
      </c>
      <c r="F19" s="167"/>
      <c r="G19" s="188">
        <f>prob_test_order*prob_test_follow*prev_lof_base*prop_at_lof*(1-prob_mi_at-prob_stk_at-prob_dead_at)</f>
        <v>0.22109635141075279</v>
      </c>
      <c r="H19" s="61"/>
      <c r="I19" s="171">
        <f>ld_tica_180+((day_cost_asa + day_cost_tica)*md_328_day)</f>
        <v>649.98428571428576</v>
      </c>
      <c r="J19" s="167"/>
      <c r="K19" s="171">
        <f>c_poc_test + c_pci +c_drug_at_noevent_pc+ c_bleed_at+c_dys_at+c_noevent_tree</f>
        <v>5973.2141923699937</v>
      </c>
      <c r="L19" s="166"/>
      <c r="M19" s="61"/>
      <c r="N19" s="171">
        <f>G19*K19</f>
        <v>1320.6558641279321</v>
      </c>
      <c r="O19" s="167"/>
      <c r="P19" s="182">
        <f>u_noevent_tree - u_dec_bleed_at-u_dec_dys_at</f>
        <v>0.67887341399341716</v>
      </c>
      <c r="Q19" s="82"/>
      <c r="R19" s="182">
        <f>G19*P19</f>
        <v>0.15009643490370603</v>
      </c>
      <c r="S19" s="61"/>
      <c r="T19" s="101" t="s">
        <v>672</v>
      </c>
      <c r="U19" s="182">
        <f>G19+G24+G29</f>
        <v>0.79232279920223081</v>
      </c>
      <c r="V19" s="82"/>
      <c r="W19" s="182">
        <f>U19/U24</f>
        <v>0.91608602058299304</v>
      </c>
      <c r="Z19" s="163"/>
      <c r="AA19" s="163"/>
      <c r="AB19" s="163"/>
      <c r="AF19" s="163"/>
      <c r="AG19" s="163"/>
      <c r="AH19" s="163"/>
      <c r="AI19" s="177"/>
      <c r="AJ19" s="61"/>
      <c r="AK19" s="177"/>
      <c r="AL19" s="61"/>
      <c r="AM19" s="167"/>
      <c r="AN19" s="167"/>
      <c r="AO19" s="163"/>
      <c r="AP19" s="163"/>
      <c r="AQ19" t="s">
        <v>673</v>
      </c>
      <c r="AR19" s="4" t="s">
        <v>674</v>
      </c>
    </row>
    <row r="20" spans="2:44" x14ac:dyDescent="0.2">
      <c r="B20" s="180" t="s">
        <v>675</v>
      </c>
      <c r="D20" s="163"/>
      <c r="E20" s="171">
        <f>stemi_size*prob_test_order*prob_test_follow*prev_lof_base*prop_at_lof*prob_mi_at</f>
        <v>8.419532880085125</v>
      </c>
      <c r="F20" s="167"/>
      <c r="G20" s="188">
        <f>prob_test_order*prob_test_follow*prev_lof_base*prop_at_lof*prob_mi_at</f>
        <v>8.4195328800851232E-3</v>
      </c>
      <c r="H20" s="61"/>
      <c r="I20" s="171">
        <f>ld_tica_180+ (day_cost_asa + day_cost_tica)*md_365_day</f>
        <v>723.0857142857144</v>
      </c>
      <c r="J20" s="167"/>
      <c r="K20" s="171">
        <f>c_poc_test + c_pci + c_drug_at_mi_poc + c_bleed_at+ c_dys_at+c_mi_tree</f>
        <v>10841.024706896387</v>
      </c>
      <c r="L20" s="166"/>
      <c r="M20" s="61"/>
      <c r="N20" s="171">
        <f>G20*K20</f>
        <v>91.276363973529314</v>
      </c>
      <c r="O20" s="167"/>
      <c r="P20" s="182">
        <f>((u_noevent_tree*0.5)+(u_rinfar_tree*0.5 ))- u_dec_bleed_at-u_dec_dys_at</f>
        <v>0.65345160195541718</v>
      </c>
      <c r="Q20" s="82"/>
      <c r="R20" s="182">
        <f>G20*P20</f>
        <v>5.5017572482079311E-3</v>
      </c>
      <c r="S20" s="61"/>
      <c r="T20" s="101" t="s">
        <v>676</v>
      </c>
      <c r="U20" s="182">
        <f>G20+G25+G30</f>
        <v>3.0113670809222424E-2</v>
      </c>
      <c r="V20" s="82"/>
      <c r="W20" s="182">
        <f>U20/U24</f>
        <v>3.4817517411518582E-2</v>
      </c>
      <c r="Z20" s="163"/>
      <c r="AA20" s="163"/>
      <c r="AB20" s="163"/>
      <c r="AF20" s="163"/>
      <c r="AG20" s="163"/>
      <c r="AH20" s="163"/>
      <c r="AI20" s="177"/>
      <c r="AJ20" s="61"/>
      <c r="AK20" s="82"/>
      <c r="AL20" s="61"/>
      <c r="AM20" s="167"/>
      <c r="AN20" s="163"/>
      <c r="AO20" s="163"/>
      <c r="AP20" s="163"/>
      <c r="AR20" s="4" t="s">
        <v>677</v>
      </c>
    </row>
    <row r="21" spans="2:44" x14ac:dyDescent="0.2">
      <c r="B21" s="180" t="s">
        <v>678</v>
      </c>
      <c r="D21" s="163"/>
      <c r="E21" s="171">
        <f>stemi_size*prob_test_order*prob_test_follow*prev_lof_base*prop_at_lof*prob_stk_at</f>
        <v>1.7175668578014602</v>
      </c>
      <c r="F21" s="167"/>
      <c r="G21" s="188">
        <f>prob_test_order*prob_test_follow*prev_lof_base*prop_at_lof*prob_stk_at</f>
        <v>1.7175668578014601E-3</v>
      </c>
      <c r="H21" s="61"/>
      <c r="I21" s="171">
        <f>ld_tica_180+(day_cost_asa + day_cost_tica)*md_365_day</f>
        <v>723.0857142857144</v>
      </c>
      <c r="J21" s="167"/>
      <c r="K21" s="171">
        <f>c_poc_test + c_pci + c_drug_at_stk_poc + c_bleed_at+ c_dys_at+c_stk_tree</f>
        <v>22618.853677212373</v>
      </c>
      <c r="L21" s="166"/>
      <c r="M21" s="61"/>
      <c r="N21" s="171">
        <f>G21*K21</f>
        <v>38.849393437440661</v>
      </c>
      <c r="O21" s="167"/>
      <c r="P21" s="182">
        <f>((u_noevent_tree*0.5)+(u_stk_tree*0.5)) - u_dec_bleed_at-u_dec_dys_at</f>
        <v>0.62278401917941717</v>
      </c>
      <c r="Q21" s="82"/>
      <c r="R21" s="182">
        <f>G21*P21</f>
        <v>1.0696731909109558E-3</v>
      </c>
      <c r="S21" s="61"/>
      <c r="T21" s="101" t="s">
        <v>679</v>
      </c>
      <c r="U21" s="182">
        <f>G21+G26+G31</f>
        <v>5.6384642514900676E-3</v>
      </c>
      <c r="V21" s="82"/>
      <c r="W21" s="182">
        <f>U21/U24</f>
        <v>6.5192094479015689E-3</v>
      </c>
      <c r="Z21" s="163"/>
      <c r="AA21" s="163"/>
      <c r="AB21" s="163"/>
      <c r="AF21" s="163"/>
      <c r="AG21" s="163"/>
      <c r="AH21" s="163"/>
      <c r="AI21" s="177"/>
      <c r="AJ21" s="61"/>
      <c r="AK21" s="82"/>
      <c r="AL21" s="61"/>
      <c r="AM21" s="167"/>
      <c r="AN21" s="163"/>
      <c r="AO21" s="163"/>
      <c r="AP21" s="163"/>
      <c r="AR21" s="4" t="s">
        <v>674</v>
      </c>
    </row>
    <row r="22" spans="2:44" x14ac:dyDescent="0.2">
      <c r="B22" s="180" t="s">
        <v>680</v>
      </c>
      <c r="D22" s="163"/>
      <c r="E22" s="171">
        <f>stemi_size*prob_test_order*prob_test_follow*prev_lof_base*prop_at_lof*prob_dead_at</f>
        <v>10.229330851360617</v>
      </c>
      <c r="F22" s="167"/>
      <c r="G22" s="188">
        <f>prob_test_order*prob_test_follow*prev_lof_base*prop_at_lof*prob_dead_at</f>
        <v>1.0229330851360617E-2</v>
      </c>
      <c r="H22" s="61"/>
      <c r="I22" s="171">
        <f>ld_tica_180 + (day_cost_asa + day_cost_tica)* md_halfway</f>
        <v>362.51785714285717</v>
      </c>
      <c r="J22" s="167"/>
      <c r="K22" s="171">
        <f>c_poc_test + c_pci + c_drug_at_dead_poc + c_bleed_at+ c_dys_at+c_dead_tree</f>
        <v>5109.0141530516885</v>
      </c>
      <c r="L22" s="166"/>
      <c r="M22" s="61"/>
      <c r="N22" s="171">
        <f>G22*K22</f>
        <v>52.261796095849675</v>
      </c>
      <c r="O22" s="167"/>
      <c r="P22" s="182">
        <f>(u_noevent_tree*0.5)- u_dec_bleed_at-u_dec_dys_at</f>
        <v>0.33910887850141719</v>
      </c>
      <c r="Q22" s="82"/>
      <c r="R22" s="182">
        <f>G22*P22</f>
        <v>3.4688569128248459E-3</v>
      </c>
      <c r="S22" s="61"/>
      <c r="T22" s="101" t="s">
        <v>681</v>
      </c>
      <c r="U22" s="182">
        <f>G22+G27+G32</f>
        <v>3.6825065737056809E-2</v>
      </c>
      <c r="V22" s="82"/>
      <c r="W22" s="182">
        <f>U22/U24</f>
        <v>4.2577252557586778E-2</v>
      </c>
      <c r="Z22" s="163"/>
      <c r="AA22" s="163"/>
      <c r="AB22" s="163"/>
      <c r="AC22" s="163"/>
      <c r="AD22" s="163"/>
      <c r="AE22" s="163"/>
      <c r="AF22" s="163"/>
      <c r="AG22" s="163"/>
      <c r="AH22" s="163"/>
      <c r="AI22" s="177"/>
      <c r="AJ22" s="61"/>
      <c r="AK22" s="82"/>
      <c r="AL22" s="61"/>
      <c r="AM22" s="167"/>
      <c r="AN22" s="163"/>
      <c r="AO22" s="163"/>
      <c r="AP22" s="163"/>
      <c r="AR22" s="4" t="s">
        <v>682</v>
      </c>
    </row>
    <row r="23" spans="2:44" ht="8.5" customHeight="1" x14ac:dyDescent="0.2">
      <c r="E23" s="61"/>
      <c r="F23" s="61"/>
      <c r="G23" s="61"/>
      <c r="I23" s="61"/>
      <c r="J23" s="61"/>
      <c r="N23" s="61"/>
      <c r="O23" s="61"/>
      <c r="P23" s="82"/>
      <c r="Q23" s="82"/>
      <c r="R23" s="82"/>
      <c r="AM23" s="167"/>
      <c r="AR23" s="4"/>
    </row>
    <row r="24" spans="2:44" x14ac:dyDescent="0.2">
      <c r="B24" s="180" t="s">
        <v>683</v>
      </c>
      <c r="C24" s="12"/>
      <c r="D24" s="163"/>
      <c r="E24" s="171">
        <f>stemi_size*prob_test_order*prob_test_follow*prev_lof_base*(prop_ap_lof)*(1-prob_mi_ap-prob_stk_ap-prob_dead_ap)</f>
        <v>13.991796213306694</v>
      </c>
      <c r="F24" s="167"/>
      <c r="G24" s="188">
        <f>prob_test_order*prob_test_follow*prev_lof_base*(prop_ap_lof)*(1-prob_mi_ap-prob_stk_ap-prob_dead_ap)</f>
        <v>1.3991796213306693E-2</v>
      </c>
      <c r="H24" s="61"/>
      <c r="I24" s="171">
        <f>ld_pras_60+(day_cost_asa + day_cost_pras)*md_328_day</f>
        <v>106.09857142857143</v>
      </c>
      <c r="J24" s="167"/>
      <c r="K24" s="171">
        <f>c_poc_test + c_pci +c_drug_ap_noevent_pc+ c_bleed_ap+ c_dys_ap+c_noevent_tree</f>
        <v>5450.5870052833798</v>
      </c>
      <c r="L24" s="166"/>
      <c r="M24" s="61"/>
      <c r="N24" s="171">
        <f>G24*K24</f>
        <v>76.263502620822663</v>
      </c>
      <c r="O24" s="167"/>
      <c r="P24" s="182">
        <f>u_noevent_tree - u_dec_bleed_ap-u_dec_dys_ap</f>
        <v>0.67903710324610023</v>
      </c>
      <c r="Q24" s="82"/>
      <c r="R24" s="182">
        <f>G24*P24</f>
        <v>9.5009487698935313E-3</v>
      </c>
      <c r="S24" s="61"/>
      <c r="T24" s="61"/>
      <c r="U24" s="182">
        <f>U19+U20+U21+U22</f>
        <v>0.86490000000000011</v>
      </c>
      <c r="V24" s="61"/>
      <c r="W24" s="182">
        <f>W19+W20+W21+W22</f>
        <v>1</v>
      </c>
      <c r="Z24" s="163"/>
      <c r="AA24" s="163"/>
      <c r="AB24" s="163"/>
      <c r="AC24" s="163"/>
      <c r="AD24" s="163"/>
      <c r="AE24" s="163"/>
      <c r="AF24" s="163"/>
      <c r="AG24" s="163"/>
      <c r="AH24" s="163"/>
      <c r="AI24" s="177"/>
      <c r="AJ24" s="61"/>
      <c r="AK24" s="177"/>
      <c r="AL24" s="61"/>
      <c r="AM24" s="167"/>
      <c r="AN24" s="163"/>
      <c r="AO24" s="163"/>
      <c r="AP24" s="163"/>
      <c r="AR24" s="4" t="s">
        <v>684</v>
      </c>
    </row>
    <row r="25" spans="2:44" x14ac:dyDescent="0.2">
      <c r="B25" s="180" t="s">
        <v>685</v>
      </c>
      <c r="D25" s="163"/>
      <c r="E25" s="171">
        <f>stemi_size*prob_test_order*prob_test_follow*prev_lof_base*(prop_ap_lof)*prob_mi_ap</f>
        <v>0.49300742301278544</v>
      </c>
      <c r="F25" s="167"/>
      <c r="G25" s="188">
        <f>prob_test_order*prob_test_follow*prev_lof_base*(prop_ap_lof)*prob_mi_ap</f>
        <v>4.9300742301278545E-4</v>
      </c>
      <c r="H25" s="61"/>
      <c r="I25" s="171">
        <f>ld_pras_60+(day_cost_asa + day_cost_pras)*md_365_day</f>
        <v>117.90223214285714</v>
      </c>
      <c r="J25" s="167"/>
      <c r="K25" s="171">
        <f>c_poc_test + c_pci +c_drug_ap_mi_poc+ c_bleed_ap+ c_dys_ap+c_mi_tree</f>
        <v>10257.099751952632</v>
      </c>
      <c r="L25" s="166"/>
      <c r="M25" s="61"/>
      <c r="N25" s="171">
        <f>G25*K25</f>
        <v>5.0568263162952478</v>
      </c>
      <c r="O25" s="167"/>
      <c r="P25" s="182">
        <f>((u_noevent_tree*0.5)+(u_rinfar_tree*0.5 ))- u_dec_bleed_ap-u_dec_dys_ap</f>
        <v>0.65361529120810025</v>
      </c>
      <c r="Q25" s="82"/>
      <c r="R25" s="182">
        <f>G25*P25</f>
        <v>3.2223719036025681E-4</v>
      </c>
      <c r="S25" s="61"/>
      <c r="T25" s="61"/>
      <c r="U25" s="61"/>
      <c r="V25" s="61"/>
      <c r="Z25" s="163"/>
      <c r="AA25" s="163"/>
      <c r="AB25" s="163"/>
      <c r="AC25" s="163"/>
      <c r="AD25" s="163"/>
      <c r="AE25" s="163"/>
      <c r="AF25" s="163"/>
      <c r="AG25" s="163"/>
      <c r="AH25" s="163"/>
      <c r="AI25" s="177"/>
      <c r="AJ25" s="61"/>
      <c r="AK25" s="82"/>
      <c r="AL25" s="61"/>
      <c r="AM25" s="167"/>
      <c r="AN25" s="163"/>
      <c r="AO25" s="163"/>
      <c r="AP25" s="163"/>
      <c r="AR25" s="4" t="s">
        <v>686</v>
      </c>
    </row>
    <row r="26" spans="2:44" x14ac:dyDescent="0.2">
      <c r="B26" s="180" t="s">
        <v>687</v>
      </c>
      <c r="D26" s="163"/>
      <c r="E26" s="171">
        <f>stemi_size*prob_test_order*prob_test_follow*prev_lof_base*(prop_ap_lof)*prob_stk_ap</f>
        <v>9.0341783688606736E-2</v>
      </c>
      <c r="F26" s="167"/>
      <c r="G26" s="188">
        <f>prob_test_order*prob_test_follow*prev_lof_base*(prop_ap_lof)*prob_stk_ap</f>
        <v>9.0341783688606734E-5</v>
      </c>
      <c r="H26" s="61"/>
      <c r="I26" s="171">
        <f>ld_pras_60+(day_cost_asa + day_cost_pras)*md_365_day</f>
        <v>117.90223214285714</v>
      </c>
      <c r="J26" s="167"/>
      <c r="K26" s="171">
        <f>c_poc_test + c_pci +c_drug_ap_stk_poc+ c_bleed_ap+ c_dys_ap+c_stk_tree</f>
        <v>22034.928722268614</v>
      </c>
      <c r="L26" s="166"/>
      <c r="M26" s="61"/>
      <c r="N26" s="171">
        <f>G26*K26</f>
        <v>1.9906747642210587</v>
      </c>
      <c r="O26" s="167"/>
      <c r="P26" s="182">
        <f>((u_noevent_tree*0.5)+(u_stk_tree*0.5)) - u_dec_bleed_ap-u_dec_dys_ap</f>
        <v>0.62294770843210023</v>
      </c>
      <c r="Q26" s="82"/>
      <c r="R26" s="182">
        <f>G26*P26</f>
        <v>5.6278207124486059E-5</v>
      </c>
      <c r="S26" s="61"/>
      <c r="T26" s="61"/>
      <c r="U26" s="61"/>
      <c r="V26" s="61"/>
      <c r="Z26" s="163"/>
      <c r="AA26" s="163"/>
      <c r="AB26" s="163"/>
      <c r="AC26" s="163"/>
      <c r="AD26" s="163"/>
      <c r="AE26" s="163"/>
      <c r="AF26" s="163"/>
      <c r="AG26" s="163"/>
      <c r="AH26" s="163"/>
      <c r="AI26" s="177"/>
      <c r="AJ26" s="61"/>
      <c r="AK26" s="82"/>
      <c r="AL26" s="61"/>
      <c r="AM26" s="167"/>
      <c r="AN26" s="163"/>
      <c r="AO26" s="163"/>
      <c r="AP26" s="163"/>
      <c r="AR26" s="4" t="s">
        <v>688</v>
      </c>
    </row>
    <row r="27" spans="2:44" x14ac:dyDescent="0.2">
      <c r="B27" s="180" t="s">
        <v>689</v>
      </c>
      <c r="D27" s="163"/>
      <c r="E27" s="171">
        <f>stemi_size*prob_test_order*prob_test_follow*prev_lof_base*(prop_ap_lof)*prob_dead_ap</f>
        <v>0.83737257999193038</v>
      </c>
      <c r="F27" s="167"/>
      <c r="G27" s="188">
        <f>prob_test_order*prob_test_follow*prev_lof_base*(prop_ap_lof)*prob_dead_ap</f>
        <v>8.3737257999193032E-4</v>
      </c>
      <c r="H27" s="61"/>
      <c r="I27" s="171">
        <f>ld_pras_60+(day_cost_asa + day_cost_pras)*md_halfway</f>
        <v>59.681473214285717</v>
      </c>
      <c r="J27" s="167"/>
      <c r="K27" s="181">
        <f>c_poc_test + c_pci +c_drug_ap_dead_poc+ c_bleed_ap+ c_dys_ap+c_dead_tree</f>
        <v>4827.4362963222165</v>
      </c>
      <c r="L27" s="166"/>
      <c r="M27" s="61"/>
      <c r="N27" s="171">
        <f>G27*K27</f>
        <v>4.0423627861980229</v>
      </c>
      <c r="O27" s="167"/>
      <c r="P27" s="182">
        <f>(u_noevent_tree*0.5)- u_dec_bleed_ap-u_dec_dys_ap</f>
        <v>0.33927256775410025</v>
      </c>
      <c r="Q27" s="82"/>
      <c r="R27" s="182">
        <f>G27*P27</f>
        <v>2.8409754538073789E-4</v>
      </c>
      <c r="S27" s="61"/>
      <c r="T27" s="61"/>
      <c r="U27" s="61"/>
      <c r="V27" s="61"/>
      <c r="Z27" s="163"/>
      <c r="AA27" s="163"/>
      <c r="AB27" s="163"/>
      <c r="AC27" s="163"/>
      <c r="AD27" s="163"/>
      <c r="AE27" s="163"/>
      <c r="AF27" s="163"/>
      <c r="AG27" s="163"/>
      <c r="AH27" s="163"/>
      <c r="AI27" s="177"/>
      <c r="AJ27" s="61"/>
      <c r="AK27" s="82"/>
      <c r="AL27" s="61"/>
      <c r="AM27" s="167"/>
      <c r="AN27" s="163"/>
      <c r="AO27" s="163"/>
      <c r="AP27" s="163"/>
      <c r="AR27" s="4" t="s">
        <v>686</v>
      </c>
    </row>
    <row r="28" spans="2:44" ht="7.5" customHeight="1" x14ac:dyDescent="0.2">
      <c r="N28" s="61"/>
      <c r="O28" s="61"/>
      <c r="P28" s="82"/>
      <c r="Q28" s="82"/>
      <c r="R28" s="82"/>
      <c r="AJ28" s="61"/>
      <c r="AL28" s="61"/>
      <c r="AR28" s="4"/>
    </row>
    <row r="29" spans="2:44" x14ac:dyDescent="0.2">
      <c r="B29" s="180" t="s">
        <v>690</v>
      </c>
      <c r="D29" s="61"/>
      <c r="E29" s="171">
        <f>stemi_size*prob_test_order*prob_test_follow*(1-prev_lof_base)*(1-prob_mi_ac_nlof-prob_stk_ac_nlof-prob_dead_ac_nlof)</f>
        <v>557.23465157817134</v>
      </c>
      <c r="F29" s="167"/>
      <c r="G29" s="188">
        <f>prob_test_order*prob_test_follow*(1-prev_lof_base)*(1-prob_mi_ac_nlof-prob_stk_ac_nlof-prob_dead_ac_nlof)</f>
        <v>0.55723465157817131</v>
      </c>
      <c r="H29" s="61"/>
      <c r="I29" s="171">
        <f>ld_clop_600+(day_cost_asa + day_cost_clop)*md_328_day</f>
        <v>21.754285714285718</v>
      </c>
      <c r="J29" s="167"/>
      <c r="K29" s="171">
        <f>c_poc_test + c_pci +c_drug_ac_noevent_poc+ c_bleed_ac+c_dys_ac+c_noevent_tree</f>
        <v>5339.2524251196237</v>
      </c>
      <c r="L29" s="166"/>
      <c r="M29" s="61"/>
      <c r="N29" s="171">
        <f>G29*K29</f>
        <v>2975.2164647994396</v>
      </c>
      <c r="O29" s="167"/>
      <c r="P29" s="182">
        <f>u_noevent_tree - u_dec_bleed_ac-u_dec_dys_ac</f>
        <v>0.67909230267715071</v>
      </c>
      <c r="Q29" s="82"/>
      <c r="R29" s="182">
        <f>G29*P29</f>
        <v>0.37841376267172011</v>
      </c>
      <c r="S29" s="61"/>
      <c r="T29" s="61"/>
      <c r="U29" s="61"/>
      <c r="V29" s="61"/>
      <c r="Z29" s="61"/>
      <c r="AA29" s="61"/>
      <c r="AB29" s="61"/>
      <c r="AC29" s="61"/>
      <c r="AD29" s="61"/>
      <c r="AE29" s="61"/>
      <c r="AF29" s="61"/>
      <c r="AG29" s="61"/>
      <c r="AH29" s="61"/>
      <c r="AI29" s="61"/>
      <c r="AJ29" s="61"/>
      <c r="AK29" s="61"/>
      <c r="AL29" s="61"/>
      <c r="AM29" s="61"/>
      <c r="AN29" s="61"/>
      <c r="AO29" s="61"/>
      <c r="AP29" s="61"/>
      <c r="AR29" s="4" t="s">
        <v>691</v>
      </c>
    </row>
    <row r="30" spans="2:44" x14ac:dyDescent="0.2">
      <c r="B30" s="180" t="s">
        <v>692</v>
      </c>
      <c r="D30" s="61"/>
      <c r="E30" s="171">
        <f>stemi_size*prob_test_order*prob_test_follow*(1-prev_lof_base)*prob_mi_ac_nlof</f>
        <v>21.201130506124521</v>
      </c>
      <c r="F30" s="167"/>
      <c r="G30" s="188">
        <f>prob_test_order*prob_test_follow*(1-prev_lof_base)*prob_mi_ac_nlof</f>
        <v>2.1201130506124516E-2</v>
      </c>
      <c r="H30" s="61"/>
      <c r="I30" s="171">
        <f>ld_clop_600+(day_cost_asa + day_cost_clop)*md_365_day</f>
        <v>24.172500000000003</v>
      </c>
      <c r="J30" s="167"/>
      <c r="K30" s="171">
        <f>c_poc_test+ c_pci +c_drug_ac_mi_poc+ c_bleed_ac+ c_dys_ac+c_mi_tree</f>
        <v>10136.379725360304</v>
      </c>
      <c r="L30" s="166"/>
      <c r="M30" s="61"/>
      <c r="N30" s="171">
        <f>G30*K30</f>
        <v>214.90270941699839</v>
      </c>
      <c r="O30" s="167"/>
      <c r="P30" s="182">
        <f>((u_noevent_tree*0.5)+(u_rinfar_tree*0.5 ))- u_dec_bleed_ac-u_dec_dys_ac</f>
        <v>0.65367049063915073</v>
      </c>
      <c r="Q30" s="82"/>
      <c r="R30" s="182">
        <f>G30*P30</f>
        <v>1.3858553380043078E-2</v>
      </c>
      <c r="S30" s="61"/>
      <c r="T30" s="61"/>
      <c r="U30" s="61"/>
      <c r="V30" s="61"/>
      <c r="Z30" s="61"/>
      <c r="AA30" s="61"/>
      <c r="AB30" s="61"/>
      <c r="AC30" s="61"/>
      <c r="AD30" s="61"/>
      <c r="AE30" s="61"/>
      <c r="AF30" s="61"/>
      <c r="AG30" s="61"/>
      <c r="AH30" s="61"/>
      <c r="AI30" s="61"/>
      <c r="AJ30" s="61"/>
      <c r="AK30" s="61"/>
      <c r="AL30" s="61"/>
      <c r="AM30" s="61"/>
      <c r="AN30" s="61"/>
      <c r="AO30" s="61"/>
      <c r="AP30" s="61"/>
      <c r="AR30" s="4" t="s">
        <v>693</v>
      </c>
    </row>
    <row r="31" spans="2:44" x14ac:dyDescent="0.2">
      <c r="B31" s="180" t="s">
        <v>694</v>
      </c>
      <c r="D31" s="61"/>
      <c r="E31" s="171">
        <f>stemi_size*prob_test_order*prob_test_follow*(1-prev_lof_base)*prob_stk_ac_nlof</f>
        <v>3.8305556100000011</v>
      </c>
      <c r="F31" s="167"/>
      <c r="G31" s="188">
        <f>prob_test_order*prob_test_follow*(1-prev_lof_base)*prob_stk_ac_nlof</f>
        <v>3.8305556100000004E-3</v>
      </c>
      <c r="H31" s="61"/>
      <c r="I31" s="171">
        <f>ld_clop_600+(day_cost_asa + day_cost_clop)*md_365_day</f>
        <v>24.172500000000003</v>
      </c>
      <c r="J31" s="167"/>
      <c r="K31" s="171">
        <f>c_poc_test + c_pci +c_drug_ac_stk_poc+ c_bleed_ac+ c_dys_ac+c_stk_tree</f>
        <v>21914.208695676287</v>
      </c>
      <c r="L31" s="166"/>
      <c r="M31" s="61"/>
      <c r="N31" s="171">
        <f>G31*K31</f>
        <v>83.943595057933592</v>
      </c>
      <c r="O31" s="167"/>
      <c r="P31" s="182">
        <f>((u_noevent_tree*0.5)+(u_stk_tree*0.5)) - u_dec_bleed_ac-u_dec_dys_ac</f>
        <v>0.62300290786315071</v>
      </c>
      <c r="Q31" s="82"/>
      <c r="R31" s="182">
        <f>G31*P31</f>
        <v>2.3864472837615055E-3</v>
      </c>
      <c r="S31" s="61"/>
      <c r="T31" s="61"/>
      <c r="U31" s="61"/>
      <c r="V31" s="61"/>
      <c r="Z31" s="61"/>
      <c r="AA31" s="61"/>
      <c r="AB31" s="61"/>
      <c r="AC31" s="61"/>
      <c r="AD31" s="61"/>
      <c r="AE31" s="61"/>
      <c r="AF31" s="61"/>
      <c r="AG31" s="61"/>
      <c r="AH31" s="61"/>
      <c r="AI31" s="61"/>
      <c r="AJ31" s="61"/>
      <c r="AK31" s="61"/>
      <c r="AL31" s="61"/>
      <c r="AM31" s="61"/>
      <c r="AN31" s="61"/>
      <c r="AO31" s="61"/>
      <c r="AP31" s="61"/>
      <c r="AR31" s="4" t="s">
        <v>693</v>
      </c>
    </row>
    <row r="32" spans="2:44" x14ac:dyDescent="0.2">
      <c r="B32" s="180" t="s">
        <v>695</v>
      </c>
      <c r="D32" s="61"/>
      <c r="E32" s="171">
        <f>stemi_size*prob_test_order*prob_test_follow*(1-prev_lof_base)*prob_dead_ac_nlof</f>
        <v>25.75836230570426</v>
      </c>
      <c r="F32" s="167"/>
      <c r="G32" s="188">
        <f>prob_test_order*prob_test_follow*(1-prev_lof_base)*prob_dead_ac_nlof</f>
        <v>2.5758362305704257E-2</v>
      </c>
      <c r="H32" s="61"/>
      <c r="I32" s="171">
        <f>ld_clop_600+(day_cost_asa + day_cost_clop)*md_halfway</f>
        <v>12.244821428571429</v>
      </c>
      <c r="J32" s="167"/>
      <c r="K32" s="171">
        <f>c_poc_test + c_pci +c_drug_ac_dead_poc+ c_bleed_ac+ c_dys_ac+c_dead_tree</f>
        <v>4753.0093500870325</v>
      </c>
      <c r="L32" s="166"/>
      <c r="M32" s="61"/>
      <c r="N32" s="171">
        <f>G32*K32</f>
        <v>122.42973688194171</v>
      </c>
      <c r="O32" s="167"/>
      <c r="P32" s="182">
        <f>(u_noevent_tree*0.5)- u_dec_bleed_ac-u_dec_dys_ac</f>
        <v>0.33932776718515073</v>
      </c>
      <c r="Q32" s="82"/>
      <c r="R32" s="182">
        <f>G32*P32</f>
        <v>8.7405275675407762E-3</v>
      </c>
      <c r="S32" s="61"/>
      <c r="T32" s="61"/>
      <c r="U32" s="61"/>
      <c r="V32" s="61"/>
      <c r="Z32" s="61"/>
      <c r="AA32" s="61"/>
      <c r="AB32" s="61"/>
      <c r="AC32" s="61"/>
      <c r="AD32" s="61"/>
      <c r="AE32" s="61"/>
      <c r="AF32" s="61"/>
      <c r="AG32" s="61"/>
      <c r="AH32" s="61"/>
      <c r="AI32" s="61"/>
      <c r="AJ32" s="61"/>
      <c r="AK32" s="61"/>
      <c r="AL32" s="61"/>
      <c r="AM32" s="61"/>
      <c r="AN32" s="61"/>
      <c r="AO32" s="61"/>
      <c r="AP32" s="61"/>
      <c r="AR32" s="4" t="s">
        <v>696</v>
      </c>
    </row>
    <row r="33" spans="2:43" ht="15.5" customHeight="1" x14ac:dyDescent="0.2">
      <c r="E33" s="61"/>
      <c r="F33" s="61"/>
      <c r="G33" s="61"/>
      <c r="N33" s="61"/>
      <c r="O33" s="61"/>
      <c r="P33" s="82"/>
      <c r="Q33" s="82"/>
      <c r="R33" s="82"/>
    </row>
    <row r="34" spans="2:43" x14ac:dyDescent="0.2">
      <c r="B34" s="180" t="s">
        <v>697</v>
      </c>
      <c r="C34" s="81"/>
      <c r="E34" s="171">
        <f>stemi_size*(prob_test_order)*(1-prob_test_follow)</f>
        <v>65.099999999999952</v>
      </c>
      <c r="F34" s="167"/>
      <c r="G34" s="188">
        <f>prob_test_order*(1-prob_test_follow)</f>
        <v>6.5099999999999963E-2</v>
      </c>
      <c r="I34" s="171" t="s">
        <v>151</v>
      </c>
      <c r="J34" s="167"/>
      <c r="K34" s="171">
        <f>c_poc_test+c_st_tree</f>
        <v>5902.7904432293171</v>
      </c>
      <c r="N34" s="171">
        <f>G34*K34</f>
        <v>384.27165785422835</v>
      </c>
      <c r="O34" s="167"/>
      <c r="P34" s="182">
        <f>qaly_st_tree</f>
        <v>0.6610876009388641</v>
      </c>
      <c r="Q34" s="82"/>
      <c r="R34" s="182">
        <f>G34*P34</f>
        <v>4.3036802821120025E-2</v>
      </c>
    </row>
    <row r="35" spans="2:43" ht="14.5" customHeight="1" x14ac:dyDescent="0.2">
      <c r="N35" s="61"/>
      <c r="O35" s="61"/>
      <c r="R35" s="182"/>
    </row>
    <row r="36" spans="2:43" ht="16" customHeight="1" x14ac:dyDescent="0.2">
      <c r="B36" s="180" t="s">
        <v>698</v>
      </c>
      <c r="E36" s="171">
        <f>stemi_size*(1-prob_test_order)</f>
        <v>69.999999999999957</v>
      </c>
      <c r="F36" s="167"/>
      <c r="G36" s="188">
        <f>1-prob_test_order</f>
        <v>6.9999999999999951E-2</v>
      </c>
      <c r="I36" s="171" t="s">
        <v>151</v>
      </c>
      <c r="J36" s="167"/>
      <c r="K36" s="171">
        <f>c_st_tree</f>
        <v>5777.7904432293171</v>
      </c>
      <c r="N36" s="171">
        <f>G36*K36</f>
        <v>404.44533102605192</v>
      </c>
      <c r="O36" s="167"/>
      <c r="P36" s="182">
        <f>qaly_st_tree</f>
        <v>0.6610876009388641</v>
      </c>
      <c r="Q36" s="61"/>
      <c r="R36" s="182">
        <f>G36*P36</f>
        <v>4.6276132065720454E-2</v>
      </c>
    </row>
    <row r="38" spans="2:43" x14ac:dyDescent="0.2">
      <c r="B38" s="81"/>
      <c r="C38" s="81"/>
    </row>
    <row r="39" spans="2:43" x14ac:dyDescent="0.2">
      <c r="M39"/>
      <c r="Y39" s="173"/>
      <c r="Z39" s="173"/>
      <c r="AD39" s="177"/>
      <c r="AF39" s="177"/>
      <c r="AG39" s="177"/>
      <c r="AH39" s="38"/>
      <c r="AI39" s="38"/>
      <c r="AJ39" s="38"/>
      <c r="AK39" s="38"/>
      <c r="AL39" s="38"/>
      <c r="AM39" s="38"/>
      <c r="AN39" s="38"/>
      <c r="AO39" s="38"/>
      <c r="AP39" s="38"/>
      <c r="AQ39" s="173"/>
    </row>
    <row r="40" spans="2:43" x14ac:dyDescent="0.2">
      <c r="B40" s="81"/>
      <c r="C40" s="81"/>
      <c r="W40" s="173"/>
      <c r="X40" s="173"/>
    </row>
    <row r="41" spans="2:43" x14ac:dyDescent="0.2">
      <c r="AA41" s="61"/>
      <c r="AB41" s="61"/>
      <c r="AC41" s="61"/>
      <c r="AD41" s="61"/>
      <c r="AE41" s="61"/>
      <c r="AF41" s="61"/>
      <c r="AG41" s="61"/>
    </row>
    <row r="42" spans="2:43" x14ac:dyDescent="0.2">
      <c r="AA42" s="61"/>
      <c r="AB42" s="61"/>
      <c r="AC42" s="61"/>
      <c r="AD42" s="61"/>
      <c r="AE42" s="61"/>
      <c r="AF42" s="61"/>
      <c r="AG42" s="61"/>
    </row>
    <row r="43" spans="2:43" x14ac:dyDescent="0.2">
      <c r="AA43" s="61"/>
      <c r="AB43" s="61"/>
      <c r="AC43" s="61"/>
      <c r="AD43" s="61"/>
      <c r="AE43" s="61"/>
      <c r="AF43" s="61"/>
      <c r="AG43" s="61"/>
    </row>
    <row r="44" spans="2:43" x14ac:dyDescent="0.2">
      <c r="B44" s="81"/>
      <c r="C44" s="81"/>
      <c r="AA44" s="61"/>
      <c r="AB44" s="61"/>
      <c r="AC44" s="61"/>
      <c r="AD44" s="61"/>
      <c r="AE44" s="61"/>
      <c r="AF44" s="61"/>
      <c r="AG44" s="61"/>
    </row>
    <row r="45" spans="2:43" x14ac:dyDescent="0.2">
      <c r="AA45" s="61"/>
      <c r="AB45" s="61"/>
      <c r="AC45" s="61"/>
      <c r="AD45" s="61"/>
      <c r="AE45" s="61"/>
      <c r="AF45" s="61"/>
      <c r="AG45" s="61"/>
    </row>
    <row r="46" spans="2:43" x14ac:dyDescent="0.2">
      <c r="B46" s="81"/>
      <c r="C46" s="81"/>
      <c r="AA46" s="61"/>
      <c r="AB46" s="61"/>
      <c r="AC46" s="61"/>
      <c r="AD46" s="61"/>
      <c r="AE46" s="61"/>
      <c r="AF46" s="61"/>
      <c r="AG46" s="61"/>
    </row>
    <row r="47" spans="2:43" x14ac:dyDescent="0.2">
      <c r="AA47" s="61"/>
      <c r="AB47" s="61"/>
      <c r="AC47" s="61"/>
      <c r="AD47" s="61"/>
      <c r="AE47" s="61"/>
      <c r="AF47" s="61"/>
      <c r="AG47" s="61"/>
    </row>
    <row r="48" spans="2:43" x14ac:dyDescent="0.2">
      <c r="B48" s="81"/>
      <c r="C48" s="81"/>
    </row>
    <row r="50" spans="2:3" x14ac:dyDescent="0.2">
      <c r="B50" s="81"/>
      <c r="C50" s="81"/>
    </row>
    <row r="52" spans="2:3" x14ac:dyDescent="0.2">
      <c r="B52" s="81"/>
      <c r="C52" s="81"/>
    </row>
    <row r="54" spans="2:3" x14ac:dyDescent="0.2">
      <c r="B54" s="81"/>
      <c r="C54" s="81"/>
    </row>
    <row r="56" spans="2:3" x14ac:dyDescent="0.2">
      <c r="B56" s="81"/>
      <c r="C56" s="81"/>
    </row>
    <row r="58" spans="2:3" x14ac:dyDescent="0.2">
      <c r="B58" s="81"/>
      <c r="C58" s="81"/>
    </row>
    <row r="60" spans="2:3" x14ac:dyDescent="0.2">
      <c r="B60" s="81"/>
      <c r="C60" s="81"/>
    </row>
    <row r="62" spans="2:3" x14ac:dyDescent="0.2">
      <c r="B62" s="81"/>
      <c r="C62" s="81"/>
    </row>
    <row r="64" spans="2:3" x14ac:dyDescent="0.2">
      <c r="B64" s="81"/>
      <c r="C64" s="81"/>
    </row>
    <row r="66" spans="2:3" x14ac:dyDescent="0.2">
      <c r="B66" s="81"/>
      <c r="C66" s="81"/>
    </row>
    <row r="68" spans="2:3" x14ac:dyDescent="0.2">
      <c r="B68" s="81"/>
      <c r="C68" s="81"/>
    </row>
    <row r="70" spans="2:3" x14ac:dyDescent="0.2">
      <c r="B70" s="81"/>
      <c r="C70" s="81"/>
    </row>
    <row r="72" spans="2:3" x14ac:dyDescent="0.2">
      <c r="B72" s="81"/>
      <c r="C72" s="81"/>
    </row>
    <row r="74" spans="2:3" x14ac:dyDescent="0.2">
      <c r="B74" s="81"/>
      <c r="C74" s="81"/>
    </row>
    <row r="76" spans="2:3" x14ac:dyDescent="0.2">
      <c r="B76" s="81"/>
      <c r="C76" s="81"/>
    </row>
    <row r="78" spans="2:3" x14ac:dyDescent="0.2">
      <c r="B78" s="81"/>
      <c r="C78" s="81"/>
    </row>
    <row r="80" spans="2:3" x14ac:dyDescent="0.2">
      <c r="B80" s="81"/>
      <c r="C80" s="81"/>
    </row>
    <row r="82" spans="2:3" x14ac:dyDescent="0.2">
      <c r="B82" s="81"/>
      <c r="C82" s="81"/>
    </row>
    <row r="84" spans="2:3" x14ac:dyDescent="0.2">
      <c r="B84" s="81"/>
      <c r="C84" s="81"/>
    </row>
    <row r="86" spans="2:3" x14ac:dyDescent="0.2">
      <c r="B86" s="81"/>
      <c r="C86" s="81"/>
    </row>
    <row r="88" spans="2:3" x14ac:dyDescent="0.2">
      <c r="B88" s="81"/>
      <c r="C88" s="81"/>
    </row>
    <row r="90" spans="2:3" x14ac:dyDescent="0.2">
      <c r="B90" s="81"/>
      <c r="C90" s="81"/>
    </row>
    <row r="92" spans="2:3" x14ac:dyDescent="0.2">
      <c r="B92" s="81"/>
      <c r="C92" s="81"/>
    </row>
    <row r="94" spans="2:3" x14ac:dyDescent="0.2">
      <c r="B94" s="81"/>
      <c r="C94" s="81"/>
    </row>
    <row r="96" spans="2:3" x14ac:dyDescent="0.2">
      <c r="B96" s="81"/>
      <c r="C96" s="81"/>
    </row>
    <row r="98" spans="2:3" x14ac:dyDescent="0.2">
      <c r="B98" s="81"/>
      <c r="C98" s="81"/>
    </row>
    <row r="100" spans="2:3" x14ac:dyDescent="0.2">
      <c r="B100" s="81"/>
      <c r="C100" s="81"/>
    </row>
    <row r="102" spans="2:3" x14ac:dyDescent="0.2">
      <c r="B102" s="81"/>
      <c r="C102" s="81"/>
    </row>
    <row r="104" spans="2:3" x14ac:dyDescent="0.2">
      <c r="B104" s="81"/>
      <c r="C104" s="81"/>
    </row>
    <row r="106" spans="2:3" x14ac:dyDescent="0.2">
      <c r="B106" s="81"/>
      <c r="C106" s="81"/>
    </row>
    <row r="108" spans="2:3" x14ac:dyDescent="0.2">
      <c r="B108" s="81"/>
      <c r="C108" s="81"/>
    </row>
    <row r="110" spans="2:3" x14ac:dyDescent="0.2">
      <c r="B110" s="81"/>
      <c r="C110" s="81"/>
    </row>
    <row r="112" spans="2:3" x14ac:dyDescent="0.2">
      <c r="B112" s="81"/>
      <c r="C112" s="81"/>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0F0E4-788F-47B0-BF31-FDD81C26053A}">
  <sheetPr codeName="Sheet16"/>
  <dimension ref="A3:AP53"/>
  <sheetViews>
    <sheetView topLeftCell="M7" workbookViewId="0">
      <selection activeCell="AM13" sqref="AM13:AP13"/>
    </sheetView>
  </sheetViews>
  <sheetFormatPr baseColWidth="10" defaultColWidth="8.83203125" defaultRowHeight="15" x14ac:dyDescent="0.2"/>
  <cols>
    <col min="1" max="1" width="27.1640625" customWidth="1"/>
    <col min="2" max="2" width="12.1640625" customWidth="1"/>
    <col min="3" max="3" width="13.1640625" customWidth="1"/>
    <col min="4" max="4" width="14.1640625" customWidth="1"/>
    <col min="5" max="5" width="12.5" customWidth="1"/>
    <col min="6" max="6" width="5.5" customWidth="1"/>
    <col min="7" max="7" width="16.83203125" customWidth="1"/>
    <col min="8" max="8" width="12" customWidth="1"/>
    <col min="9" max="9" width="10.5" customWidth="1"/>
    <col min="10" max="10" width="10.83203125" customWidth="1"/>
    <col min="11" max="11" width="11.83203125" customWidth="1"/>
    <col min="12" max="12" width="5.5" customWidth="1"/>
    <col min="13" max="13" width="22.1640625" customWidth="1"/>
    <col min="14" max="14" width="48" customWidth="1"/>
    <col min="15" max="15" width="9.1640625" customWidth="1"/>
    <col min="16" max="16" width="24.5" customWidth="1"/>
    <col min="19" max="19" width="15.83203125" customWidth="1"/>
    <col min="20" max="20" width="10.1640625" customWidth="1"/>
    <col min="21" max="21" width="1.5" customWidth="1"/>
    <col min="22" max="22" width="10.1640625" customWidth="1"/>
    <col min="23" max="23" width="9" customWidth="1"/>
    <col min="24" max="24" width="11.83203125" customWidth="1"/>
    <col min="25" max="25" width="11.5" customWidth="1"/>
    <col min="26" max="26" width="1.83203125" customWidth="1"/>
    <col min="27" max="31" width="11.5" customWidth="1"/>
    <col min="32" max="32" width="1.83203125" customWidth="1"/>
    <col min="33" max="33" width="11.5" customWidth="1"/>
    <col min="35" max="35" width="1.6640625" customWidth="1"/>
    <col min="36" max="36" width="16.5" customWidth="1"/>
    <col min="37" max="37" width="2.1640625" customWidth="1"/>
    <col min="38" max="38" width="9.5" customWidth="1"/>
  </cols>
  <sheetData>
    <row r="3" spans="1:42" ht="18" customHeight="1" x14ac:dyDescent="0.2">
      <c r="M3" s="97" t="s">
        <v>699</v>
      </c>
      <c r="N3" s="39"/>
      <c r="O3" s="39"/>
      <c r="P3" s="40"/>
    </row>
    <row r="4" spans="1:42" ht="18.5" customHeight="1" x14ac:dyDescent="0.2">
      <c r="A4" s="97" t="s">
        <v>700</v>
      </c>
      <c r="B4" s="39"/>
      <c r="C4" s="39"/>
      <c r="D4" s="39"/>
      <c r="E4" s="40"/>
      <c r="G4" s="97" t="s">
        <v>701</v>
      </c>
      <c r="H4" s="39"/>
      <c r="I4" s="39"/>
      <c r="J4" s="39"/>
      <c r="K4" s="40"/>
      <c r="M4" s="130" t="s">
        <v>702</v>
      </c>
      <c r="N4" s="155" t="s">
        <v>703</v>
      </c>
      <c r="O4" s="155" t="s">
        <v>704</v>
      </c>
      <c r="P4" s="131" t="s">
        <v>705</v>
      </c>
      <c r="S4" s="72" t="s">
        <v>706</v>
      </c>
      <c r="T4" s="80"/>
      <c r="V4" s="437" t="s">
        <v>12</v>
      </c>
      <c r="W4" s="439"/>
      <c r="X4" s="439"/>
      <c r="Y4" s="439"/>
      <c r="Z4" s="81"/>
      <c r="AA4" s="440" t="s">
        <v>707</v>
      </c>
      <c r="AB4" s="440"/>
      <c r="AC4" s="440"/>
      <c r="AD4" s="440"/>
      <c r="AE4" s="440"/>
      <c r="AG4" s="437" t="s">
        <v>708</v>
      </c>
      <c r="AH4" s="438"/>
      <c r="AJ4" s="248" t="s">
        <v>709</v>
      </c>
      <c r="AK4" s="81"/>
      <c r="AL4" s="437" t="s">
        <v>710</v>
      </c>
      <c r="AM4" s="439"/>
      <c r="AN4" s="439"/>
      <c r="AO4" s="439"/>
      <c r="AP4" s="438"/>
    </row>
    <row r="5" spans="1:42" ht="48" x14ac:dyDescent="0.2">
      <c r="A5" s="129" t="s">
        <v>711</v>
      </c>
      <c r="B5" s="63" t="s">
        <v>712</v>
      </c>
      <c r="C5" s="63" t="s">
        <v>713</v>
      </c>
      <c r="D5" s="63" t="s">
        <v>714</v>
      </c>
      <c r="E5" s="65" t="s">
        <v>715</v>
      </c>
      <c r="G5" s="56" t="s">
        <v>711</v>
      </c>
      <c r="H5" s="53" t="s">
        <v>716</v>
      </c>
      <c r="I5" s="53" t="s">
        <v>717</v>
      </c>
      <c r="J5" s="53" t="s">
        <v>718</v>
      </c>
      <c r="K5" s="54" t="s">
        <v>719</v>
      </c>
      <c r="M5" s="48"/>
      <c r="N5" s="155" t="s">
        <v>720</v>
      </c>
      <c r="P5" s="42"/>
      <c r="S5" s="64" t="s">
        <v>721</v>
      </c>
      <c r="T5" s="65" t="s">
        <v>722</v>
      </c>
      <c r="U5" s="63"/>
      <c r="V5" s="64" t="s">
        <v>723</v>
      </c>
      <c r="W5" s="63" t="s">
        <v>563</v>
      </c>
      <c r="X5" s="63" t="s">
        <v>724</v>
      </c>
      <c r="Y5" s="65" t="s">
        <v>725</v>
      </c>
      <c r="Z5" s="63"/>
      <c r="AA5" s="63" t="s">
        <v>568</v>
      </c>
      <c r="AB5" s="63" t="s">
        <v>726</v>
      </c>
      <c r="AC5" s="50" t="s">
        <v>727</v>
      </c>
      <c r="AD5" s="50" t="s">
        <v>728</v>
      </c>
      <c r="AE5" s="50" t="s">
        <v>729</v>
      </c>
      <c r="AF5" s="12"/>
      <c r="AG5" s="71" t="s">
        <v>730</v>
      </c>
      <c r="AH5" s="67" t="s">
        <v>731</v>
      </c>
      <c r="AJ5" s="249" t="s">
        <v>732</v>
      </c>
      <c r="AL5" s="41" t="s">
        <v>733</v>
      </c>
      <c r="AM5" t="s">
        <v>734</v>
      </c>
      <c r="AN5" t="s">
        <v>735</v>
      </c>
      <c r="AO5" t="s">
        <v>736</v>
      </c>
      <c r="AP5" s="42" t="s">
        <v>737</v>
      </c>
    </row>
    <row r="6" spans="1:42" x14ac:dyDescent="0.2">
      <c r="A6" s="43" t="s">
        <v>738</v>
      </c>
      <c r="B6" s="6" t="s">
        <v>739</v>
      </c>
      <c r="C6" s="6">
        <v>28</v>
      </c>
      <c r="D6" s="6">
        <v>0.72</v>
      </c>
      <c r="E6" s="44">
        <f>D6/C6</f>
        <v>2.5714285714285714E-2</v>
      </c>
      <c r="G6" s="52" t="s">
        <v>738</v>
      </c>
      <c r="H6" s="1" t="s">
        <v>740</v>
      </c>
      <c r="I6" s="1" t="s">
        <v>740</v>
      </c>
      <c r="J6" s="1" t="s">
        <v>739</v>
      </c>
      <c r="K6" s="96">
        <f>E6</f>
        <v>2.5714285714285714E-2</v>
      </c>
      <c r="M6" s="49" t="s">
        <v>741</v>
      </c>
      <c r="N6" s="12" t="s">
        <v>742</v>
      </c>
      <c r="O6" s="156">
        <v>752</v>
      </c>
      <c r="P6" s="66">
        <v>7048</v>
      </c>
      <c r="S6" s="52" t="s">
        <v>743</v>
      </c>
      <c r="T6" s="69" t="s">
        <v>744</v>
      </c>
      <c r="U6" s="6"/>
      <c r="V6" s="68">
        <v>1640</v>
      </c>
      <c r="W6" s="60">
        <v>5564</v>
      </c>
      <c r="X6" s="60">
        <v>15203</v>
      </c>
      <c r="Y6" s="66">
        <v>1168</v>
      </c>
      <c r="Z6" s="60"/>
      <c r="AA6" s="60">
        <v>18522</v>
      </c>
      <c r="AB6" s="60">
        <v>6576</v>
      </c>
      <c r="AC6" s="60">
        <v>943</v>
      </c>
      <c r="AD6" s="60">
        <v>5104</v>
      </c>
      <c r="AE6" s="60">
        <v>1415</v>
      </c>
      <c r="AF6" s="60"/>
      <c r="AG6" s="68">
        <v>176</v>
      </c>
      <c r="AH6" s="66">
        <v>1955</v>
      </c>
      <c r="AJ6" s="246">
        <v>731</v>
      </c>
      <c r="AL6" s="68">
        <v>2625</v>
      </c>
      <c r="AP6" s="42"/>
    </row>
    <row r="7" spans="1:42" x14ac:dyDescent="0.2">
      <c r="A7" s="43" t="s">
        <v>531</v>
      </c>
      <c r="B7" s="6" t="s">
        <v>739</v>
      </c>
      <c r="C7" s="6">
        <v>28</v>
      </c>
      <c r="D7" s="6">
        <v>1.1100000000000001</v>
      </c>
      <c r="E7" s="44">
        <f>D7/C7</f>
        <v>3.9642857142857146E-2</v>
      </c>
      <c r="G7" s="52" t="s">
        <v>745</v>
      </c>
      <c r="H7" s="1" t="s">
        <v>746</v>
      </c>
      <c r="I7" s="84">
        <f>E7*4</f>
        <v>0.15857142857142859</v>
      </c>
      <c r="J7" s="1" t="s">
        <v>739</v>
      </c>
      <c r="K7" s="96">
        <f>E7</f>
        <v>3.9642857142857146E-2</v>
      </c>
      <c r="M7" s="49" t="s">
        <v>747</v>
      </c>
      <c r="N7" s="12" t="s">
        <v>748</v>
      </c>
      <c r="O7" s="156">
        <v>1335</v>
      </c>
      <c r="P7" s="66">
        <v>5088</v>
      </c>
      <c r="S7" s="41" t="s">
        <v>749</v>
      </c>
      <c r="T7" s="70">
        <v>1.6E-2</v>
      </c>
      <c r="U7" s="62"/>
      <c r="V7" s="68">
        <f>V6*(1+T7)</f>
        <v>1666.24</v>
      </c>
      <c r="W7" s="60">
        <f>W6*(1+T7)</f>
        <v>5653.0240000000003</v>
      </c>
      <c r="X7" s="60">
        <f>X6*(1+T7)</f>
        <v>15446.248</v>
      </c>
      <c r="Y7" s="66">
        <f t="shared" ref="Y7:Y13" si="0">Y6*(1+T7)</f>
        <v>1186.6880000000001</v>
      </c>
      <c r="Z7" s="60"/>
      <c r="AA7" s="60">
        <f t="shared" ref="AA7:AA13" si="1">AA6*(1+T7)</f>
        <v>18818.351999999999</v>
      </c>
      <c r="AB7" s="61">
        <f t="shared" ref="AB7:AB13" si="2">AB6*(1+T7)</f>
        <v>6681.2160000000003</v>
      </c>
      <c r="AC7" s="61">
        <f t="shared" ref="AC7:AC13" si="3">AC6*(1+T7)</f>
        <v>958.08799999999997</v>
      </c>
      <c r="AD7" s="61">
        <f t="shared" ref="AD7:AD13" si="4">AD6*(1+T7)</f>
        <v>5185.6639999999998</v>
      </c>
      <c r="AE7" s="61">
        <f t="shared" ref="AE7:AE13" si="5">AE6*(1+T7)</f>
        <v>1437.64</v>
      </c>
      <c r="AF7" s="61"/>
      <c r="AG7" s="68">
        <f t="shared" ref="AG7:AG13" si="6">AG6*(1+T7)</f>
        <v>178.816</v>
      </c>
      <c r="AH7" s="66">
        <f t="shared" ref="AH7:AH13" si="7">AH6*(1+T7)</f>
        <v>1986.28</v>
      </c>
      <c r="AJ7" s="246">
        <f>AJ6*(1+T7)</f>
        <v>742.69600000000003</v>
      </c>
      <c r="AL7" s="68">
        <f>AL6*(1+T7)</f>
        <v>2667</v>
      </c>
      <c r="AP7" s="42"/>
    </row>
    <row r="8" spans="1:42" x14ac:dyDescent="0.2">
      <c r="A8" s="43" t="s">
        <v>533</v>
      </c>
      <c r="B8" s="6" t="s">
        <v>750</v>
      </c>
      <c r="C8" s="6">
        <v>28</v>
      </c>
      <c r="D8" s="6">
        <v>30.95</v>
      </c>
      <c r="E8" s="44">
        <f>D8/C8</f>
        <v>1.1053571428571429</v>
      </c>
      <c r="G8" s="52" t="s">
        <v>751</v>
      </c>
      <c r="H8" s="1" t="s">
        <v>21</v>
      </c>
      <c r="I8" s="84">
        <f>E7*8</f>
        <v>0.31714285714285717</v>
      </c>
      <c r="J8" s="1" t="s">
        <v>739</v>
      </c>
      <c r="K8" s="96">
        <f>E7</f>
        <v>3.9642857142857146E-2</v>
      </c>
      <c r="M8" s="49" t="s">
        <v>752</v>
      </c>
      <c r="N8" s="12" t="s">
        <v>753</v>
      </c>
      <c r="O8" s="156">
        <v>3165</v>
      </c>
      <c r="P8" s="66">
        <v>3883</v>
      </c>
      <c r="S8" s="41" t="s">
        <v>754</v>
      </c>
      <c r="T8" s="70">
        <v>2.1399999999999999E-2</v>
      </c>
      <c r="U8" s="62"/>
      <c r="V8" s="68">
        <f t="shared" ref="V8:V13" si="8">V7*(1+T8)</f>
        <v>1701.8975360000002</v>
      </c>
      <c r="W8" s="60">
        <f t="shared" ref="W8:W13" si="9">W7*(1+T8)</f>
        <v>5773.9987136000009</v>
      </c>
      <c r="X8" s="60">
        <f t="shared" ref="X8:X13" si="10">X7*(1+T8)</f>
        <v>15776.797707200001</v>
      </c>
      <c r="Y8" s="66">
        <f t="shared" si="0"/>
        <v>1212.0831232000003</v>
      </c>
      <c r="Z8" s="60"/>
      <c r="AA8" s="60">
        <f t="shared" si="1"/>
        <v>19221.064732800001</v>
      </c>
      <c r="AB8" s="61">
        <f t="shared" si="2"/>
        <v>6824.1940224000009</v>
      </c>
      <c r="AC8" s="61">
        <f t="shared" si="3"/>
        <v>978.59108320000007</v>
      </c>
      <c r="AD8" s="61">
        <f t="shared" si="4"/>
        <v>5296.6372096000005</v>
      </c>
      <c r="AE8" s="61">
        <f t="shared" si="5"/>
        <v>1468.4054960000003</v>
      </c>
      <c r="AF8" s="61"/>
      <c r="AG8" s="68">
        <f t="shared" si="6"/>
        <v>182.64266240000001</v>
      </c>
      <c r="AH8" s="66">
        <f t="shared" si="7"/>
        <v>2028.7863920000002</v>
      </c>
      <c r="AJ8" s="246">
        <f t="shared" ref="AJ8:AJ13" si="11">AJ7*(1+T8)</f>
        <v>758.5896944000001</v>
      </c>
      <c r="AL8" s="68">
        <f t="shared" ref="AL8:AL13" si="12">AL7*(1+T8)</f>
        <v>2724.0738000000001</v>
      </c>
      <c r="AP8" s="42"/>
    </row>
    <row r="9" spans="1:42" x14ac:dyDescent="0.2">
      <c r="A9" s="43" t="s">
        <v>755</v>
      </c>
      <c r="B9" s="6" t="s">
        <v>756</v>
      </c>
      <c r="C9" s="6">
        <v>28</v>
      </c>
      <c r="D9" s="6">
        <v>4.09</v>
      </c>
      <c r="E9" s="44">
        <f>D9/C9</f>
        <v>0.14607142857142857</v>
      </c>
      <c r="G9" s="52" t="s">
        <v>757</v>
      </c>
      <c r="H9" s="1" t="s">
        <v>758</v>
      </c>
      <c r="I9" s="84">
        <f>E9*10</f>
        <v>1.4607142857142859</v>
      </c>
      <c r="J9" s="84" t="s">
        <v>750</v>
      </c>
      <c r="K9" s="96">
        <f>E8</f>
        <v>1.1053571428571429</v>
      </c>
      <c r="M9" s="49" t="s">
        <v>759</v>
      </c>
      <c r="N9" s="12" t="s">
        <v>760</v>
      </c>
      <c r="O9" s="156">
        <v>3061</v>
      </c>
      <c r="P9" s="66">
        <v>3297</v>
      </c>
      <c r="S9" s="41" t="s">
        <v>761</v>
      </c>
      <c r="T9" s="70">
        <v>2.4899999999999999E-2</v>
      </c>
      <c r="U9" s="62"/>
      <c r="V9" s="68">
        <f t="shared" si="8"/>
        <v>1744.2747846464001</v>
      </c>
      <c r="W9" s="60">
        <f t="shared" si="9"/>
        <v>5917.77128156864</v>
      </c>
      <c r="X9" s="60">
        <f t="shared" si="10"/>
        <v>16169.63997010928</v>
      </c>
      <c r="Y9" s="66">
        <f t="shared" si="0"/>
        <v>1242.2639929676802</v>
      </c>
      <c r="Z9" s="60"/>
      <c r="AA9" s="60">
        <f t="shared" si="1"/>
        <v>19699.66924464672</v>
      </c>
      <c r="AB9" s="61">
        <f t="shared" si="2"/>
        <v>6994.11645355776</v>
      </c>
      <c r="AC9" s="61">
        <f t="shared" si="3"/>
        <v>1002.9580011716801</v>
      </c>
      <c r="AD9" s="61">
        <f t="shared" si="4"/>
        <v>5428.5234761190404</v>
      </c>
      <c r="AE9" s="61">
        <f t="shared" si="5"/>
        <v>1504.9687928504002</v>
      </c>
      <c r="AF9" s="61"/>
      <c r="AG9" s="68">
        <f t="shared" si="6"/>
        <v>187.19046469375999</v>
      </c>
      <c r="AH9" s="66">
        <f t="shared" si="7"/>
        <v>2079.3031731608003</v>
      </c>
      <c r="AJ9" s="246">
        <f t="shared" si="11"/>
        <v>777.47857779056005</v>
      </c>
      <c r="AL9" s="68">
        <f t="shared" si="12"/>
        <v>2791.9032376199998</v>
      </c>
      <c r="AP9" s="42"/>
    </row>
    <row r="10" spans="1:42" x14ac:dyDescent="0.2">
      <c r="A10" s="43" t="s">
        <v>532</v>
      </c>
      <c r="B10" s="6" t="s">
        <v>762</v>
      </c>
      <c r="C10" s="6">
        <v>56</v>
      </c>
      <c r="D10" s="6">
        <v>54.6</v>
      </c>
      <c r="E10" s="44">
        <f>D10/C10</f>
        <v>0.97499999999999998</v>
      </c>
      <c r="G10" s="52" t="s">
        <v>763</v>
      </c>
      <c r="H10" s="1" t="s">
        <v>758</v>
      </c>
      <c r="I10" s="84">
        <f>E9*10</f>
        <v>1.4607142857142859</v>
      </c>
      <c r="J10" s="84" t="s">
        <v>756</v>
      </c>
      <c r="K10" s="92">
        <v>0.15</v>
      </c>
      <c r="M10" s="49" t="s">
        <v>764</v>
      </c>
      <c r="N10" s="12" t="s">
        <v>765</v>
      </c>
      <c r="O10" s="156">
        <v>1307</v>
      </c>
      <c r="P10" s="66">
        <v>6825</v>
      </c>
      <c r="S10" s="41" t="s">
        <v>766</v>
      </c>
      <c r="T10" s="70">
        <v>2.5700000000000001E-2</v>
      </c>
      <c r="U10" s="62"/>
      <c r="V10" s="68">
        <f t="shared" si="8"/>
        <v>1789.1026466118128</v>
      </c>
      <c r="W10" s="60">
        <f t="shared" si="9"/>
        <v>6069.8580035049545</v>
      </c>
      <c r="X10" s="60">
        <f t="shared" si="10"/>
        <v>16585.199717341089</v>
      </c>
      <c r="Y10" s="66">
        <f t="shared" si="0"/>
        <v>1274.1901775869496</v>
      </c>
      <c r="Z10" s="60"/>
      <c r="AA10" s="60">
        <f t="shared" si="1"/>
        <v>20205.950744234142</v>
      </c>
      <c r="AB10" s="61">
        <f t="shared" si="2"/>
        <v>7173.8652464141951</v>
      </c>
      <c r="AC10" s="61">
        <f t="shared" si="3"/>
        <v>1028.7340218017923</v>
      </c>
      <c r="AD10" s="61">
        <f t="shared" si="4"/>
        <v>5568.0365294553003</v>
      </c>
      <c r="AE10" s="61">
        <f t="shared" si="5"/>
        <v>1543.6464908266555</v>
      </c>
      <c r="AF10" s="61"/>
      <c r="AG10" s="68">
        <f t="shared" si="6"/>
        <v>192.00125963638965</v>
      </c>
      <c r="AH10" s="66">
        <f t="shared" si="7"/>
        <v>2132.7412647110327</v>
      </c>
      <c r="AJ10" s="246">
        <f t="shared" si="11"/>
        <v>797.45977723977751</v>
      </c>
      <c r="AL10" s="68">
        <f t="shared" si="12"/>
        <v>2863.655150826834</v>
      </c>
      <c r="AP10" s="42"/>
    </row>
    <row r="11" spans="1:42" x14ac:dyDescent="0.2">
      <c r="A11" s="47" t="s">
        <v>767</v>
      </c>
      <c r="B11" s="45"/>
      <c r="C11" s="45"/>
      <c r="D11" s="45"/>
      <c r="E11" s="46"/>
      <c r="G11" s="52" t="s">
        <v>532</v>
      </c>
      <c r="H11" s="1" t="s">
        <v>768</v>
      </c>
      <c r="I11" s="84">
        <f>E10*2</f>
        <v>1.95</v>
      </c>
      <c r="J11" s="84" t="s">
        <v>768</v>
      </c>
      <c r="K11" s="96">
        <f>E10*2</f>
        <v>1.95</v>
      </c>
      <c r="M11" s="49" t="s">
        <v>769</v>
      </c>
      <c r="N11" s="12" t="s">
        <v>770</v>
      </c>
      <c r="O11" s="156">
        <v>2802</v>
      </c>
      <c r="P11" s="66">
        <v>4406</v>
      </c>
      <c r="S11" s="41" t="s">
        <v>771</v>
      </c>
      <c r="T11" s="70">
        <v>7.0300000000000001E-2</v>
      </c>
      <c r="U11" s="62"/>
      <c r="V11" s="68">
        <f t="shared" si="8"/>
        <v>1914.8765626686234</v>
      </c>
      <c r="W11" s="60">
        <f t="shared" si="9"/>
        <v>6496.5690211513529</v>
      </c>
      <c r="X11" s="60">
        <f t="shared" si="10"/>
        <v>17751.139257470168</v>
      </c>
      <c r="Y11" s="66">
        <f t="shared" si="0"/>
        <v>1363.7657470713123</v>
      </c>
      <c r="Z11" s="60"/>
      <c r="AA11" s="60">
        <f t="shared" si="1"/>
        <v>21626.429081553804</v>
      </c>
      <c r="AB11" s="61">
        <f t="shared" si="2"/>
        <v>7678.1879732371135</v>
      </c>
      <c r="AC11" s="61">
        <f t="shared" si="3"/>
        <v>1101.0540235344583</v>
      </c>
      <c r="AD11" s="61">
        <f t="shared" si="4"/>
        <v>5959.4694974760077</v>
      </c>
      <c r="AE11" s="61">
        <f t="shared" si="5"/>
        <v>1652.1648391317694</v>
      </c>
      <c r="AF11" s="61"/>
      <c r="AG11" s="68">
        <f t="shared" si="6"/>
        <v>205.49894818882785</v>
      </c>
      <c r="AH11" s="66">
        <f t="shared" si="7"/>
        <v>2282.6729756202185</v>
      </c>
      <c r="AJ11" s="246">
        <f t="shared" si="11"/>
        <v>853.52119957973389</v>
      </c>
      <c r="AL11" s="68">
        <f t="shared" si="12"/>
        <v>3064.9701079299602</v>
      </c>
      <c r="AP11" s="42"/>
    </row>
    <row r="12" spans="1:42" x14ac:dyDescent="0.2">
      <c r="A12" s="1"/>
      <c r="G12" s="47" t="s">
        <v>772</v>
      </c>
      <c r="H12" s="45"/>
      <c r="I12" s="45"/>
      <c r="J12" s="45"/>
      <c r="K12" s="46"/>
      <c r="M12" s="49" t="s">
        <v>773</v>
      </c>
      <c r="N12" s="12" t="s">
        <v>774</v>
      </c>
      <c r="O12" s="156">
        <v>9037</v>
      </c>
      <c r="P12" s="66">
        <v>3454</v>
      </c>
      <c r="S12" s="41" t="s">
        <v>775</v>
      </c>
      <c r="T12" s="70">
        <v>2.9000000000000001E-2</v>
      </c>
      <c r="U12" s="62"/>
      <c r="V12" s="68">
        <f t="shared" si="8"/>
        <v>1970.4079829860132</v>
      </c>
      <c r="W12" s="60">
        <f t="shared" si="9"/>
        <v>6684.9695227647417</v>
      </c>
      <c r="X12" s="60">
        <f t="shared" si="10"/>
        <v>18265.922295936802</v>
      </c>
      <c r="Y12" s="66">
        <f t="shared" si="0"/>
        <v>1403.3149537363802</v>
      </c>
      <c r="Z12" s="60"/>
      <c r="AA12" s="60">
        <f t="shared" si="1"/>
        <v>22253.595524918863</v>
      </c>
      <c r="AB12" s="61">
        <f t="shared" si="2"/>
        <v>7900.8554244609895</v>
      </c>
      <c r="AC12" s="61">
        <f t="shared" si="3"/>
        <v>1132.9845902169575</v>
      </c>
      <c r="AD12" s="61">
        <f t="shared" si="4"/>
        <v>6132.2941129028113</v>
      </c>
      <c r="AE12" s="61">
        <f t="shared" si="5"/>
        <v>1700.0776194665907</v>
      </c>
      <c r="AF12" s="61"/>
      <c r="AG12" s="68">
        <f t="shared" si="6"/>
        <v>211.45841768630385</v>
      </c>
      <c r="AH12" s="66">
        <f t="shared" si="7"/>
        <v>2348.8704919132047</v>
      </c>
      <c r="AJ12" s="246">
        <f t="shared" si="11"/>
        <v>878.27331436754605</v>
      </c>
      <c r="AL12" s="68">
        <f t="shared" si="12"/>
        <v>3153.8542410599289</v>
      </c>
      <c r="AP12" s="42"/>
    </row>
    <row r="13" spans="1:42" x14ac:dyDescent="0.2">
      <c r="A13" s="1"/>
      <c r="M13" s="49" t="s">
        <v>776</v>
      </c>
      <c r="N13" s="12" t="s">
        <v>777</v>
      </c>
      <c r="O13" s="156">
        <v>10510</v>
      </c>
      <c r="P13" s="66">
        <v>2940</v>
      </c>
      <c r="S13" s="73" t="s">
        <v>778</v>
      </c>
      <c r="T13" s="74">
        <v>1.7000000000000001E-2</v>
      </c>
      <c r="U13" s="62"/>
      <c r="V13" s="76">
        <f t="shared" si="8"/>
        <v>2003.9049186967752</v>
      </c>
      <c r="W13" s="79">
        <f t="shared" si="9"/>
        <v>6798.6140046517412</v>
      </c>
      <c r="X13" s="79">
        <f t="shared" si="10"/>
        <v>18576.442974967726</v>
      </c>
      <c r="Y13" s="79">
        <f t="shared" si="0"/>
        <v>1427.1713079498984</v>
      </c>
      <c r="Z13" s="60"/>
      <c r="AA13" s="78">
        <f t="shared" si="1"/>
        <v>22631.90664884248</v>
      </c>
      <c r="AB13" s="75">
        <f t="shared" si="2"/>
        <v>8035.1699666768254</v>
      </c>
      <c r="AC13" s="75">
        <f t="shared" si="3"/>
        <v>1152.2453282506456</v>
      </c>
      <c r="AD13" s="75">
        <f t="shared" si="4"/>
        <v>6236.5431128221589</v>
      </c>
      <c r="AE13" s="75">
        <f t="shared" si="5"/>
        <v>1728.9789389975226</v>
      </c>
      <c r="AF13" s="61"/>
      <c r="AG13" s="76">
        <f t="shared" si="6"/>
        <v>215.05321078697099</v>
      </c>
      <c r="AH13" s="77">
        <f t="shared" si="7"/>
        <v>2388.8012902757291</v>
      </c>
      <c r="AJ13" s="247">
        <f t="shared" si="11"/>
        <v>893.20396071179425</v>
      </c>
      <c r="AL13" s="245">
        <f t="shared" si="12"/>
        <v>3207.4697631579475</v>
      </c>
      <c r="AM13" s="250">
        <f>AL13+(AL13*0.1)</f>
        <v>3528.2167394737421</v>
      </c>
      <c r="AN13" s="250">
        <f>AL13+(AL13*0.2)</f>
        <v>3848.9637157895368</v>
      </c>
      <c r="AO13" s="250">
        <f>AL13+(AL13*0.3)</f>
        <v>4169.7106921053319</v>
      </c>
      <c r="AP13" s="251">
        <f>AL13+(AL13*0.4)</f>
        <v>4490.4576684211261</v>
      </c>
    </row>
    <row r="14" spans="1:42" x14ac:dyDescent="0.2">
      <c r="A14" s="132" t="s">
        <v>779</v>
      </c>
      <c r="B14" s="135">
        <f>K6</f>
        <v>2.5714285714285714E-2</v>
      </c>
      <c r="M14" s="43"/>
      <c r="N14" s="12" t="s">
        <v>780</v>
      </c>
      <c r="O14" s="50"/>
      <c r="P14" s="51"/>
      <c r="S14" s="57" t="s">
        <v>781</v>
      </c>
      <c r="T14" s="1"/>
      <c r="U14" s="1"/>
    </row>
    <row r="15" spans="1:42" x14ac:dyDescent="0.2">
      <c r="A15" s="123" t="s">
        <v>782</v>
      </c>
      <c r="B15" s="96">
        <f>K7</f>
        <v>3.9642857142857146E-2</v>
      </c>
      <c r="M15" s="41" t="s">
        <v>741</v>
      </c>
      <c r="N15" s="12" t="s">
        <v>742</v>
      </c>
      <c r="O15" s="156">
        <v>292</v>
      </c>
      <c r="P15" s="66">
        <v>2933.8742736397257</v>
      </c>
    </row>
    <row r="16" spans="1:42" x14ac:dyDescent="0.2">
      <c r="A16" s="123" t="s">
        <v>783</v>
      </c>
      <c r="B16" s="96">
        <f>K9</f>
        <v>1.1053571428571429</v>
      </c>
      <c r="M16" s="41" t="s">
        <v>747</v>
      </c>
      <c r="N16" s="12" t="s">
        <v>748</v>
      </c>
      <c r="O16" s="156">
        <v>476</v>
      </c>
      <c r="P16" s="66">
        <v>2191.3802092895176</v>
      </c>
      <c r="S16" s="57" t="s">
        <v>784</v>
      </c>
    </row>
    <row r="17" spans="1:16" x14ac:dyDescent="0.2">
      <c r="A17" s="123" t="s">
        <v>785</v>
      </c>
      <c r="B17" s="96">
        <f>K10</f>
        <v>0.15</v>
      </c>
      <c r="M17" s="41" t="s">
        <v>752</v>
      </c>
      <c r="N17" s="12" t="s">
        <v>753</v>
      </c>
      <c r="O17" s="156">
        <v>1579</v>
      </c>
      <c r="P17" s="66">
        <v>1928.9462653288742</v>
      </c>
    </row>
    <row r="18" spans="1:16" x14ac:dyDescent="0.2">
      <c r="A18" s="123" t="s">
        <v>786</v>
      </c>
      <c r="B18" s="96">
        <f>K11</f>
        <v>1.95</v>
      </c>
      <c r="M18" s="41" t="s">
        <v>759</v>
      </c>
      <c r="N18" s="12" t="s">
        <v>760</v>
      </c>
      <c r="O18" s="156">
        <v>2236</v>
      </c>
      <c r="P18" s="66">
        <v>1847.4497354497353</v>
      </c>
    </row>
    <row r="19" spans="1:16" x14ac:dyDescent="0.2">
      <c r="A19" s="133" t="s">
        <v>787</v>
      </c>
      <c r="B19" s="96">
        <f>I7</f>
        <v>0.15857142857142859</v>
      </c>
      <c r="M19" s="41" t="s">
        <v>764</v>
      </c>
      <c r="N19" s="12" t="s">
        <v>765</v>
      </c>
      <c r="O19" s="156">
        <v>427</v>
      </c>
      <c r="P19" s="66">
        <v>2506.63272780545</v>
      </c>
    </row>
    <row r="20" spans="1:16" x14ac:dyDescent="0.2">
      <c r="A20" s="133" t="s">
        <v>788</v>
      </c>
      <c r="B20" s="96">
        <f>I8</f>
        <v>0.31714285714285717</v>
      </c>
      <c r="M20" s="41" t="s">
        <v>769</v>
      </c>
      <c r="N20" s="12" t="s">
        <v>770</v>
      </c>
      <c r="O20" s="156">
        <v>1127</v>
      </c>
      <c r="P20" s="66">
        <v>1889.6609132619619</v>
      </c>
    </row>
    <row r="21" spans="1:16" x14ac:dyDescent="0.2">
      <c r="A21" s="133" t="s">
        <v>789</v>
      </c>
      <c r="B21" s="96">
        <f>I9</f>
        <v>1.4607142857142859</v>
      </c>
      <c r="M21" s="41" t="s">
        <v>773</v>
      </c>
      <c r="N21" s="12" t="s">
        <v>774</v>
      </c>
      <c r="O21" s="156">
        <v>5137</v>
      </c>
      <c r="P21" s="66">
        <v>1783.3203617429433</v>
      </c>
    </row>
    <row r="22" spans="1:16" x14ac:dyDescent="0.2">
      <c r="A22" s="134" t="s">
        <v>790</v>
      </c>
      <c r="B22" s="136">
        <f>I11</f>
        <v>1.95</v>
      </c>
      <c r="M22" s="41" t="s">
        <v>776</v>
      </c>
      <c r="N22" s="12" t="s">
        <v>777</v>
      </c>
      <c r="O22" s="156">
        <v>8843</v>
      </c>
      <c r="P22" s="66">
        <v>1646.7692307692307</v>
      </c>
    </row>
    <row r="23" spans="1:16" x14ac:dyDescent="0.2">
      <c r="A23" s="43"/>
      <c r="B23" s="11"/>
      <c r="M23" s="41"/>
      <c r="O23" s="156">
        <f>SUM(O6:O22)</f>
        <v>52086</v>
      </c>
      <c r="P23" s="157">
        <v>3125.091522845476</v>
      </c>
    </row>
    <row r="24" spans="1:16" ht="14" customHeight="1" x14ac:dyDescent="0.2">
      <c r="A24" s="43"/>
      <c r="B24" s="11"/>
      <c r="M24" s="59" t="s">
        <v>791</v>
      </c>
      <c r="N24" s="45"/>
      <c r="O24" s="45"/>
      <c r="P24" s="46"/>
    </row>
    <row r="34" spans="1:1" x14ac:dyDescent="0.2">
      <c r="A34" s="1"/>
    </row>
    <row r="35" spans="1:1" x14ac:dyDescent="0.2">
      <c r="A35" s="1"/>
    </row>
    <row r="36" spans="1:1" x14ac:dyDescent="0.2">
      <c r="A36" s="1"/>
    </row>
    <row r="37" spans="1:1" x14ac:dyDescent="0.2">
      <c r="A37" s="1"/>
    </row>
    <row r="38" spans="1:1" x14ac:dyDescent="0.2">
      <c r="A38" s="1"/>
    </row>
    <row r="39" spans="1:1" x14ac:dyDescent="0.2">
      <c r="A39" s="1"/>
    </row>
    <row r="40" spans="1:1" x14ac:dyDescent="0.2">
      <c r="A40" s="1"/>
    </row>
    <row r="41" spans="1:1" x14ac:dyDescent="0.2">
      <c r="A41" s="1"/>
    </row>
    <row r="42" spans="1:1" x14ac:dyDescent="0.2">
      <c r="A42" s="1"/>
    </row>
    <row r="43" spans="1:1" x14ac:dyDescent="0.2">
      <c r="A43" s="1"/>
    </row>
    <row r="44" spans="1:1" x14ac:dyDescent="0.2">
      <c r="A44" s="1"/>
    </row>
    <row r="45" spans="1:1" x14ac:dyDescent="0.2">
      <c r="A45" s="1"/>
    </row>
    <row r="46" spans="1:1" x14ac:dyDescent="0.2">
      <c r="A46" s="1"/>
    </row>
    <row r="47" spans="1:1" x14ac:dyDescent="0.2">
      <c r="A47" s="1"/>
    </row>
    <row r="48" spans="1:1" x14ac:dyDescent="0.2">
      <c r="A48" s="1"/>
    </row>
    <row r="49" spans="1:1" x14ac:dyDescent="0.2">
      <c r="A49" s="1"/>
    </row>
    <row r="50" spans="1:1" x14ac:dyDescent="0.2">
      <c r="A50" s="1"/>
    </row>
    <row r="51" spans="1:1" x14ac:dyDescent="0.2">
      <c r="A51" s="1"/>
    </row>
    <row r="52" spans="1:1" x14ac:dyDescent="0.2">
      <c r="A52" s="1"/>
    </row>
    <row r="53" spans="1:1" x14ac:dyDescent="0.2">
      <c r="A53" s="1"/>
    </row>
  </sheetData>
  <mergeCells count="4">
    <mergeCell ref="AG4:AH4"/>
    <mergeCell ref="V4:Y4"/>
    <mergeCell ref="AA4:AE4"/>
    <mergeCell ref="AL4:AP4"/>
  </mergeCells>
  <phoneticPr fontId="2" type="noConversion"/>
  <hyperlinks>
    <hyperlink ref="S14" r:id="rId1" display="https://kar.kent.ac.uk/105685/1/The unit costs of health and social care_Final3.pdf" xr:uid="{29F33559-30D2-427F-B5C2-23BB16344AF8}"/>
    <hyperlink ref="S16" r:id="rId2" display="https://www.england.nhs.uk/wp-content/uploads/2023/03/23-25NHSPS-amended_Annex-D-Prices-and-cost-adjustments_2024-25.pdf" xr:uid="{713E63D2-805B-472B-A200-442F4C24AED6}"/>
  </hyperlinks>
  <pageMargins left="0.7" right="0.7" top="0.75" bottom="0.75" header="0.3" footer="0.3"/>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386F2-FA43-44E4-A35D-254A1FF3328E}">
  <sheetPr codeName="Sheet17"/>
  <dimension ref="A1:K37"/>
  <sheetViews>
    <sheetView workbookViewId="0">
      <selection activeCell="G6" sqref="G6"/>
    </sheetView>
  </sheetViews>
  <sheetFormatPr baseColWidth="10" defaultColWidth="8.83203125" defaultRowHeight="15" x14ac:dyDescent="0.2"/>
  <cols>
    <col min="1" max="1" width="46.83203125" style="21" customWidth="1"/>
    <col min="2" max="2" width="36.83203125" style="21" customWidth="1"/>
    <col min="3" max="3" width="25.1640625" style="1" customWidth="1"/>
    <col min="4" max="4" width="16.5" customWidth="1"/>
    <col min="5" max="5" width="19.5" customWidth="1"/>
    <col min="6" max="6" width="16.5" customWidth="1"/>
    <col min="7" max="7" width="13.5" customWidth="1"/>
    <col min="8" max="8" width="15.5" customWidth="1"/>
  </cols>
  <sheetData>
    <row r="1" spans="1:11" x14ac:dyDescent="0.2">
      <c r="A1" s="153" t="s">
        <v>792</v>
      </c>
      <c r="B1" s="154" t="s">
        <v>793</v>
      </c>
    </row>
    <row r="2" spans="1:11" x14ac:dyDescent="0.2">
      <c r="A2" s="21" t="s">
        <v>794</v>
      </c>
      <c r="B2" s="21" t="s">
        <v>795</v>
      </c>
    </row>
    <row r="3" spans="1:11" x14ac:dyDescent="0.2">
      <c r="A3" s="21" t="s">
        <v>796</v>
      </c>
      <c r="B3" s="152">
        <v>3.6200000000000003E-2</v>
      </c>
    </row>
    <row r="4" spans="1:11" x14ac:dyDescent="0.2">
      <c r="A4" s="21" t="s">
        <v>797</v>
      </c>
      <c r="B4" s="21">
        <v>0</v>
      </c>
      <c r="E4" s="151"/>
      <c r="F4" s="39" t="s">
        <v>798</v>
      </c>
      <c r="G4" s="39"/>
      <c r="H4" s="39"/>
      <c r="I4" s="39"/>
      <c r="J4" s="39"/>
      <c r="K4" s="40"/>
    </row>
    <row r="5" spans="1:11" x14ac:dyDescent="0.2">
      <c r="A5" s="21" t="s">
        <v>799</v>
      </c>
      <c r="B5" s="152">
        <v>5.8999999999999999E-3</v>
      </c>
      <c r="E5" s="41" t="s">
        <v>800</v>
      </c>
      <c r="F5" s="149" t="s">
        <v>801</v>
      </c>
      <c r="G5" s="149" t="s">
        <v>802</v>
      </c>
      <c r="H5" s="149" t="s">
        <v>803</v>
      </c>
      <c r="I5" s="149" t="s">
        <v>570</v>
      </c>
      <c r="J5" s="149" t="s">
        <v>804</v>
      </c>
      <c r="K5" s="149" t="s">
        <v>805</v>
      </c>
    </row>
    <row r="6" spans="1:11" x14ac:dyDescent="0.2">
      <c r="A6" s="21" t="s">
        <v>806</v>
      </c>
      <c r="B6" s="152">
        <v>0</v>
      </c>
      <c r="E6" s="150" t="s">
        <v>801</v>
      </c>
      <c r="F6" s="118" t="s">
        <v>807</v>
      </c>
      <c r="G6" s="118">
        <v>3.6200000000000003E-2</v>
      </c>
      <c r="H6">
        <v>0</v>
      </c>
      <c r="I6" s="118">
        <v>5.8999999999999999E-3</v>
      </c>
      <c r="J6">
        <v>0</v>
      </c>
      <c r="K6" s="42"/>
    </row>
    <row r="7" spans="1:11" x14ac:dyDescent="0.2">
      <c r="A7" s="21" t="s">
        <v>808</v>
      </c>
      <c r="B7" s="21" t="s">
        <v>809</v>
      </c>
      <c r="E7" s="150" t="s">
        <v>802</v>
      </c>
      <c r="F7">
        <v>0</v>
      </c>
      <c r="G7">
        <v>0</v>
      </c>
      <c r="H7" t="s">
        <v>810</v>
      </c>
      <c r="I7">
        <v>0</v>
      </c>
      <c r="J7">
        <v>0</v>
      </c>
      <c r="K7" s="42"/>
    </row>
    <row r="8" spans="1:11" x14ac:dyDescent="0.2">
      <c r="A8" s="21" t="s">
        <v>811</v>
      </c>
      <c r="B8" s="21">
        <v>0</v>
      </c>
      <c r="E8" s="150" t="s">
        <v>803</v>
      </c>
      <c r="F8">
        <v>0</v>
      </c>
      <c r="G8">
        <v>0</v>
      </c>
      <c r="H8" t="s">
        <v>810</v>
      </c>
      <c r="I8">
        <v>0</v>
      </c>
      <c r="J8">
        <v>0</v>
      </c>
      <c r="K8" s="42"/>
    </row>
    <row r="9" spans="1:11" x14ac:dyDescent="0.2">
      <c r="A9" s="21" t="s">
        <v>812</v>
      </c>
      <c r="B9" s="21">
        <v>0</v>
      </c>
      <c r="C9" s="62"/>
      <c r="E9" s="150" t="s">
        <v>570</v>
      </c>
      <c r="F9">
        <v>0</v>
      </c>
      <c r="G9">
        <v>0</v>
      </c>
      <c r="H9">
        <v>0</v>
      </c>
      <c r="I9">
        <v>0</v>
      </c>
      <c r="J9" t="s">
        <v>810</v>
      </c>
      <c r="K9" s="42"/>
    </row>
    <row r="10" spans="1:11" x14ac:dyDescent="0.2">
      <c r="A10" s="21" t="s">
        <v>813</v>
      </c>
      <c r="B10" s="21" t="s">
        <v>814</v>
      </c>
      <c r="E10" s="150" t="s">
        <v>804</v>
      </c>
      <c r="F10">
        <v>0</v>
      </c>
      <c r="G10">
        <v>0</v>
      </c>
      <c r="H10">
        <v>0</v>
      </c>
      <c r="I10">
        <v>0</v>
      </c>
      <c r="J10" t="s">
        <v>810</v>
      </c>
      <c r="K10" s="42"/>
    </row>
    <row r="11" spans="1:11" x14ac:dyDescent="0.2">
      <c r="A11" s="21" t="s">
        <v>815</v>
      </c>
      <c r="B11" s="21">
        <v>0</v>
      </c>
      <c r="C11" s="62"/>
      <c r="E11" s="150" t="s">
        <v>805</v>
      </c>
      <c r="F11" s="45">
        <v>0</v>
      </c>
      <c r="G11" s="45">
        <v>0</v>
      </c>
      <c r="H11" s="45">
        <v>0</v>
      </c>
      <c r="I11" s="45">
        <v>0</v>
      </c>
      <c r="J11" s="45">
        <v>0</v>
      </c>
      <c r="K11" s="46">
        <v>1</v>
      </c>
    </row>
    <row r="12" spans="1:11" x14ac:dyDescent="0.2">
      <c r="A12" s="21" t="s">
        <v>816</v>
      </c>
      <c r="B12" s="21">
        <v>0</v>
      </c>
    </row>
    <row r="13" spans="1:11" x14ac:dyDescent="0.2">
      <c r="A13" s="21" t="s">
        <v>817</v>
      </c>
      <c r="B13" s="21" t="s">
        <v>809</v>
      </c>
    </row>
    <row r="14" spans="1:11" x14ac:dyDescent="0.2">
      <c r="A14" s="21" t="s">
        <v>818</v>
      </c>
      <c r="B14" s="21">
        <v>0</v>
      </c>
    </row>
    <row r="15" spans="1:11" x14ac:dyDescent="0.2">
      <c r="A15" s="21" t="s">
        <v>819</v>
      </c>
      <c r="B15" s="21">
        <v>0</v>
      </c>
    </row>
    <row r="16" spans="1:11" x14ac:dyDescent="0.2">
      <c r="A16" s="21" t="s">
        <v>820</v>
      </c>
      <c r="B16" s="21" t="s">
        <v>814</v>
      </c>
    </row>
    <row r="17" spans="1:2" x14ac:dyDescent="0.2">
      <c r="A17" s="21" t="s">
        <v>821</v>
      </c>
      <c r="B17" s="21">
        <v>0</v>
      </c>
    </row>
    <row r="18" spans="1:2" x14ac:dyDescent="0.2">
      <c r="A18" s="21" t="s">
        <v>822</v>
      </c>
      <c r="B18" s="21">
        <v>0</v>
      </c>
    </row>
    <row r="19" spans="1:2" x14ac:dyDescent="0.2">
      <c r="A19" s="21" t="s">
        <v>823</v>
      </c>
      <c r="B19" s="21" t="s">
        <v>809</v>
      </c>
    </row>
    <row r="20" spans="1:2" x14ac:dyDescent="0.2">
      <c r="A20" s="21" t="s">
        <v>824</v>
      </c>
      <c r="B20" s="21">
        <v>0</v>
      </c>
    </row>
    <row r="21" spans="1:2" x14ac:dyDescent="0.2">
      <c r="A21" s="21" t="s">
        <v>825</v>
      </c>
      <c r="B21" s="21">
        <v>0</v>
      </c>
    </row>
    <row r="22" spans="1:2" x14ac:dyDescent="0.2">
      <c r="A22" s="21" t="s">
        <v>826</v>
      </c>
      <c r="B22" s="21">
        <v>0</v>
      </c>
    </row>
    <row r="23" spans="1:2" x14ac:dyDescent="0.2">
      <c r="A23" s="21" t="s">
        <v>827</v>
      </c>
      <c r="B23" s="21">
        <v>0</v>
      </c>
    </row>
    <row r="24" spans="1:2" x14ac:dyDescent="0.2">
      <c r="A24" s="21" t="s">
        <v>828</v>
      </c>
      <c r="B24" s="21" t="s">
        <v>814</v>
      </c>
    </row>
    <row r="25" spans="1:2" x14ac:dyDescent="0.2">
      <c r="A25" s="21" t="s">
        <v>829</v>
      </c>
      <c r="B25" s="21" t="s">
        <v>809</v>
      </c>
    </row>
    <row r="26" spans="1:2" x14ac:dyDescent="0.2">
      <c r="A26" s="21" t="s">
        <v>830</v>
      </c>
      <c r="B26" s="21">
        <v>0</v>
      </c>
    </row>
    <row r="27" spans="1:2" x14ac:dyDescent="0.2">
      <c r="A27" s="21" t="s">
        <v>831</v>
      </c>
      <c r="B27" s="21">
        <v>0</v>
      </c>
    </row>
    <row r="28" spans="1:2" x14ac:dyDescent="0.2">
      <c r="A28" s="21" t="s">
        <v>832</v>
      </c>
      <c r="B28" s="21">
        <v>0</v>
      </c>
    </row>
    <row r="29" spans="1:2" x14ac:dyDescent="0.2">
      <c r="A29" s="21" t="s">
        <v>833</v>
      </c>
      <c r="B29" s="21">
        <v>0</v>
      </c>
    </row>
    <row r="30" spans="1:2" x14ac:dyDescent="0.2">
      <c r="A30" s="21" t="s">
        <v>834</v>
      </c>
      <c r="B30" s="21">
        <v>0</v>
      </c>
    </row>
    <row r="31" spans="1:2" x14ac:dyDescent="0.2">
      <c r="A31" s="21" t="s">
        <v>835</v>
      </c>
      <c r="B31" s="21" t="s">
        <v>809</v>
      </c>
    </row>
    <row r="32" spans="1:2" x14ac:dyDescent="0.2">
      <c r="A32" s="21" t="s">
        <v>836</v>
      </c>
      <c r="B32" s="21">
        <v>0</v>
      </c>
    </row>
    <row r="33" spans="1:2" x14ac:dyDescent="0.2">
      <c r="A33" s="21" t="s">
        <v>837</v>
      </c>
      <c r="B33" s="21">
        <v>0</v>
      </c>
    </row>
    <row r="34" spans="1:2" x14ac:dyDescent="0.2">
      <c r="A34" s="21" t="s">
        <v>838</v>
      </c>
      <c r="B34" s="21">
        <v>0</v>
      </c>
    </row>
    <row r="35" spans="1:2" x14ac:dyDescent="0.2">
      <c r="A35" s="21" t="s">
        <v>839</v>
      </c>
      <c r="B35" s="21">
        <v>0</v>
      </c>
    </row>
    <row r="36" spans="1:2" x14ac:dyDescent="0.2">
      <c r="A36" s="21" t="s">
        <v>840</v>
      </c>
      <c r="B36" s="21">
        <v>0</v>
      </c>
    </row>
    <row r="37" spans="1:2" x14ac:dyDescent="0.2">
      <c r="A37" s="21" t="s">
        <v>841</v>
      </c>
      <c r="B37" s="21">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2C9B6-7642-4109-8AD1-4B6F55099A2B}">
  <sheetPr codeName="Sheet12"/>
  <dimension ref="B1:DZ382"/>
  <sheetViews>
    <sheetView showGridLines="0" topLeftCell="CP1" zoomScale="110" zoomScaleNormal="85" workbookViewId="0">
      <pane ySplit="7" topLeftCell="A8" activePane="bottomLeft" state="frozen"/>
      <selection pane="bottomLeft" activeCell="DS10" sqref="DS10"/>
    </sheetView>
  </sheetViews>
  <sheetFormatPr baseColWidth="10" defaultColWidth="8.6640625" defaultRowHeight="12" x14ac:dyDescent="0.15"/>
  <cols>
    <col min="1" max="1" width="7" style="272" customWidth="1"/>
    <col min="2" max="2" width="16.6640625" style="272" customWidth="1"/>
    <col min="3" max="3" width="4.5" style="272" customWidth="1"/>
    <col min="4" max="4" width="4.33203125" style="272" customWidth="1"/>
    <col min="5" max="11" width="6.5" style="272" customWidth="1"/>
    <col min="12" max="12" width="1.83203125" style="272" customWidth="1"/>
    <col min="13" max="13" width="1.5" style="273" customWidth="1"/>
    <col min="14" max="21" width="6.5" style="272" customWidth="1"/>
    <col min="22" max="22" width="1.6640625" style="286" customWidth="1"/>
    <col min="23" max="23" width="1.5" style="272" customWidth="1"/>
    <col min="24" max="31" width="6.5" style="272" customWidth="1"/>
    <col min="32" max="32" width="1.5" style="272" customWidth="1"/>
    <col min="33" max="33" width="1.5" style="286" customWidth="1"/>
    <col min="34" max="39" width="6.5" style="272" customWidth="1"/>
    <col min="40" max="40" width="1.5" style="272" customWidth="1"/>
    <col min="41" max="41" width="1.5" style="273" customWidth="1"/>
    <col min="42" max="47" width="6.5" style="272" customWidth="1"/>
    <col min="48" max="49" width="6.5" style="281" customWidth="1"/>
    <col min="50" max="50" width="1.83203125" style="287" customWidth="1"/>
    <col min="51" max="58" width="6.5" style="281" customWidth="1"/>
    <col min="59" max="59" width="1.33203125" style="281" customWidth="1"/>
    <col min="60" max="60" width="1.5" style="280" customWidth="1"/>
    <col min="61" max="61" width="1.83203125" style="272" customWidth="1"/>
    <col min="62" max="68" width="6.5" style="272" customWidth="1"/>
    <col min="69" max="69" width="1.5" style="341" customWidth="1"/>
    <col min="70" max="76" width="6.5" style="272" customWidth="1"/>
    <col min="77" max="77" width="1.5" style="272" customWidth="1"/>
    <col min="78" max="78" width="1.5" style="286" customWidth="1"/>
    <col min="79" max="85" width="6.5" style="272" customWidth="1"/>
    <col min="86" max="86" width="1.1640625" style="272" customWidth="1"/>
    <col min="87" max="87" width="1.33203125" style="273" customWidth="1"/>
    <col min="88" max="94" width="6.5" style="272" customWidth="1"/>
    <col min="95" max="95" width="1.33203125" style="273" customWidth="1"/>
    <col min="96" max="101" width="6.5" style="272" customWidth="1"/>
    <col min="102" max="102" width="6.5" style="281" customWidth="1"/>
    <col min="103" max="103" width="1.83203125" style="281" customWidth="1"/>
    <col min="104" max="104" width="1.83203125" style="280" customWidth="1"/>
    <col min="105" max="111" width="6.5" style="281" customWidth="1"/>
    <col min="112" max="112" width="2.1640625" style="272" customWidth="1"/>
    <col min="113" max="113" width="1.6640625" style="273" customWidth="1"/>
    <col min="114" max="120" width="6.5" style="272" customWidth="1"/>
    <col min="121" max="121" width="1.5" style="273" customWidth="1"/>
    <col min="122" max="122" width="1.83203125" style="272" customWidth="1"/>
    <col min="123" max="129" width="6.5" style="272" customWidth="1"/>
    <col min="130" max="130" width="1.83203125" style="273" customWidth="1"/>
    <col min="131" max="1999" width="8.6640625" style="272"/>
    <col min="2000" max="2000" width="2.1640625" style="272" customWidth="1"/>
    <col min="2001" max="2026" width="8.6640625" style="272"/>
    <col min="2027" max="2027" width="2.1640625" style="272" customWidth="1"/>
    <col min="2028" max="2036" width="8.6640625" style="272"/>
    <col min="2037" max="2037" width="2.1640625" style="272" customWidth="1"/>
    <col min="2038" max="2038" width="8.6640625" style="272"/>
    <col min="2039" max="2040" width="2.1640625" style="272" customWidth="1"/>
    <col min="2041" max="2054" width="8.6640625" style="272"/>
    <col min="2055" max="2055" width="2.1640625" style="272" customWidth="1"/>
    <col min="2056" max="16384" width="8.6640625" style="272"/>
  </cols>
  <sheetData>
    <row r="1" spans="2:129" s="273" customFormat="1" x14ac:dyDescent="0.15">
      <c r="V1" s="286"/>
      <c r="AF1" s="286"/>
      <c r="AG1" s="286"/>
      <c r="AV1" s="280"/>
      <c r="AW1" s="280"/>
      <c r="AX1" s="286"/>
      <c r="AY1" s="280"/>
      <c r="AZ1" s="280"/>
      <c r="BA1" s="280"/>
      <c r="BB1" s="280"/>
      <c r="BC1" s="280"/>
      <c r="BD1" s="280"/>
      <c r="BE1" s="280"/>
      <c r="BF1" s="280"/>
      <c r="BG1" s="280"/>
      <c r="BH1" s="280"/>
      <c r="BQ1" s="341"/>
      <c r="BZ1" s="286"/>
      <c r="CX1" s="280"/>
      <c r="CY1" s="280"/>
      <c r="CZ1" s="280"/>
      <c r="DA1" s="280"/>
      <c r="DB1" s="280"/>
      <c r="DC1" s="280"/>
      <c r="DD1" s="280"/>
      <c r="DE1" s="280"/>
      <c r="DF1" s="280"/>
      <c r="DG1" s="280"/>
    </row>
    <row r="2" spans="2:129" s="273" customFormat="1" x14ac:dyDescent="0.15">
      <c r="V2" s="286"/>
      <c r="AF2" s="286"/>
      <c r="AG2" s="286"/>
      <c r="AV2" s="280"/>
      <c r="AW2" s="280"/>
      <c r="AX2" s="287"/>
      <c r="AY2" s="280"/>
      <c r="AZ2" s="280"/>
      <c r="BA2" s="280"/>
      <c r="BB2" s="280"/>
      <c r="BC2" s="280"/>
      <c r="BD2" s="280"/>
      <c r="BE2" s="280"/>
      <c r="BF2" s="280"/>
      <c r="BG2" s="280"/>
      <c r="BH2" s="280"/>
      <c r="BQ2" s="341"/>
      <c r="BZ2" s="286"/>
      <c r="CX2" s="280"/>
      <c r="CY2" s="280"/>
      <c r="CZ2" s="280"/>
      <c r="DA2" s="280"/>
      <c r="DB2" s="280"/>
      <c r="DC2" s="280"/>
      <c r="DD2" s="280"/>
      <c r="DE2" s="280"/>
      <c r="DF2" s="280"/>
      <c r="DG2" s="280"/>
    </row>
    <row r="3" spans="2:129" s="273" customFormat="1" x14ac:dyDescent="0.15">
      <c r="V3" s="286"/>
      <c r="AF3" s="286"/>
      <c r="AG3" s="286"/>
      <c r="AV3" s="280"/>
      <c r="AW3" s="280"/>
      <c r="AX3" s="287"/>
      <c r="AY3" s="280"/>
      <c r="AZ3" s="280"/>
      <c r="BA3" s="280"/>
      <c r="BB3" s="280"/>
      <c r="BC3" s="280"/>
      <c r="BD3" s="280"/>
      <c r="BE3" s="280"/>
      <c r="BF3" s="280"/>
      <c r="BG3" s="280"/>
      <c r="BH3" s="280"/>
      <c r="BQ3" s="341"/>
      <c r="BZ3" s="286"/>
      <c r="CX3" s="280"/>
      <c r="CY3" s="280"/>
      <c r="CZ3" s="280"/>
      <c r="DA3" s="280"/>
      <c r="DB3" s="280"/>
      <c r="DC3" s="280"/>
      <c r="DD3" s="280"/>
      <c r="DE3" s="280"/>
      <c r="DF3" s="280"/>
      <c r="DG3" s="280"/>
    </row>
    <row r="4" spans="2:129" s="273" customFormat="1" ht="15" customHeight="1" x14ac:dyDescent="0.15">
      <c r="D4" s="275"/>
      <c r="E4" s="275"/>
      <c r="F4" s="275"/>
      <c r="G4" s="275"/>
      <c r="H4" s="275"/>
      <c r="I4" s="275"/>
      <c r="J4" s="275"/>
      <c r="K4" s="274"/>
      <c r="L4" s="274"/>
      <c r="V4" s="286"/>
      <c r="AF4" s="286"/>
      <c r="AG4" s="286"/>
      <c r="AV4" s="280"/>
      <c r="AW4" s="280"/>
      <c r="AX4" s="287"/>
      <c r="AY4" s="280"/>
      <c r="AZ4" s="280"/>
      <c r="BA4" s="280"/>
      <c r="BB4" s="280"/>
      <c r="BC4" s="280"/>
      <c r="BD4" s="280"/>
      <c r="BE4" s="280"/>
      <c r="BF4" s="280"/>
      <c r="BG4" s="280"/>
      <c r="BH4" s="280"/>
      <c r="BQ4" s="341"/>
      <c r="BZ4" s="286"/>
      <c r="CX4" s="280"/>
      <c r="CY4" s="280"/>
      <c r="CZ4" s="280"/>
      <c r="DA4" s="280"/>
      <c r="DB4" s="280"/>
      <c r="DC4" s="280"/>
      <c r="DD4" s="280"/>
      <c r="DE4" s="280"/>
      <c r="DF4" s="280"/>
      <c r="DG4" s="280"/>
    </row>
    <row r="5" spans="2:129" s="359" customFormat="1" ht="14.5" customHeight="1" x14ac:dyDescent="0.2">
      <c r="C5" s="442" t="s">
        <v>842</v>
      </c>
      <c r="D5" s="442"/>
      <c r="E5" s="442"/>
      <c r="F5" s="442"/>
      <c r="G5" s="442"/>
      <c r="H5" s="442"/>
      <c r="I5" s="442"/>
      <c r="J5" s="442"/>
      <c r="K5" s="442"/>
      <c r="N5" s="444" t="s">
        <v>843</v>
      </c>
      <c r="O5" s="445"/>
      <c r="P5" s="445"/>
      <c r="Q5" s="445"/>
      <c r="R5" s="445"/>
      <c r="S5" s="445"/>
      <c r="T5" s="445"/>
      <c r="U5" s="446"/>
      <c r="V5" s="360"/>
      <c r="W5" s="361"/>
      <c r="X5" s="442" t="s">
        <v>844</v>
      </c>
      <c r="Y5" s="442"/>
      <c r="Z5" s="442"/>
      <c r="AA5" s="442"/>
      <c r="AB5" s="442"/>
      <c r="AC5" s="442"/>
      <c r="AD5" s="442"/>
      <c r="AE5" s="442"/>
      <c r="AF5" s="362"/>
      <c r="AG5" s="360"/>
      <c r="AH5" s="442" t="s">
        <v>845</v>
      </c>
      <c r="AI5" s="442"/>
      <c r="AJ5" s="442"/>
      <c r="AK5" s="442"/>
      <c r="AL5" s="442"/>
      <c r="AM5" s="442"/>
      <c r="AN5" s="363"/>
      <c r="AP5" s="444" t="s">
        <v>846</v>
      </c>
      <c r="AQ5" s="445"/>
      <c r="AR5" s="445"/>
      <c r="AS5" s="445"/>
      <c r="AT5" s="445"/>
      <c r="AU5" s="445"/>
      <c r="AV5" s="445"/>
      <c r="AW5" s="446"/>
      <c r="AX5" s="360"/>
      <c r="AY5" s="444" t="s">
        <v>847</v>
      </c>
      <c r="AZ5" s="445"/>
      <c r="BA5" s="445"/>
      <c r="BB5" s="445"/>
      <c r="BC5" s="445"/>
      <c r="BD5" s="445"/>
      <c r="BE5" s="445"/>
      <c r="BF5" s="446"/>
      <c r="BG5" s="364"/>
      <c r="BH5" s="364"/>
      <c r="BJ5" s="444" t="s">
        <v>848</v>
      </c>
      <c r="BK5" s="445"/>
      <c r="BL5" s="445"/>
      <c r="BM5" s="445"/>
      <c r="BN5" s="445"/>
      <c r="BO5" s="445"/>
      <c r="BP5" s="446"/>
      <c r="BQ5" s="365"/>
      <c r="BR5" s="444" t="s">
        <v>849</v>
      </c>
      <c r="BS5" s="445"/>
      <c r="BT5" s="445"/>
      <c r="BU5" s="445"/>
      <c r="BV5" s="445"/>
      <c r="BW5" s="445"/>
      <c r="BX5" s="446"/>
      <c r="BZ5" s="362"/>
      <c r="CA5" s="444" t="s">
        <v>850</v>
      </c>
      <c r="CB5" s="445"/>
      <c r="CC5" s="445"/>
      <c r="CD5" s="445"/>
      <c r="CE5" s="445"/>
      <c r="CF5" s="445"/>
      <c r="CG5" s="446"/>
      <c r="CH5" s="361"/>
      <c r="CJ5" s="444" t="s">
        <v>851</v>
      </c>
      <c r="CK5" s="445"/>
      <c r="CL5" s="445"/>
      <c r="CM5" s="445"/>
      <c r="CN5" s="445"/>
      <c r="CO5" s="445"/>
      <c r="CP5" s="446"/>
      <c r="CR5" s="444" t="s">
        <v>852</v>
      </c>
      <c r="CS5" s="445"/>
      <c r="CT5" s="445"/>
      <c r="CU5" s="445"/>
      <c r="CV5" s="445"/>
      <c r="CW5" s="445"/>
      <c r="CX5" s="446"/>
      <c r="CY5" s="361"/>
      <c r="CZ5" s="364"/>
      <c r="DA5" s="444" t="s">
        <v>853</v>
      </c>
      <c r="DB5" s="445"/>
      <c r="DC5" s="445"/>
      <c r="DD5" s="445"/>
      <c r="DE5" s="445"/>
      <c r="DF5" s="445"/>
      <c r="DG5" s="446"/>
      <c r="DJ5" s="442" t="s">
        <v>854</v>
      </c>
      <c r="DK5" s="442"/>
      <c r="DL5" s="442"/>
      <c r="DM5" s="442"/>
      <c r="DN5" s="442"/>
      <c r="DO5" s="442"/>
      <c r="DP5" s="442"/>
      <c r="DQ5" s="361"/>
      <c r="DS5" s="442" t="s">
        <v>855</v>
      </c>
      <c r="DT5" s="442"/>
      <c r="DU5" s="442"/>
      <c r="DV5" s="442"/>
      <c r="DW5" s="442"/>
      <c r="DX5" s="442"/>
      <c r="DY5" s="442"/>
    </row>
    <row r="6" spans="2:129" s="273" customFormat="1" x14ac:dyDescent="0.15">
      <c r="C6" s="306"/>
      <c r="D6" s="306"/>
      <c r="E6" s="306"/>
      <c r="F6" s="307" t="s">
        <v>856</v>
      </c>
      <c r="G6" s="306"/>
      <c r="H6" s="307" t="s">
        <v>856</v>
      </c>
      <c r="I6" s="306"/>
      <c r="J6" s="306"/>
      <c r="K6" s="306"/>
      <c r="N6" s="306"/>
      <c r="O6" s="307" t="s">
        <v>856</v>
      </c>
      <c r="P6" s="306"/>
      <c r="Q6" s="307" t="s">
        <v>856</v>
      </c>
      <c r="R6" s="306"/>
      <c r="S6" s="306"/>
      <c r="T6" s="306"/>
      <c r="U6" s="306"/>
      <c r="V6" s="286"/>
      <c r="X6" s="306"/>
      <c r="Y6" s="307" t="s">
        <v>856</v>
      </c>
      <c r="Z6" s="306"/>
      <c r="AA6" s="307" t="s">
        <v>856</v>
      </c>
      <c r="AB6" s="306"/>
      <c r="AC6" s="306"/>
      <c r="AD6" s="306"/>
      <c r="AE6" s="306"/>
      <c r="AF6" s="286"/>
      <c r="AG6" s="286"/>
      <c r="AH6" s="306"/>
      <c r="AI6" s="307" t="s">
        <v>856</v>
      </c>
      <c r="AJ6" s="306"/>
      <c r="AK6" s="307" t="s">
        <v>856</v>
      </c>
      <c r="AL6" s="306"/>
      <c r="AM6" s="306"/>
      <c r="AP6" s="306"/>
      <c r="AQ6" s="307" t="s">
        <v>856</v>
      </c>
      <c r="AR6" s="306"/>
      <c r="AS6" s="307" t="s">
        <v>856</v>
      </c>
      <c r="AT6" s="306"/>
      <c r="AU6" s="306"/>
      <c r="AV6" s="307"/>
      <c r="AW6" s="307"/>
      <c r="AX6" s="287"/>
      <c r="AY6" s="306"/>
      <c r="AZ6" s="307" t="s">
        <v>856</v>
      </c>
      <c r="BA6" s="306"/>
      <c r="BB6" s="307" t="s">
        <v>856</v>
      </c>
      <c r="BC6" s="306"/>
      <c r="BD6" s="306"/>
      <c r="BE6" s="307"/>
      <c r="BF6" s="307"/>
      <c r="BG6" s="280"/>
      <c r="BH6" s="280"/>
      <c r="BJ6" s="306"/>
      <c r="BK6" s="307" t="s">
        <v>856</v>
      </c>
      <c r="BL6" s="306"/>
      <c r="BM6" s="307" t="s">
        <v>856</v>
      </c>
      <c r="BN6" s="306"/>
      <c r="BO6" s="306"/>
      <c r="BP6" s="306"/>
      <c r="BQ6" s="341"/>
      <c r="BR6" s="306"/>
      <c r="BS6" s="307" t="s">
        <v>856</v>
      </c>
      <c r="BT6" s="306"/>
      <c r="BU6" s="307" t="s">
        <v>856</v>
      </c>
      <c r="BV6" s="306"/>
      <c r="BW6" s="306"/>
      <c r="BX6" s="306"/>
      <c r="BZ6" s="286"/>
      <c r="CA6" s="306"/>
      <c r="CB6" s="307" t="s">
        <v>856</v>
      </c>
      <c r="CC6" s="306"/>
      <c r="CD6" s="307" t="s">
        <v>856</v>
      </c>
      <c r="CE6" s="306"/>
      <c r="CF6" s="306"/>
      <c r="CG6" s="306"/>
      <c r="CJ6" s="306"/>
      <c r="CK6" s="307" t="s">
        <v>856</v>
      </c>
      <c r="CL6" s="306"/>
      <c r="CM6" s="307" t="s">
        <v>856</v>
      </c>
      <c r="CN6" s="306"/>
      <c r="CO6" s="306"/>
      <c r="CP6" s="306"/>
      <c r="CR6" s="306"/>
      <c r="CS6" s="307" t="s">
        <v>856</v>
      </c>
      <c r="CT6" s="306"/>
      <c r="CU6" s="307" t="s">
        <v>856</v>
      </c>
      <c r="CV6" s="306"/>
      <c r="CW6" s="306"/>
      <c r="CX6" s="307"/>
      <c r="CY6" s="280"/>
      <c r="CZ6" s="280"/>
      <c r="DA6" s="306"/>
      <c r="DB6" s="307" t="s">
        <v>856</v>
      </c>
      <c r="DC6" s="306"/>
      <c r="DD6" s="307" t="s">
        <v>856</v>
      </c>
      <c r="DE6" s="306"/>
      <c r="DF6" s="306"/>
      <c r="DG6" s="307"/>
      <c r="DJ6" s="306"/>
      <c r="DK6" s="307" t="s">
        <v>856</v>
      </c>
      <c r="DL6" s="306"/>
      <c r="DM6" s="307" t="s">
        <v>856</v>
      </c>
      <c r="DN6" s="306"/>
      <c r="DO6" s="306"/>
      <c r="DP6" s="306"/>
      <c r="DS6" s="306"/>
      <c r="DT6" s="307" t="s">
        <v>856</v>
      </c>
      <c r="DU6" s="306"/>
      <c r="DV6" s="307" t="s">
        <v>856</v>
      </c>
      <c r="DW6" s="306"/>
      <c r="DX6" s="306"/>
      <c r="DY6" s="306"/>
    </row>
    <row r="7" spans="2:129" s="343" customFormat="1" ht="36" x14ac:dyDescent="0.15">
      <c r="C7" s="345" t="s">
        <v>857</v>
      </c>
      <c r="D7" s="345" t="s">
        <v>858</v>
      </c>
      <c r="E7" s="345" t="s">
        <v>859</v>
      </c>
      <c r="F7" s="345" t="s">
        <v>860</v>
      </c>
      <c r="G7" s="345" t="s">
        <v>861</v>
      </c>
      <c r="H7" s="345" t="s">
        <v>862</v>
      </c>
      <c r="I7" s="345" t="s">
        <v>863</v>
      </c>
      <c r="J7" s="345" t="s">
        <v>864</v>
      </c>
      <c r="K7" s="345" t="s">
        <v>865</v>
      </c>
      <c r="L7" s="344"/>
      <c r="M7" s="344"/>
      <c r="N7" s="345" t="s">
        <v>866</v>
      </c>
      <c r="O7" s="345" t="s">
        <v>867</v>
      </c>
      <c r="P7" s="345" t="s">
        <v>868</v>
      </c>
      <c r="Q7" s="345" t="s">
        <v>568</v>
      </c>
      <c r="R7" s="345" t="s">
        <v>869</v>
      </c>
      <c r="S7" s="345" t="s">
        <v>870</v>
      </c>
      <c r="T7" s="345" t="s">
        <v>871</v>
      </c>
      <c r="U7" s="345" t="s">
        <v>872</v>
      </c>
      <c r="V7" s="346"/>
      <c r="W7" s="344"/>
      <c r="X7" s="345" t="s">
        <v>866</v>
      </c>
      <c r="Y7" s="345" t="s">
        <v>867</v>
      </c>
      <c r="Z7" s="345" t="s">
        <v>868</v>
      </c>
      <c r="AA7" s="345" t="s">
        <v>568</v>
      </c>
      <c r="AB7" s="345" t="s">
        <v>869</v>
      </c>
      <c r="AC7" s="345" t="s">
        <v>870</v>
      </c>
      <c r="AD7" s="345" t="s">
        <v>871</v>
      </c>
      <c r="AE7" s="345" t="s">
        <v>872</v>
      </c>
      <c r="AF7" s="347"/>
      <c r="AG7" s="346"/>
      <c r="AH7" s="345" t="s">
        <v>866</v>
      </c>
      <c r="AI7" s="345" t="s">
        <v>867</v>
      </c>
      <c r="AJ7" s="345" t="s">
        <v>868</v>
      </c>
      <c r="AK7" s="345" t="s">
        <v>568</v>
      </c>
      <c r="AL7" s="345" t="s">
        <v>869</v>
      </c>
      <c r="AM7" s="345" t="s">
        <v>870</v>
      </c>
      <c r="AO7" s="344"/>
      <c r="AP7" s="345" t="s">
        <v>866</v>
      </c>
      <c r="AQ7" s="345" t="s">
        <v>867</v>
      </c>
      <c r="AR7" s="345" t="s">
        <v>868</v>
      </c>
      <c r="AS7" s="345" t="s">
        <v>568</v>
      </c>
      <c r="AT7" s="345" t="s">
        <v>869</v>
      </c>
      <c r="AU7" s="345" t="s">
        <v>870</v>
      </c>
      <c r="AV7" s="345" t="s">
        <v>873</v>
      </c>
      <c r="AW7" s="345" t="s">
        <v>872</v>
      </c>
      <c r="AX7" s="346"/>
      <c r="AY7" s="345" t="s">
        <v>866</v>
      </c>
      <c r="AZ7" s="345" t="s">
        <v>867</v>
      </c>
      <c r="BA7" s="345" t="s">
        <v>868</v>
      </c>
      <c r="BB7" s="345" t="s">
        <v>568</v>
      </c>
      <c r="BC7" s="345" t="s">
        <v>869</v>
      </c>
      <c r="BD7" s="345" t="s">
        <v>870</v>
      </c>
      <c r="BE7" s="345" t="s">
        <v>873</v>
      </c>
      <c r="BF7" s="345" t="s">
        <v>872</v>
      </c>
      <c r="BG7" s="280"/>
      <c r="BH7" s="280"/>
      <c r="BJ7" s="345" t="s">
        <v>866</v>
      </c>
      <c r="BK7" s="345" t="s">
        <v>867</v>
      </c>
      <c r="BL7" s="345" t="s">
        <v>868</v>
      </c>
      <c r="BM7" s="345" t="s">
        <v>568</v>
      </c>
      <c r="BN7" s="345" t="s">
        <v>869</v>
      </c>
      <c r="BO7" s="345" t="s">
        <v>870</v>
      </c>
      <c r="BP7" s="345" t="s">
        <v>874</v>
      </c>
      <c r="BQ7" s="348"/>
      <c r="BR7" s="345" t="s">
        <v>866</v>
      </c>
      <c r="BS7" s="345" t="s">
        <v>867</v>
      </c>
      <c r="BT7" s="345" t="s">
        <v>868</v>
      </c>
      <c r="BU7" s="345" t="s">
        <v>568</v>
      </c>
      <c r="BV7" s="345" t="s">
        <v>869</v>
      </c>
      <c r="BW7" s="345" t="s">
        <v>870</v>
      </c>
      <c r="BX7" s="345" t="s">
        <v>874</v>
      </c>
      <c r="BZ7" s="347"/>
      <c r="CA7" s="345" t="s">
        <v>866</v>
      </c>
      <c r="CB7" s="345" t="s">
        <v>867</v>
      </c>
      <c r="CC7" s="345" t="s">
        <v>868</v>
      </c>
      <c r="CD7" s="345" t="s">
        <v>568</v>
      </c>
      <c r="CE7" s="345" t="s">
        <v>869</v>
      </c>
      <c r="CF7" s="345" t="s">
        <v>870</v>
      </c>
      <c r="CG7" s="345" t="s">
        <v>874</v>
      </c>
      <c r="CH7" s="344"/>
      <c r="CI7" s="344"/>
      <c r="CJ7" s="345" t="s">
        <v>866</v>
      </c>
      <c r="CK7" s="345" t="s">
        <v>867</v>
      </c>
      <c r="CL7" s="345" t="s">
        <v>868</v>
      </c>
      <c r="CM7" s="345" t="s">
        <v>568</v>
      </c>
      <c r="CN7" s="345" t="s">
        <v>869</v>
      </c>
      <c r="CO7" s="345" t="s">
        <v>870</v>
      </c>
      <c r="CP7" s="345" t="s">
        <v>874</v>
      </c>
      <c r="CR7" s="345" t="s">
        <v>866</v>
      </c>
      <c r="CS7" s="345" t="s">
        <v>867</v>
      </c>
      <c r="CT7" s="345" t="s">
        <v>868</v>
      </c>
      <c r="CU7" s="345" t="s">
        <v>568</v>
      </c>
      <c r="CV7" s="345" t="s">
        <v>869</v>
      </c>
      <c r="CW7" s="345" t="s">
        <v>870</v>
      </c>
      <c r="CX7" s="345" t="s">
        <v>875</v>
      </c>
      <c r="CY7" s="344"/>
      <c r="CZ7" s="344"/>
      <c r="DA7" s="345" t="s">
        <v>866</v>
      </c>
      <c r="DB7" s="345" t="s">
        <v>867</v>
      </c>
      <c r="DC7" s="345" t="s">
        <v>868</v>
      </c>
      <c r="DD7" s="345" t="s">
        <v>568</v>
      </c>
      <c r="DE7" s="345" t="s">
        <v>869</v>
      </c>
      <c r="DF7" s="345" t="s">
        <v>870</v>
      </c>
      <c r="DG7" s="345" t="s">
        <v>875</v>
      </c>
      <c r="DJ7" s="345" t="s">
        <v>866</v>
      </c>
      <c r="DK7" s="345" t="s">
        <v>867</v>
      </c>
      <c r="DL7" s="345" t="s">
        <v>868</v>
      </c>
      <c r="DM7" s="345" t="s">
        <v>568</v>
      </c>
      <c r="DN7" s="345" t="s">
        <v>869</v>
      </c>
      <c r="DO7" s="345" t="s">
        <v>870</v>
      </c>
      <c r="DP7" s="345" t="s">
        <v>874</v>
      </c>
      <c r="DQ7" s="344"/>
      <c r="DS7" s="345" t="s">
        <v>866</v>
      </c>
      <c r="DT7" s="345" t="s">
        <v>867</v>
      </c>
      <c r="DU7" s="345" t="s">
        <v>868</v>
      </c>
      <c r="DV7" s="345" t="s">
        <v>568</v>
      </c>
      <c r="DW7" s="345" t="s">
        <v>869</v>
      </c>
      <c r="DX7" s="345" t="s">
        <v>870</v>
      </c>
      <c r="DY7" s="345" t="s">
        <v>874</v>
      </c>
    </row>
    <row r="8" spans="2:129" s="273" customFormat="1" ht="6.5" customHeight="1" x14ac:dyDescent="0.15">
      <c r="C8" s="274"/>
      <c r="D8" s="274"/>
      <c r="E8" s="274"/>
      <c r="F8" s="274"/>
      <c r="G8" s="274"/>
      <c r="H8" s="274"/>
      <c r="I8" s="274"/>
      <c r="J8" s="274"/>
      <c r="K8" s="274"/>
      <c r="L8" s="274"/>
      <c r="M8" s="274"/>
      <c r="N8" s="274"/>
      <c r="O8" s="274"/>
      <c r="P8" s="274"/>
      <c r="Q8" s="274"/>
      <c r="R8" s="274"/>
      <c r="S8" s="274"/>
      <c r="T8" s="274"/>
      <c r="U8" s="274"/>
      <c r="V8" s="288"/>
      <c r="W8" s="274"/>
      <c r="X8" s="274"/>
      <c r="Y8" s="274"/>
      <c r="Z8" s="274"/>
      <c r="AA8" s="274"/>
      <c r="AB8" s="274"/>
      <c r="AC8" s="274"/>
      <c r="AD8" s="274"/>
      <c r="AE8" s="274"/>
      <c r="AF8" s="286"/>
      <c r="AG8" s="288"/>
      <c r="AH8" s="274"/>
      <c r="AI8" s="274"/>
      <c r="AJ8" s="274"/>
      <c r="AK8" s="274"/>
      <c r="AL8" s="274"/>
      <c r="AM8" s="274"/>
      <c r="AO8" s="274"/>
      <c r="AV8" s="280"/>
      <c r="AW8" s="280"/>
      <c r="AX8" s="287"/>
      <c r="AY8" s="280"/>
      <c r="AZ8" s="280"/>
      <c r="BA8" s="280"/>
      <c r="BB8" s="280"/>
      <c r="BC8" s="280"/>
      <c r="BD8" s="280"/>
      <c r="BE8" s="280"/>
      <c r="BF8" s="280"/>
      <c r="BG8" s="280"/>
      <c r="BH8" s="280"/>
      <c r="BQ8" s="341"/>
      <c r="BZ8" s="286"/>
      <c r="CX8" s="280"/>
      <c r="CY8" s="280"/>
      <c r="CZ8" s="280"/>
      <c r="DA8" s="280"/>
      <c r="DB8" s="280"/>
      <c r="DC8" s="280"/>
      <c r="DD8" s="280"/>
      <c r="DE8" s="280"/>
      <c r="DF8" s="280"/>
      <c r="DG8" s="280"/>
    </row>
    <row r="9" spans="2:129" s="352" customFormat="1" x14ac:dyDescent="0.15">
      <c r="B9" s="352" t="s">
        <v>12</v>
      </c>
      <c r="C9" s="353">
        <v>0</v>
      </c>
      <c r="D9" s="353">
        <v>64</v>
      </c>
      <c r="E9" s="354">
        <f t="shared" ref="E9:E48" si="0">prob_nevent_to_rinfarc</f>
        <v>3.6200000000000003E-2</v>
      </c>
      <c r="F9" s="354">
        <f t="shared" ref="F9:F48" si="1">prob_nevent_to_stk</f>
        <v>5.8999999999999999E-3</v>
      </c>
      <c r="G9" s="405">
        <f>VLOOKUP(D9,prob_dead_noevent,4)</f>
        <v>2.2919599999999998E-2</v>
      </c>
      <c r="H9" s="405">
        <f t="shared" ref="H9:H48" si="2">VLOOKUP(D9,prob_dead_reinfarction,4)</f>
        <v>5.15691E-2</v>
      </c>
      <c r="I9" s="405">
        <f>VLOOKUP(D9,prob_dead_pos_reinfarct,4)</f>
        <v>3.4379399999999997E-2</v>
      </c>
      <c r="J9" s="405">
        <f t="shared" ref="J9:J48" si="3">VLOOKUP(D9,prob_dead_stk,4)</f>
        <v>5.4204854000000011E-2</v>
      </c>
      <c r="K9" s="405">
        <f t="shared" ref="K9:K48" si="4">VLOOKUP(D9,prob_dead_pstk,4)</f>
        <v>2.6586736E-2</v>
      </c>
      <c r="L9" s="355"/>
      <c r="N9" s="355">
        <f>dist_nevent_st_tree</f>
        <v>0.90617662715630365</v>
      </c>
      <c r="O9" s="355">
        <f>0</f>
        <v>0</v>
      </c>
      <c r="P9" s="355">
        <f>dist_rinfarc_st_tree</f>
        <v>3.8447990061905343E-2</v>
      </c>
      <c r="Q9" s="355">
        <f>0</f>
        <v>0</v>
      </c>
      <c r="R9" s="355">
        <f>dist_stk_st_tree</f>
        <v>6.6690394745817644E-3</v>
      </c>
      <c r="S9" s="355">
        <f>dist_dead_st_tree</f>
        <v>4.8706343307209174E-2</v>
      </c>
      <c r="T9" s="355">
        <f t="shared" ref="T9:T48" si="5">N9+O9+P9+Q9+R9+S9</f>
        <v>0.99999999999999989</v>
      </c>
      <c r="U9" s="355">
        <f t="shared" ref="U9:U48" si="6">N9+O9+P9+Q9+R9</f>
        <v>0.95129365669279076</v>
      </c>
      <c r="V9" s="355"/>
      <c r="W9" s="355"/>
      <c r="X9" s="355">
        <f>dist_nevent_st_tree</f>
        <v>0.90617662715630365</v>
      </c>
      <c r="Y9" s="355">
        <f>0</f>
        <v>0</v>
      </c>
      <c r="Z9" s="355">
        <f>dist_rinfarc_st_tree</f>
        <v>3.8447990061905343E-2</v>
      </c>
      <c r="AA9" s="355">
        <f>0</f>
        <v>0</v>
      </c>
      <c r="AB9" s="355">
        <f>dist_stk_st_tree</f>
        <v>6.6690394745817644E-3</v>
      </c>
      <c r="AC9" s="355">
        <f>dist_dead_st_tree</f>
        <v>4.8706343307209174E-2</v>
      </c>
      <c r="AD9" s="355">
        <f>AC9+AB9+AA9+Z9+Y9+X9</f>
        <v>0.99999999999999989</v>
      </c>
      <c r="AE9" s="355">
        <f>X9+Y9+Z9+AA9+AB9</f>
        <v>0.95129365669279076</v>
      </c>
      <c r="AF9" s="355"/>
      <c r="AG9" s="355"/>
      <c r="AH9" s="355" t="s">
        <v>151</v>
      </c>
      <c r="AI9" s="355" t="s">
        <v>151</v>
      </c>
      <c r="AJ9" s="355" t="s">
        <v>151</v>
      </c>
      <c r="AK9" s="355" t="s">
        <v>151</v>
      </c>
      <c r="AL9" s="355" t="s">
        <v>151</v>
      </c>
      <c r="AM9" s="355" t="s">
        <v>151</v>
      </c>
      <c r="AN9" s="356"/>
      <c r="AP9" s="355">
        <f>dist_nevent_pc_tree</f>
        <v>0.91608602058299304</v>
      </c>
      <c r="AQ9" s="355">
        <f>0%</f>
        <v>0</v>
      </c>
      <c r="AR9" s="355">
        <f>dist_rinfarc_pc_tree</f>
        <v>3.4817517411518582E-2</v>
      </c>
      <c r="AS9" s="355">
        <f>0%</f>
        <v>0</v>
      </c>
      <c r="AT9" s="355">
        <f>dist_stk_pc_tree</f>
        <v>6.5192094479015689E-3</v>
      </c>
      <c r="AU9" s="355">
        <f>dist_dead_pc_tree</f>
        <v>4.2577252557586778E-2</v>
      </c>
      <c r="AV9" s="355">
        <f t="shared" ref="AV9:AV48" si="7">AP9+AQ9+AR9+AS9+AT9+AU9</f>
        <v>1</v>
      </c>
      <c r="AW9" s="355">
        <f t="shared" ref="AW9:AW48" si="8">AP9+AQ9+AR9+AS9+AT9</f>
        <v>0.95742274744241318</v>
      </c>
      <c r="AX9" s="357"/>
      <c r="AY9" s="355">
        <f>dist_nevent_pc_tree</f>
        <v>0.91608602058299304</v>
      </c>
      <c r="AZ9" s="355">
        <f>0%</f>
        <v>0</v>
      </c>
      <c r="BA9" s="355">
        <f>dist_rinfarc_pc_tree</f>
        <v>3.4817517411518582E-2</v>
      </c>
      <c r="BB9" s="355">
        <f>0%</f>
        <v>0</v>
      </c>
      <c r="BC9" s="355">
        <f>dist_stk_pc_tree</f>
        <v>6.5192094479015689E-3</v>
      </c>
      <c r="BD9" s="355">
        <f>dist_dead_pc_tree</f>
        <v>4.2577252557586778E-2</v>
      </c>
      <c r="BE9" s="355">
        <f>AY9+AZ9+BA9+BB9+BC9+BD9</f>
        <v>1</v>
      </c>
      <c r="BF9" s="355">
        <f>AY9+AZ9+BA9+BB9+BC9</f>
        <v>0.95742274744241318</v>
      </c>
      <c r="BG9" s="357"/>
      <c r="BH9" s="357"/>
      <c r="BJ9" s="403">
        <f>N9*c_st_tree</f>
        <v>5235.6986562614675</v>
      </c>
      <c r="BK9" s="403">
        <f>(P9*c_st_tree)</f>
        <v>222.14442954105246</v>
      </c>
      <c r="BL9" s="403">
        <v>0</v>
      </c>
      <c r="BM9" s="403">
        <f>(R9*c_st_tree)</f>
        <v>38.532312541757584</v>
      </c>
      <c r="BN9" s="403">
        <v>0</v>
      </c>
      <c r="BO9" s="403">
        <f>S9*c_st_tree</f>
        <v>281.41504488503938</v>
      </c>
      <c r="BP9" s="403">
        <f t="shared" ref="BP9:BP48" si="9">BJ9+BK9+BL9+BM9+BN9+BO9</f>
        <v>5777.7904432293171</v>
      </c>
      <c r="BQ9" s="404"/>
      <c r="BR9" s="403">
        <f>X9*c_st_tree</f>
        <v>5235.6986562614675</v>
      </c>
      <c r="BS9" s="403">
        <f>(Y9*c_st_tree)</f>
        <v>0</v>
      </c>
      <c r="BT9" s="403">
        <f>Z9*c_st_tree</f>
        <v>222.14442954105246</v>
      </c>
      <c r="BU9" s="403">
        <f>(AA9*c_st_tree)</f>
        <v>0</v>
      </c>
      <c r="BV9" s="403">
        <f>(AB9*c_st_tree)</f>
        <v>38.532312541757584</v>
      </c>
      <c r="BW9" s="403">
        <f>AC9*c_st_tree</f>
        <v>281.41504488503938</v>
      </c>
      <c r="BX9" s="404">
        <f>BR9+BS9+BT9+BU9+BV9+BW9</f>
        <v>5777.7904432293171</v>
      </c>
      <c r="BY9" s="404"/>
      <c r="CA9" s="355">
        <f>dist_nevent_pc_tree*c_poc_tree</f>
        <v>5290.9521727288084</v>
      </c>
      <c r="CB9" s="403">
        <f>AQ9*c_poc_tree</f>
        <v>0</v>
      </c>
      <c r="CC9" s="403">
        <f>dist_rinfarc_pc_tree*c_poc_tree</f>
        <v>201.09227218669045</v>
      </c>
      <c r="CD9" s="403">
        <f>AS9*c_poc_tree</f>
        <v>0</v>
      </c>
      <c r="CE9" s="403">
        <f>dist_stk_pc_tree*c_poc_tree</f>
        <v>37.652387022452217</v>
      </c>
      <c r="CF9" s="403">
        <f>dist_dead_pc_tree*c_poc_tree</f>
        <v>245.90944722093181</v>
      </c>
      <c r="CG9" s="403">
        <f>SUM(CA9:CF9)</f>
        <v>5775.606279158882</v>
      </c>
      <c r="CH9" s="403"/>
      <c r="CI9" s="403"/>
      <c r="CJ9" s="355">
        <f>dist_nevent_pc_tree*c_poc_tree</f>
        <v>5290.9521727288084</v>
      </c>
      <c r="CK9" s="403">
        <f>Y9*c_poc_tree</f>
        <v>0</v>
      </c>
      <c r="CL9" s="403">
        <f>dist_rinfarc_pc_tree*c_poc_tree</f>
        <v>201.09227218669045</v>
      </c>
      <c r="CM9" s="403">
        <f>AA9*c_poc_tree</f>
        <v>0</v>
      </c>
      <c r="CN9" s="403">
        <f>dist_stk_pc_tree*c_poc_tree</f>
        <v>37.652387022452217</v>
      </c>
      <c r="CO9" s="403">
        <f>dist_dead_pc_tree*c_poc_tree</f>
        <v>245.90944722093181</v>
      </c>
      <c r="CP9" s="403">
        <f>SUM(CJ9:CO9)</f>
        <v>5775.606279158882</v>
      </c>
      <c r="CR9" s="355">
        <f>(N9*qaly_st_tree)</f>
        <v>0.59906213247363227</v>
      </c>
      <c r="CS9" s="355">
        <f>(P9*qaly_st_tree)</f>
        <v>2.5417489510946294E-2</v>
      </c>
      <c r="CT9" s="355">
        <v>0</v>
      </c>
      <c r="CU9" s="355">
        <f>(R9*qaly_st_tree)</f>
        <v>4.4088193068178416E-3</v>
      </c>
      <c r="CV9" s="355">
        <v>0</v>
      </c>
      <c r="CW9" s="355">
        <f>(S9*qaly_st_tree)</f>
        <v>3.2199159647467612E-2</v>
      </c>
      <c r="CX9" s="355">
        <f t="shared" ref="CX9:CX48" si="10">CR9+CS9+CT9+CU9+CV9+CW9</f>
        <v>0.66108760093886398</v>
      </c>
      <c r="CY9" s="355"/>
      <c r="CZ9" s="355"/>
      <c r="DA9" s="355">
        <f>(N9*qaly_st_tree)</f>
        <v>0.59906213247363227</v>
      </c>
      <c r="DB9" s="355">
        <f>(P9*qaly_st_tree)</f>
        <v>2.5417489510946294E-2</v>
      </c>
      <c r="DC9" s="355">
        <v>0</v>
      </c>
      <c r="DD9" s="355">
        <f>(R9*qaly_st_tree)</f>
        <v>4.4088193068178416E-3</v>
      </c>
      <c r="DE9" s="355">
        <v>0</v>
      </c>
      <c r="DF9" s="355">
        <f>(S9*qaly_st_tree)</f>
        <v>3.2199159647467612E-2</v>
      </c>
      <c r="DG9" s="355">
        <f>DA9+DB9+DC9+DD9+DE9+DF9</f>
        <v>0.66108760093886398</v>
      </c>
      <c r="DJ9" s="355">
        <f>(dist_nevent_pc_tree*qaly_poc_tree)</f>
        <v>0.60737649166123719</v>
      </c>
      <c r="DK9" s="355">
        <f>(dist_rinfarc_pc_tree*qaly_poc_tree)</f>
        <v>2.3084449602564748E-2</v>
      </c>
      <c r="DL9" s="355">
        <v>0</v>
      </c>
      <c r="DM9" s="355">
        <f>(dist_stk_pc_tree*qaly_poc_tree)</f>
        <v>4.3223174176933348E-3</v>
      </c>
      <c r="DN9" s="355">
        <v>0</v>
      </c>
      <c r="DO9" s="355">
        <f>dist_dead_pc_tree*qaly_poc_tree</f>
        <v>2.8229251076819225E-2</v>
      </c>
      <c r="DP9" s="405">
        <f>DJ9+DK9+DL9+DM9+DN9+DO9</f>
        <v>0.66301250975831438</v>
      </c>
      <c r="DQ9" s="405"/>
      <c r="DS9" s="355">
        <f>(dist_nevent_pc_tree*qaly_poc_tree)</f>
        <v>0.60737649166123719</v>
      </c>
      <c r="DT9" s="355">
        <f>(AZ9*qaly_poc_tree)</f>
        <v>0</v>
      </c>
      <c r="DU9" s="355">
        <f>(BA9*qaly_poc_tree)</f>
        <v>2.3084449602564748E-2</v>
      </c>
      <c r="DV9" s="355">
        <v>0</v>
      </c>
      <c r="DW9" s="355">
        <f>BC9*qaly_poc_tree</f>
        <v>4.3223174176933348E-3</v>
      </c>
      <c r="DX9" s="355">
        <f>BD9*qaly_poc_tree</f>
        <v>2.8229251076819225E-2</v>
      </c>
      <c r="DY9" s="405">
        <f>DS9+DT9+DU9+DV9+DW9+DX9</f>
        <v>0.66301250975831438</v>
      </c>
    </row>
    <row r="10" spans="2:129" x14ac:dyDescent="0.15">
      <c r="B10" s="358" t="s">
        <v>707</v>
      </c>
      <c r="C10" s="137">
        <v>1</v>
      </c>
      <c r="D10" s="137">
        <v>65</v>
      </c>
      <c r="E10" s="278">
        <f t="shared" si="0"/>
        <v>3.6200000000000003E-2</v>
      </c>
      <c r="F10" s="278">
        <f t="shared" si="1"/>
        <v>5.8999999999999999E-3</v>
      </c>
      <c r="G10" s="277">
        <f>VLOOKUP(D10,prob_dead_noevent,4)</f>
        <v>2.510896E-2</v>
      </c>
      <c r="H10" s="277">
        <f t="shared" si="2"/>
        <v>5.6495160000000003E-2</v>
      </c>
      <c r="I10" s="277">
        <f>VLOOKUP(D10,prob_dead_pos_reinfarct,4)</f>
        <v>3.7663440000000006E-2</v>
      </c>
      <c r="J10" s="277">
        <f t="shared" si="3"/>
        <v>5.9382690400000007E-2</v>
      </c>
      <c r="K10" s="277">
        <f t="shared" si="4"/>
        <v>2.9126393600000001E-2</v>
      </c>
      <c r="L10" s="277"/>
      <c r="N10" s="277">
        <f>N9-((N9*E9)+(N9*F9)+(N9*G9))</f>
        <v>0.84725738532925166</v>
      </c>
      <c r="O10" s="277">
        <f>N9*E9</f>
        <v>3.2803593903058197E-2</v>
      </c>
      <c r="P10" s="277">
        <f>(O9-(O9*H9))+(P9-(P9*I9))</f>
        <v>3.7126171232371073E-2</v>
      </c>
      <c r="Q10" s="277">
        <f>N9*F9</f>
        <v>5.3464421002221915E-3</v>
      </c>
      <c r="R10" s="277">
        <f>(Q9-(Q9*J9))+(R9-(R9*K9))</f>
        <v>6.4917314826974807E-3</v>
      </c>
      <c r="S10" s="277">
        <f>S9+(N9*G9)+(O9*H9)+(P9*I9)+(Q9*J9)+(R9*K9)</f>
        <v>7.0974675952399341E-2</v>
      </c>
      <c r="T10" s="277">
        <f t="shared" si="5"/>
        <v>0.99999999999999989</v>
      </c>
      <c r="U10" s="277">
        <f t="shared" si="6"/>
        <v>0.92902532404760052</v>
      </c>
      <c r="V10" s="290"/>
      <c r="W10" s="277"/>
      <c r="X10" s="277">
        <f t="shared" ref="X10:X48" si="11">0.5*(N10+N11)</f>
        <v>0.81878574146910255</v>
      </c>
      <c r="Y10" s="277">
        <f t="shared" ref="Y10:Y48" si="12">0.5*(O10+O11)</f>
        <v>3.1737155625988556E-2</v>
      </c>
      <c r="Z10" s="277">
        <f t="shared" ref="Z10:Z48" si="13">0.5*(P10+P11)</f>
        <v>5.1902196379515958E-2</v>
      </c>
      <c r="AA10" s="277">
        <f t="shared" ref="AA10:AA48" si="14">0.5*(Q10+Q11)</f>
        <v>5.1726303368323876E-3</v>
      </c>
      <c r="AB10" s="277">
        <f t="shared" ref="AB10:AB48" si="15">0.5*(R10+R11)</f>
        <v>8.9116691116637864E-3</v>
      </c>
      <c r="AC10" s="277">
        <f t="shared" ref="AC10:AC48" si="16">0.5*(S10+S11)</f>
        <v>8.3490607076896733E-2</v>
      </c>
      <c r="AD10" s="277">
        <f t="shared" ref="AD10:AD48" si="17">AC10+AB10+AA10+Z10+Y10+X10</f>
        <v>1</v>
      </c>
      <c r="AE10" s="277">
        <f t="shared" ref="AE10:AE48" si="18">X10+Y10+Z10+AA10+AB10</f>
        <v>0.91650939292310318</v>
      </c>
      <c r="AF10" s="277"/>
      <c r="AG10" s="290"/>
      <c r="AH10" s="277">
        <f t="shared" ref="AH10:AH48" si="19">VLOOKUP(D10,adj_u_noevent,4)</f>
        <v>0.67562685566400005</v>
      </c>
      <c r="AI10" s="277">
        <f t="shared" ref="AI10:AI48" si="20">VLOOKUP(D10,adj_u_rinfarc,4)</f>
        <v>0.62507520256800009</v>
      </c>
      <c r="AJ10" s="277">
        <f t="shared" ref="AJ10:AJ48" si="21">VLOOKUP(D10,adj_u_posrinfarc,4)</f>
        <v>0.65877630463199999</v>
      </c>
      <c r="AK10" s="277">
        <f t="shared" ref="AK10:AK48" si="22">VLOOKUP(D10,adj_u_stk,4)</f>
        <v>0.56409225597599999</v>
      </c>
      <c r="AL10" s="277">
        <f t="shared" ref="AL10:AL48" si="23">VLOOKUP(D10, adj_u_pos_stk,4)</f>
        <v>0.56409225597599999</v>
      </c>
      <c r="AM10" s="277">
        <v>0</v>
      </c>
      <c r="AN10" s="282"/>
      <c r="AP10" s="277">
        <f t="shared" ref="AP10:AP48" si="24">AP9 -((AP9*E9)+(AP9*F9)+(AP9*G9))</f>
        <v>0.85652247395909509</v>
      </c>
      <c r="AQ10" s="277">
        <f t="shared" ref="AQ10:AQ48" si="25">AP9*E9</f>
        <v>3.3162313945104348E-2</v>
      </c>
      <c r="AR10" s="277">
        <f t="shared" ref="AR10:AR48" si="26">(AQ9-(AQ9*H9))+(AR9-(AR9*I9))</f>
        <v>3.3620512053421023E-2</v>
      </c>
      <c r="AS10" s="277">
        <f t="shared" ref="AS10:AS48" si="27">AP9*F9</f>
        <v>5.4049075214396584E-3</v>
      </c>
      <c r="AT10" s="277">
        <f t="shared" ref="AT10:AT48" si="28">(AS9-(AS9*J9))+(AT9-(AT9*K9))</f>
        <v>6.3458849473815044E-3</v>
      </c>
      <c r="AU10" s="277">
        <f t="shared" ref="AU10:AU48" si="29">AU9+(AP9*G9)+(AQ9*H9)+(AR9*I9)+(AS9*J9)+(AT9*K9)</f>
        <v>6.4943907573558363E-2</v>
      </c>
      <c r="AV10" s="277">
        <f t="shared" si="7"/>
        <v>1</v>
      </c>
      <c r="AW10" s="277">
        <f t="shared" si="8"/>
        <v>0.93505609242644161</v>
      </c>
      <c r="AX10" s="289"/>
      <c r="AY10" s="277">
        <f t="shared" ref="AY10:BD10" si="30">0.5*(AP10+AP11)</f>
        <v>0.82773948161338617</v>
      </c>
      <c r="AZ10" s="277">
        <f t="shared" si="30"/>
        <v>3.2084213751211794E-2</v>
      </c>
      <c r="BA10" s="277">
        <f t="shared" si="30"/>
        <v>4.8631781840577093E-2</v>
      </c>
      <c r="BB10" s="277">
        <f t="shared" si="30"/>
        <v>5.2291950588991597E-3</v>
      </c>
      <c r="BC10" s="277">
        <f t="shared" si="30"/>
        <v>8.795443361749318E-3</v>
      </c>
      <c r="BD10" s="277">
        <f t="shared" si="30"/>
        <v>7.7519884374176451E-2</v>
      </c>
      <c r="BE10" s="277">
        <f t="shared" ref="BE10:BE48" si="31">AY10+AZ10+BA10+BB10+BC10+BD10</f>
        <v>1</v>
      </c>
      <c r="BF10" s="277">
        <f t="shared" ref="BF10:BF48" si="32">AY10+AZ10+BA10+BB10+BC10</f>
        <v>0.92248011562582366</v>
      </c>
      <c r="BG10" s="349"/>
      <c r="BH10" s="350"/>
      <c r="BJ10" s="283">
        <f t="shared" ref="BJ10:BJ48" si="33">(N10*c_noevent_markov)/(1+disc_cost)^C10</f>
        <v>943.23513436858673</v>
      </c>
      <c r="BK10" s="283">
        <f t="shared" ref="BK10:BK48" si="34">(O10*c_rinfar_mkv)/(1+disc_cost)^C10</f>
        <v>197.66282862988655</v>
      </c>
      <c r="BL10" s="283">
        <f t="shared" ref="BL10:BL48" si="35">(P10*c_post_rinfar_mkv)/(1+disc_cost)^C10</f>
        <v>62.019679368488198</v>
      </c>
      <c r="BM10" s="283">
        <f t="shared" ref="BM10:BM48" si="36">(Q10*c_stk_mkv)/(1+disc_cost)^C10</f>
        <v>116.90838503929467</v>
      </c>
      <c r="BN10" s="283">
        <f t="shared" ref="BN10:BN48" si="37">(R10*c_post_stk_mkv)/(1+disc_cost)^C10</f>
        <v>50.398227866184754</v>
      </c>
      <c r="BO10" s="283">
        <f t="shared" ref="BO10:BO48" si="38">S10*0</f>
        <v>0</v>
      </c>
      <c r="BP10" s="283">
        <f t="shared" si="9"/>
        <v>1370.2242552724408</v>
      </c>
      <c r="BQ10" s="342"/>
      <c r="BR10" s="283">
        <f t="shared" ref="BR10:BR48" si="39">(X10*c_noevent_markov)/(1+disc_cost)^C10</f>
        <v>911.53820816040036</v>
      </c>
      <c r="BS10" s="283">
        <f t="shared" ref="BS10:BS48" si="40">(Y10*c_rinfar_mkv)/(1+disc_cost)^C10</f>
        <v>191.23684960369468</v>
      </c>
      <c r="BT10" s="283">
        <f t="shared" ref="BT10:BT48" si="41">(Z10*c_post_rinfar_mkv)/(1+disc_cost)^C10</f>
        <v>86.703192683958036</v>
      </c>
      <c r="BU10" s="283">
        <f t="shared" ref="BU10:BU48" si="42">(AA10*c_stk_mkv)/(1+disc_cost)^C10</f>
        <v>113.10771682334419</v>
      </c>
      <c r="BV10" s="283">
        <f t="shared" ref="BV10:BV48" si="43">(AB10*c_post_stk_mkv)/(1+disc_cost)^C10</f>
        <v>69.185290820292167</v>
      </c>
      <c r="BW10" s="283">
        <f>AC10*0</f>
        <v>0</v>
      </c>
      <c r="BX10" s="285">
        <f t="shared" ref="BX10:BX48" si="44">BR10+BS10+BT10+BU10+BV10+BW10</f>
        <v>1371.7712580916896</v>
      </c>
      <c r="BY10" s="285"/>
      <c r="CA10" s="283">
        <f t="shared" ref="CA10:CA48" si="45">(AP10*c_noevent_markov)/(1+disc_cost)^C10</f>
        <v>953.54977696720061</v>
      </c>
      <c r="CB10" s="283">
        <f t="shared" ref="CB10:CB48" si="46">(AQ10*c_rinfar_mkv)/(1+disc_cost)^C10</f>
        <v>199.8243484440452</v>
      </c>
      <c r="CC10" s="283">
        <f t="shared" ref="CC10:CC48" si="47">(AR10*c_post_rinfar_mkv)/(1+disc_cost)^C10</f>
        <v>56.163436964905614</v>
      </c>
      <c r="CD10" s="283">
        <f t="shared" ref="CD10:CD48" si="48">(AS10*c_stk_mkv)/(1+disc_cost)^C10</f>
        <v>118.18682364333232</v>
      </c>
      <c r="CE10" s="283">
        <f t="shared" ref="CE10:CE48" si="49">(AT10*c_post_stk_mkv)/(1+disc_cost)^C10</f>
        <v>49.265955691967548</v>
      </c>
      <c r="CF10" s="283">
        <f t="shared" ref="CF10:CF48" si="50">AU10*0</f>
        <v>0</v>
      </c>
      <c r="CG10" s="283">
        <f t="shared" ref="CG10:CG48" si="51">SUM(CA10:CF10)</f>
        <v>1376.9903417114513</v>
      </c>
      <c r="CH10" s="283"/>
      <c r="CI10" s="298"/>
      <c r="CJ10" s="283">
        <f t="shared" ref="CJ10:CJ48" si="52">(AY10*c_noevent_markov)/(1+disc_cost)^C10</f>
        <v>921.50623255810183</v>
      </c>
      <c r="CK10" s="283">
        <f t="shared" ref="CK10:CK48" si="53">(AZ10*c_rinfar_mkv)/(1+disc_cost)^C10</f>
        <v>193.32809884099899</v>
      </c>
      <c r="CL10" s="283">
        <f t="shared" ref="CL10:CL48" si="54">(BA10*c_post_rinfar_mkv)/(1+disc_cost)^C10</f>
        <v>81.239929051478242</v>
      </c>
      <c r="CM10" s="283">
        <f t="shared" ref="CM10:CM48" si="55">(BB10*c_stk_mkv)/(1+disc_cost)^C10</f>
        <v>114.34459364405231</v>
      </c>
      <c r="CN10" s="283">
        <f t="shared" ref="CN10:CN48" si="56">(BC10*c_post_stk_mkv)/(1+disc_cost)^C10</f>
        <v>68.282978110082297</v>
      </c>
      <c r="CO10" s="283">
        <f t="shared" ref="CO10:CO48" si="57">(BD10*0)/(1+disc_cost)^H10</f>
        <v>0</v>
      </c>
      <c r="CP10" s="283">
        <f>SUM(CJ10:CO10)</f>
        <v>1378.7018322047136</v>
      </c>
      <c r="CR10" s="277">
        <f t="shared" ref="CR10:CR48" si="58">(N10*AH10)/(1+disc_cost)^C10</f>
        <v>0.55307231225903808</v>
      </c>
      <c r="CS10" s="277">
        <f t="shared" ref="CS10:CS48" si="59">(O10*AI10)/(1+disc_cost)^C10</f>
        <v>1.9811317008611128E-2</v>
      </c>
      <c r="CT10" s="277">
        <f t="shared" ref="CT10:CT48" si="60">(P10*AJ10)/(1+disc_cost)^C10</f>
        <v>2.3630765110721045E-2</v>
      </c>
      <c r="CU10" s="277">
        <f t="shared" ref="CU10:CU48" si="61">(Q10*AK10)/(1+disc_cost)^C10</f>
        <v>2.9139000828593232E-3</v>
      </c>
      <c r="CV10" s="277">
        <f t="shared" ref="CV10:CV48" si="62">(R10*AL10)/(1+disc_cost)^C10</f>
        <v>3.5381018910775317E-3</v>
      </c>
      <c r="CW10" s="277">
        <v>0</v>
      </c>
      <c r="CX10" s="277">
        <f t="shared" si="10"/>
        <v>0.60296639635230709</v>
      </c>
      <c r="CY10" s="277"/>
      <c r="CZ10" s="351"/>
      <c r="DA10" s="277">
        <f t="shared" ref="DA10:DA48" si="63">(X10*AH10)/(1+disc_cost)^C10</f>
        <v>0.53448660480317545</v>
      </c>
      <c r="DB10" s="277">
        <f t="shared" ref="DB10:DB48" si="64">(Y10*AI10)/(1+disc_cost)^C10</f>
        <v>1.9167255054924583E-2</v>
      </c>
      <c r="DC10" s="277">
        <f t="shared" ref="DC10:DC48" si="65">(Z10*AJ10)/(1+disc_cost)^C10</f>
        <v>3.3035688051383474E-2</v>
      </c>
      <c r="DD10" s="277">
        <f t="shared" ref="DD10:DD48" si="66">(AA10*AK10)/(1+disc_cost)^C10</f>
        <v>2.8191697739455828E-3</v>
      </c>
      <c r="DE10" s="277">
        <f t="shared" ref="DE10:DE48" si="67">(AB10*AL10)/(1+disc_cost)^C10</f>
        <v>4.8570082451304944E-3</v>
      </c>
      <c r="DF10" s="277">
        <v>0</v>
      </c>
      <c r="DG10" s="277">
        <f t="shared" ref="DG10:DG48" si="68">DA10+DB10+DC10+DD10+DE10+DF10</f>
        <v>0.59436572592855952</v>
      </c>
      <c r="DJ10" s="277">
        <f t="shared" ref="DJ10:DJ48" si="69">(AP10*AH10)/(1+disc_cost)^C10</f>
        <v>0.55912037283723071</v>
      </c>
      <c r="DK10" s="277">
        <f t="shared" ref="DK10:DK48" si="70">(AQ10*AI10)/(1+disc_cost)^C10</f>
        <v>2.0027961455903107E-2</v>
      </c>
      <c r="DL10" s="277">
        <f t="shared" ref="DL10:DL48" si="71">(AR10*AJ10)/(1+disc_cost)^C10</f>
        <v>2.1399417092162625E-2</v>
      </c>
      <c r="DM10" s="277">
        <f t="shared" ref="DM10:DM48" si="72">(AS10*AK10)/(1+disc_cost)^C10</f>
        <v>2.9457647121841042E-3</v>
      </c>
      <c r="DN10" s="277">
        <f t="shared" ref="DN10:DN48" si="73">(AT10*AL10)/(1+disc_cost)^C10</f>
        <v>3.4586130977126311E-3</v>
      </c>
      <c r="DO10" s="277">
        <f t="shared" ref="DO10:DO48" si="74">AU10*0</f>
        <v>0</v>
      </c>
      <c r="DP10" s="277">
        <f>DJ10+DK10+DL10+DM10+DN10+DO10</f>
        <v>0.60695212919519326</v>
      </c>
      <c r="DQ10" s="351"/>
      <c r="DS10" s="277">
        <f t="shared" ref="DS10:DS48" si="75">(AY10*AH10)/((1+disc_effect)^C10)</f>
        <v>0.54033142345062957</v>
      </c>
      <c r="DT10" s="277">
        <f t="shared" ref="DT10:DT48" si="76">(AZ10*AI10)/((1+disc_effect)^C10)</f>
        <v>1.9376856434563987E-2</v>
      </c>
      <c r="DU10" s="277">
        <f t="shared" ref="DU10:DU48" si="77">(BA10*AJ10)/((1+disc_effect)^C10)</f>
        <v>3.0954072974497569E-2</v>
      </c>
      <c r="DV10" s="277">
        <f t="shared" ref="DV10:DV48" si="78">BB10*AK10/((1+disc_effect)^C10)</f>
        <v>2.8499984905439413E-3</v>
      </c>
      <c r="DW10" s="277">
        <f t="shared" ref="DW10:DW48" si="79">BC10*AL10/(1+disc_effect)^C10</f>
        <v>4.7936632736601996E-3</v>
      </c>
      <c r="DX10" s="277">
        <f>BD10*0</f>
        <v>0</v>
      </c>
      <c r="DY10" s="302">
        <f>DS10+DT10+DU10+DV10+DW10+DX10</f>
        <v>0.59830601462389521</v>
      </c>
    </row>
    <row r="11" spans="2:129" x14ac:dyDescent="0.15">
      <c r="B11" s="358" t="s">
        <v>707</v>
      </c>
      <c r="C11" s="137">
        <v>2</v>
      </c>
      <c r="D11" s="137">
        <v>66</v>
      </c>
      <c r="E11" s="278">
        <f t="shared" si="0"/>
        <v>3.6200000000000003E-2</v>
      </c>
      <c r="F11" s="278">
        <f t="shared" si="1"/>
        <v>5.8999999999999999E-3</v>
      </c>
      <c r="G11" s="277">
        <f t="shared" ref="G11:G48" si="80">VLOOKUP(D11,prob_dead_noevent,4)</f>
        <v>2.7507839999999999E-2</v>
      </c>
      <c r="H11" s="277">
        <f t="shared" si="2"/>
        <v>6.1892639999999999E-2</v>
      </c>
      <c r="I11" s="277">
        <f t="shared" ref="I11:I48" si="81">VLOOKUP(D11,prob_dead_pos_reinfarct,4)</f>
        <v>4.1261760000000001E-2</v>
      </c>
      <c r="J11" s="277">
        <f t="shared" si="3"/>
        <v>6.5056041600000003E-2</v>
      </c>
      <c r="K11" s="277">
        <f t="shared" si="4"/>
        <v>3.1909094399999997E-2</v>
      </c>
      <c r="L11" s="277"/>
      <c r="N11" s="277">
        <f t="shared" ref="N11:N48" si="82">N10-((N10*E10)+(N10*F10)+(N10*G10))</f>
        <v>0.79031409760895344</v>
      </c>
      <c r="O11" s="277">
        <f t="shared" ref="O11:O48" si="83">N10*E10</f>
        <v>3.0670717348918911E-2</v>
      </c>
      <c r="P11" s="277">
        <f t="shared" ref="P11:P48" si="84">(O10-(O10*H10))+(P10-(P10*I10))</f>
        <v>6.6678221526660836E-2</v>
      </c>
      <c r="Q11" s="277">
        <f t="shared" ref="Q11:Q48" si="85">N10*F10</f>
        <v>4.9988185734425846E-3</v>
      </c>
      <c r="R11" s="277">
        <f t="shared" ref="R11:R48" si="86">(Q10-(Q10*J10))+(R10-(R10*K10))</f>
        <v>1.1331606740630093E-2</v>
      </c>
      <c r="S11" s="277">
        <f t="shared" ref="S11:S48" si="87">S10+(N10*G10)+(O10*H10)+(P10*I10)+(Q10*J10)+(R10*K10)</f>
        <v>9.6006538201394112E-2</v>
      </c>
      <c r="T11" s="277">
        <f t="shared" si="5"/>
        <v>0.99999999999999989</v>
      </c>
      <c r="U11" s="277">
        <f t="shared" si="6"/>
        <v>0.90399346179860574</v>
      </c>
      <c r="V11" s="290"/>
      <c r="W11" s="277"/>
      <c r="X11" s="277">
        <f t="shared" si="11"/>
        <v>0.76280806898089915</v>
      </c>
      <c r="Y11" s="277">
        <f t="shared" si="12"/>
        <v>2.9640043841181515E-2</v>
      </c>
      <c r="Z11" s="277">
        <f t="shared" si="13"/>
        <v>7.9688803980481143E-2</v>
      </c>
      <c r="AA11" s="277">
        <f t="shared" si="14"/>
        <v>4.8308358746677049E-3</v>
      </c>
      <c r="AB11" s="277">
        <f t="shared" si="15"/>
        <v>1.3487623698223797E-2</v>
      </c>
      <c r="AC11" s="277">
        <f t="shared" si="16"/>
        <v>0.10954462362454659</v>
      </c>
      <c r="AD11" s="277">
        <f t="shared" si="17"/>
        <v>0.99999999999999989</v>
      </c>
      <c r="AE11" s="277">
        <f t="shared" si="18"/>
        <v>0.89045537637545324</v>
      </c>
      <c r="AF11" s="277"/>
      <c r="AG11" s="290"/>
      <c r="AH11" s="277">
        <f t="shared" si="19"/>
        <v>0.67166873154399998</v>
      </c>
      <c r="AI11" s="277">
        <f t="shared" si="20"/>
        <v>0.62141323262800008</v>
      </c>
      <c r="AJ11" s="277">
        <f t="shared" si="21"/>
        <v>0.65491689857199997</v>
      </c>
      <c r="AK11" s="277">
        <f t="shared" si="22"/>
        <v>0.56078755139600001</v>
      </c>
      <c r="AL11" s="277">
        <f t="shared" si="23"/>
        <v>0.56078755139600001</v>
      </c>
      <c r="AM11" s="277">
        <v>0</v>
      </c>
      <c r="AN11" s="282"/>
      <c r="AP11" s="277">
        <f t="shared" si="24"/>
        <v>0.79895648926767726</v>
      </c>
      <c r="AQ11" s="277">
        <f t="shared" si="25"/>
        <v>3.1006113557319245E-2</v>
      </c>
      <c r="AR11" s="277">
        <f t="shared" si="26"/>
        <v>6.3643051627733163E-2</v>
      </c>
      <c r="AS11" s="277">
        <f t="shared" si="27"/>
        <v>5.053482596358661E-3</v>
      </c>
      <c r="AT11" s="277">
        <f t="shared" si="28"/>
        <v>1.1245001776117132E-2</v>
      </c>
      <c r="AU11" s="277">
        <f t="shared" si="29"/>
        <v>9.0095861174794553E-2</v>
      </c>
      <c r="AV11" s="277">
        <f t="shared" si="7"/>
        <v>0.99999999999999989</v>
      </c>
      <c r="AW11" s="277">
        <f t="shared" si="8"/>
        <v>0.90990413882520538</v>
      </c>
      <c r="AX11" s="289"/>
      <c r="AY11" s="277">
        <f t="shared" ref="AY11:AY48" si="88">0.5*(AP11+AP12)</f>
        <v>0.77114967153172409</v>
      </c>
      <c r="AZ11" s="277">
        <f t="shared" ref="AZ11:AZ48" si="89">0.5*(AQ11+AQ12)</f>
        <v>2.9964169234404581E-2</v>
      </c>
      <c r="BA11" s="277">
        <f t="shared" ref="BA11:BA48" si="90">0.5*(AR11+AR12)</f>
        <v>7.6873571133326074E-2</v>
      </c>
      <c r="BB11" s="277">
        <f t="shared" ref="BB11:BB48" si="91">0.5*(AS11+AS12)</f>
        <v>4.8836629415189778E-3</v>
      </c>
      <c r="BC11" s="277">
        <f t="shared" ref="BC11:BC48" si="92">0.5*(AT11+AT12)</f>
        <v>1.3427954375688524E-2</v>
      </c>
      <c r="BD11" s="277">
        <f t="shared" ref="BD11:BD48" si="93">0.5*(AU11+AU12)</f>
        <v>0.10370097078333769</v>
      </c>
      <c r="BE11" s="277">
        <f t="shared" si="31"/>
        <v>1</v>
      </c>
      <c r="BF11" s="277">
        <f t="shared" si="32"/>
        <v>0.89629902921666227</v>
      </c>
      <c r="BG11" s="349"/>
      <c r="BH11" s="350"/>
      <c r="BJ11" s="283">
        <f t="shared" si="33"/>
        <v>850.088195122912</v>
      </c>
      <c r="BK11" s="283">
        <f t="shared" si="34"/>
        <v>178.56122761111379</v>
      </c>
      <c r="BL11" s="283">
        <f t="shared" si="35"/>
        <v>107.62000579654867</v>
      </c>
      <c r="BM11" s="283">
        <f t="shared" si="36"/>
        <v>105.61067498298912</v>
      </c>
      <c r="BN11" s="283">
        <f t="shared" si="37"/>
        <v>84.997443260289486</v>
      </c>
      <c r="BO11" s="283">
        <f t="shared" si="38"/>
        <v>0</v>
      </c>
      <c r="BP11" s="283">
        <f t="shared" si="9"/>
        <v>1326.8775467738531</v>
      </c>
      <c r="BQ11" s="342"/>
      <c r="BR11" s="283">
        <f t="shared" si="39"/>
        <v>820.50179358690968</v>
      </c>
      <c r="BS11" s="283">
        <f t="shared" si="40"/>
        <v>172.56077040908067</v>
      </c>
      <c r="BT11" s="283">
        <f t="shared" si="41"/>
        <v>128.61935051567494</v>
      </c>
      <c r="BU11" s="283">
        <f t="shared" si="42"/>
        <v>102.06168316773676</v>
      </c>
      <c r="BV11" s="283">
        <f t="shared" si="43"/>
        <v>101.16954781843822</v>
      </c>
      <c r="BW11" s="283">
        <f t="shared" ref="BW11:BW48" si="94">AC11*0</f>
        <v>0</v>
      </c>
      <c r="BX11" s="285">
        <f t="shared" si="44"/>
        <v>1324.9131454978406</v>
      </c>
      <c r="BY11" s="285"/>
      <c r="CA11" s="283">
        <f t="shared" si="45"/>
        <v>859.38423975749106</v>
      </c>
      <c r="CB11" s="283">
        <f t="shared" si="46"/>
        <v>180.51386399802203</v>
      </c>
      <c r="CC11" s="283">
        <f t="shared" si="47"/>
        <v>102.72117984352741</v>
      </c>
      <c r="CD11" s="283">
        <f t="shared" si="48"/>
        <v>106.76556873891046</v>
      </c>
      <c r="CE11" s="283">
        <f t="shared" si="49"/>
        <v>84.347826597291842</v>
      </c>
      <c r="CF11" s="283">
        <f t="shared" si="50"/>
        <v>0</v>
      </c>
      <c r="CG11" s="283">
        <f t="shared" si="51"/>
        <v>1333.7326789352428</v>
      </c>
      <c r="CH11" s="283"/>
      <c r="CI11" s="298"/>
      <c r="CJ11" s="283">
        <f t="shared" si="52"/>
        <v>829.47429942771032</v>
      </c>
      <c r="CK11" s="283">
        <f t="shared" si="53"/>
        <v>174.44778946557778</v>
      </c>
      <c r="CL11" s="283">
        <f t="shared" si="54"/>
        <v>124.07550743779197</v>
      </c>
      <c r="CM11" s="283">
        <f t="shared" si="55"/>
        <v>103.17776731953509</v>
      </c>
      <c r="CN11" s="283">
        <f t="shared" si="56"/>
        <v>100.7219731741129</v>
      </c>
      <c r="CO11" s="283">
        <f t="shared" si="57"/>
        <v>0</v>
      </c>
      <c r="CP11" s="283">
        <f t="shared" ref="CP11:CP48" si="95">SUM(CJ11:CO11)</f>
        <v>1331.8973368247282</v>
      </c>
      <c r="CR11" s="277">
        <f t="shared" si="58"/>
        <v>0.49553480124375998</v>
      </c>
      <c r="CS11" s="277">
        <f t="shared" si="59"/>
        <v>1.7791957445738655E-2</v>
      </c>
      <c r="CT11" s="277">
        <f t="shared" si="60"/>
        <v>4.0765193161602355E-2</v>
      </c>
      <c r="CU11" s="277">
        <f t="shared" si="61"/>
        <v>2.6168874211054756E-3</v>
      </c>
      <c r="CV11" s="277">
        <f t="shared" si="62"/>
        <v>5.9321094984343715E-3</v>
      </c>
      <c r="CW11" s="277">
        <v>0</v>
      </c>
      <c r="CX11" s="277">
        <f t="shared" si="10"/>
        <v>0.56264094877064075</v>
      </c>
      <c r="CY11" s="277"/>
      <c r="CZ11" s="351"/>
      <c r="DA11" s="277">
        <f t="shared" si="63"/>
        <v>0.4782882476640562</v>
      </c>
      <c r="DB11" s="277">
        <f t="shared" si="64"/>
        <v>1.7194067967592479E-2</v>
      </c>
      <c r="DC11" s="277">
        <f t="shared" si="65"/>
        <v>4.8719498101527467E-2</v>
      </c>
      <c r="DD11" s="277">
        <f t="shared" si="66"/>
        <v>2.5289482801006849E-3</v>
      </c>
      <c r="DE11" s="277">
        <f t="shared" si="67"/>
        <v>7.0607869195337923E-3</v>
      </c>
      <c r="DF11" s="277">
        <v>0</v>
      </c>
      <c r="DG11" s="277">
        <f t="shared" si="68"/>
        <v>0.55379154893281057</v>
      </c>
      <c r="DJ11" s="277">
        <f t="shared" si="69"/>
        <v>0.50095366678827347</v>
      </c>
      <c r="DK11" s="277">
        <f t="shared" si="70"/>
        <v>1.7986519411780547E-2</v>
      </c>
      <c r="DL11" s="277">
        <f t="shared" si="71"/>
        <v>3.8909575474519995E-2</v>
      </c>
      <c r="DM11" s="277">
        <f t="shared" si="72"/>
        <v>2.6455041015979596E-3</v>
      </c>
      <c r="DN11" s="277">
        <f t="shared" si="73"/>
        <v>5.8867716973300642E-3</v>
      </c>
      <c r="DO11" s="277">
        <f t="shared" si="74"/>
        <v>0</v>
      </c>
      <c r="DP11" s="277">
        <f t="shared" ref="DP11:DP48" si="96">DJ11+DK11+DL11+DM11+DN11+DO11</f>
        <v>0.56638203747350202</v>
      </c>
      <c r="DQ11" s="351"/>
      <c r="DS11" s="277">
        <f t="shared" si="75"/>
        <v>0.48351851544566771</v>
      </c>
      <c r="DT11" s="277">
        <f t="shared" si="76"/>
        <v>1.7382091779937752E-2</v>
      </c>
      <c r="DU11" s="277">
        <f t="shared" si="77"/>
        <v>4.6998343754852567E-2</v>
      </c>
      <c r="DV11" s="277">
        <f t="shared" si="78"/>
        <v>2.5566033119258928E-3</v>
      </c>
      <c r="DW11" s="277">
        <f t="shared" si="79"/>
        <v>7.0295499587851038E-3</v>
      </c>
      <c r="DX11" s="277">
        <f t="shared" ref="DX11:DX48" si="97">BD11*0</f>
        <v>0</v>
      </c>
      <c r="DY11" s="302">
        <f t="shared" ref="DY11:DY48" si="98">DS11+DT11+DU11+DV11+DW11+DX11</f>
        <v>0.55748510425116904</v>
      </c>
    </row>
    <row r="12" spans="2:129" x14ac:dyDescent="0.15">
      <c r="B12" s="358" t="s">
        <v>707</v>
      </c>
      <c r="C12" s="137">
        <v>3</v>
      </c>
      <c r="D12" s="137">
        <v>67</v>
      </c>
      <c r="E12" s="278">
        <f t="shared" si="0"/>
        <v>3.6200000000000003E-2</v>
      </c>
      <c r="F12" s="278">
        <f t="shared" si="1"/>
        <v>5.8999999999999999E-3</v>
      </c>
      <c r="G12" s="277">
        <f t="shared" si="80"/>
        <v>3.0303999999999998E-2</v>
      </c>
      <c r="H12" s="277">
        <f t="shared" si="2"/>
        <v>6.8183999999999995E-2</v>
      </c>
      <c r="I12" s="277">
        <f t="shared" si="81"/>
        <v>4.5456000000000003E-2</v>
      </c>
      <c r="J12" s="277">
        <f t="shared" si="3"/>
        <v>7.1668960000000004E-2</v>
      </c>
      <c r="K12" s="277">
        <f t="shared" si="4"/>
        <v>3.5152639999999999E-2</v>
      </c>
      <c r="L12" s="277"/>
      <c r="N12" s="277">
        <f t="shared" si="82"/>
        <v>0.73530204035284497</v>
      </c>
      <c r="O12" s="277">
        <f t="shared" si="83"/>
        <v>2.8609370333444118E-2</v>
      </c>
      <c r="P12" s="277">
        <f t="shared" si="84"/>
        <v>9.2699386434301451E-2</v>
      </c>
      <c r="Q12" s="277">
        <f t="shared" si="85"/>
        <v>4.6628531758928253E-3</v>
      </c>
      <c r="R12" s="277">
        <f t="shared" si="86"/>
        <v>1.5643640655817501E-2</v>
      </c>
      <c r="S12" s="277">
        <f t="shared" si="87"/>
        <v>0.12308270904769907</v>
      </c>
      <c r="T12" s="277">
        <f t="shared" si="5"/>
        <v>0.99999999999999989</v>
      </c>
      <c r="U12" s="277">
        <f t="shared" si="6"/>
        <v>0.87691729095230087</v>
      </c>
      <c r="V12" s="290"/>
      <c r="W12" s="277"/>
      <c r="X12" s="277">
        <f t="shared" si="11"/>
        <v>0.7086826358879913</v>
      </c>
      <c r="Y12" s="277">
        <f t="shared" si="12"/>
        <v>2.7613652097108553E-2</v>
      </c>
      <c r="Z12" s="277">
        <f t="shared" si="13"/>
        <v>0.10392184929273693</v>
      </c>
      <c r="AA12" s="277">
        <f t="shared" si="14"/>
        <v>4.5005676069873046E-3</v>
      </c>
      <c r="AB12" s="277">
        <f t="shared" si="15"/>
        <v>1.7533018690757789E-2</v>
      </c>
      <c r="AC12" s="277">
        <f t="shared" si="16"/>
        <v>0.13774827642441806</v>
      </c>
      <c r="AD12" s="277">
        <f t="shared" si="17"/>
        <v>0.99999999999999989</v>
      </c>
      <c r="AE12" s="277">
        <f t="shared" si="18"/>
        <v>0.86225172357558189</v>
      </c>
      <c r="AF12" s="277"/>
      <c r="AG12" s="290"/>
      <c r="AH12" s="277">
        <f t="shared" si="19"/>
        <v>0.66765469862399995</v>
      </c>
      <c r="AI12" s="277">
        <f t="shared" si="20"/>
        <v>0.61769953708800007</v>
      </c>
      <c r="AJ12" s="277">
        <f t="shared" si="21"/>
        <v>0.65100297811200003</v>
      </c>
      <c r="AK12" s="277">
        <f t="shared" si="22"/>
        <v>0.55743616761600001</v>
      </c>
      <c r="AL12" s="277">
        <f t="shared" si="23"/>
        <v>0.55743616761600001</v>
      </c>
      <c r="AM12" s="277">
        <v>0</v>
      </c>
      <c r="AN12" s="282"/>
      <c r="AP12" s="277">
        <f t="shared" si="24"/>
        <v>0.74334285379577103</v>
      </c>
      <c r="AQ12" s="277">
        <f t="shared" si="25"/>
        <v>2.8922224911489918E-2</v>
      </c>
      <c r="AR12" s="277">
        <f t="shared" si="26"/>
        <v>9.0104090638918999E-2</v>
      </c>
      <c r="AS12" s="277">
        <f t="shared" si="27"/>
        <v>4.7138432866792954E-3</v>
      </c>
      <c r="AT12" s="277">
        <f t="shared" si="28"/>
        <v>1.5610906975259919E-2</v>
      </c>
      <c r="AU12" s="277">
        <f t="shared" si="29"/>
        <v>0.11730608039188083</v>
      </c>
      <c r="AV12" s="277">
        <f t="shared" si="7"/>
        <v>1</v>
      </c>
      <c r="AW12" s="277">
        <f t="shared" si="8"/>
        <v>0.88269391960811916</v>
      </c>
      <c r="AX12" s="289"/>
      <c r="AY12" s="277">
        <f t="shared" si="88"/>
        <v>0.71643235580265652</v>
      </c>
      <c r="AZ12" s="277">
        <f t="shared" si="89"/>
        <v>2.7915618109448415E-2</v>
      </c>
      <c r="BA12" s="277">
        <f t="shared" si="90"/>
        <v>0.10153130083094009</v>
      </c>
      <c r="BB12" s="277">
        <f t="shared" si="91"/>
        <v>4.5497830620371722E-3</v>
      </c>
      <c r="BC12" s="277">
        <f t="shared" si="92"/>
        <v>1.7524528199132521E-2</v>
      </c>
      <c r="BD12" s="277">
        <f t="shared" si="93"/>
        <v>0.13204641399578526</v>
      </c>
      <c r="BE12" s="277">
        <f t="shared" si="31"/>
        <v>1</v>
      </c>
      <c r="BF12" s="277">
        <f t="shared" si="32"/>
        <v>0.86795358600421468</v>
      </c>
      <c r="BG12" s="349"/>
      <c r="BH12" s="350"/>
      <c r="BJ12" s="283">
        <f t="shared" si="33"/>
        <v>764.16946091875127</v>
      </c>
      <c r="BK12" s="283">
        <f t="shared" si="34"/>
        <v>160.92783884738898</v>
      </c>
      <c r="BL12" s="283">
        <f t="shared" si="35"/>
        <v>144.55912583072578</v>
      </c>
      <c r="BM12" s="283">
        <f t="shared" si="36"/>
        <v>95.181344301917321</v>
      </c>
      <c r="BN12" s="283">
        <f t="shared" si="37"/>
        <v>113.37357717544634</v>
      </c>
      <c r="BO12" s="283">
        <f t="shared" si="38"/>
        <v>0</v>
      </c>
      <c r="BP12" s="283">
        <f t="shared" si="9"/>
        <v>1278.2113470742297</v>
      </c>
      <c r="BQ12" s="342"/>
      <c r="BR12" s="283">
        <f t="shared" si="39"/>
        <v>736.50499809457074</v>
      </c>
      <c r="BS12" s="283">
        <f t="shared" si="40"/>
        <v>155.32691921837153</v>
      </c>
      <c r="BT12" s="283">
        <f t="shared" si="41"/>
        <v>162.05988266295137</v>
      </c>
      <c r="BU12" s="283">
        <f t="shared" si="42"/>
        <v>91.868660409340919</v>
      </c>
      <c r="BV12" s="283">
        <f t="shared" si="43"/>
        <v>127.06639658818565</v>
      </c>
      <c r="BW12" s="283">
        <f t="shared" si="94"/>
        <v>0</v>
      </c>
      <c r="BX12" s="285">
        <f t="shared" si="44"/>
        <v>1272.8268569734203</v>
      </c>
      <c r="BY12" s="285"/>
      <c r="CA12" s="283">
        <f t="shared" si="45"/>
        <v>772.52595081925597</v>
      </c>
      <c r="CB12" s="283">
        <f t="shared" si="46"/>
        <v>162.6876472783899</v>
      </c>
      <c r="CC12" s="283">
        <f t="shared" si="47"/>
        <v>140.51191790536868</v>
      </c>
      <c r="CD12" s="283">
        <f t="shared" si="48"/>
        <v>96.222189275516698</v>
      </c>
      <c r="CE12" s="283">
        <f t="shared" si="49"/>
        <v>113.1363475854435</v>
      </c>
      <c r="CF12" s="283">
        <f t="shared" si="50"/>
        <v>0</v>
      </c>
      <c r="CG12" s="283">
        <f t="shared" si="51"/>
        <v>1285.0840528639746</v>
      </c>
      <c r="CH12" s="283"/>
      <c r="CI12" s="298"/>
      <c r="CJ12" s="283">
        <f t="shared" si="52"/>
        <v>744.55896634769726</v>
      </c>
      <c r="CK12" s="283">
        <f t="shared" si="53"/>
        <v>157.02547941752459</v>
      </c>
      <c r="CL12" s="283">
        <f t="shared" si="54"/>
        <v>158.33196590766349</v>
      </c>
      <c r="CM12" s="283">
        <f t="shared" si="55"/>
        <v>92.873279897746755</v>
      </c>
      <c r="CN12" s="283">
        <f t="shared" si="56"/>
        <v>127.00486376288538</v>
      </c>
      <c r="CO12" s="283">
        <f t="shared" si="57"/>
        <v>0</v>
      </c>
      <c r="CP12" s="283">
        <f t="shared" si="95"/>
        <v>1279.7945553335173</v>
      </c>
      <c r="CR12" s="277">
        <f t="shared" si="58"/>
        <v>0.44278880427483958</v>
      </c>
      <c r="CS12" s="277">
        <f t="shared" si="59"/>
        <v>1.5939126814698102E-2</v>
      </c>
      <c r="CT12" s="277">
        <f t="shared" si="60"/>
        <v>5.4430056553282674E-2</v>
      </c>
      <c r="CU12" s="277">
        <f t="shared" si="61"/>
        <v>2.3443682681906718E-3</v>
      </c>
      <c r="CV12" s="277">
        <f t="shared" si="62"/>
        <v>7.8652390219114653E-3</v>
      </c>
      <c r="CW12" s="277">
        <v>0</v>
      </c>
      <c r="CX12" s="277">
        <f t="shared" si="10"/>
        <v>0.52336759493292251</v>
      </c>
      <c r="CY12" s="277"/>
      <c r="CZ12" s="351"/>
      <c r="DA12" s="277">
        <f t="shared" si="63"/>
        <v>0.42675896398248186</v>
      </c>
      <c r="DB12" s="277">
        <f t="shared" si="64"/>
        <v>1.5384382720169492E-2</v>
      </c>
      <c r="DC12" s="277">
        <f t="shared" si="65"/>
        <v>6.1019520750919799E-2</v>
      </c>
      <c r="DD12" s="277">
        <f t="shared" si="66"/>
        <v>2.2627750625340247E-3</v>
      </c>
      <c r="DE12" s="277">
        <f t="shared" si="67"/>
        <v>8.8151719802620869E-3</v>
      </c>
      <c r="DF12" s="277">
        <v>0</v>
      </c>
      <c r="DG12" s="277">
        <f t="shared" si="68"/>
        <v>0.51424081449636727</v>
      </c>
      <c r="DJ12" s="277">
        <f t="shared" si="69"/>
        <v>0.44763087185305789</v>
      </c>
      <c r="DK12" s="277">
        <f t="shared" si="70"/>
        <v>1.6113427358048459E-2</v>
      </c>
      <c r="DL12" s="277">
        <f t="shared" si="71"/>
        <v>5.2906183501379794E-2</v>
      </c>
      <c r="DM12" s="277">
        <f t="shared" si="72"/>
        <v>2.3700048458846364E-3</v>
      </c>
      <c r="DN12" s="277">
        <f t="shared" si="73"/>
        <v>7.848781329784886E-3</v>
      </c>
      <c r="DO12" s="277">
        <f t="shared" si="74"/>
        <v>0</v>
      </c>
      <c r="DP12" s="277">
        <f t="shared" si="96"/>
        <v>0.52686926888815566</v>
      </c>
      <c r="DQ12" s="351"/>
      <c r="DS12" s="277">
        <f t="shared" si="75"/>
        <v>0.43142573903023351</v>
      </c>
      <c r="DT12" s="277">
        <f t="shared" si="76"/>
        <v>1.5552616921353127E-2</v>
      </c>
      <c r="DU12" s="277">
        <f t="shared" si="77"/>
        <v>5.9615868655971106E-2</v>
      </c>
      <c r="DV12" s="277">
        <f t="shared" si="78"/>
        <v>2.287519386828855E-3</v>
      </c>
      <c r="DW12" s="277">
        <f t="shared" si="79"/>
        <v>8.810903169215123E-3</v>
      </c>
      <c r="DX12" s="277">
        <f t="shared" si="97"/>
        <v>0</v>
      </c>
      <c r="DY12" s="302">
        <f t="shared" si="98"/>
        <v>0.51769264716360164</v>
      </c>
    </row>
    <row r="13" spans="2:129" x14ac:dyDescent="0.15">
      <c r="B13" s="358" t="s">
        <v>707</v>
      </c>
      <c r="C13" s="137">
        <v>4</v>
      </c>
      <c r="D13" s="137">
        <v>68</v>
      </c>
      <c r="E13" s="278">
        <f t="shared" si="0"/>
        <v>3.6200000000000003E-2</v>
      </c>
      <c r="F13" s="278">
        <f t="shared" si="1"/>
        <v>5.8999999999999999E-3</v>
      </c>
      <c r="G13" s="277">
        <f t="shared" si="80"/>
        <v>3.3377840000000006E-2</v>
      </c>
      <c r="H13" s="277">
        <f t="shared" si="2"/>
        <v>7.510014000000001E-2</v>
      </c>
      <c r="I13" s="277">
        <f t="shared" si="81"/>
        <v>5.0066760000000009E-2</v>
      </c>
      <c r="J13" s="277">
        <f t="shared" si="3"/>
        <v>7.893859160000001E-2</v>
      </c>
      <c r="K13" s="277">
        <f t="shared" si="4"/>
        <v>3.8718294399999999E-2</v>
      </c>
      <c r="L13" s="277"/>
      <c r="N13" s="277">
        <f t="shared" si="82"/>
        <v>0.68206323142313763</v>
      </c>
      <c r="O13" s="277">
        <f t="shared" si="83"/>
        <v>2.6617933860772991E-2</v>
      </c>
      <c r="P13" s="277">
        <f t="shared" si="84"/>
        <v>0.11514431215117241</v>
      </c>
      <c r="Q13" s="277">
        <f t="shared" si="85"/>
        <v>4.3382820380817848E-3</v>
      </c>
      <c r="R13" s="277">
        <f t="shared" si="86"/>
        <v>1.9422396725698076E-2</v>
      </c>
      <c r="S13" s="277">
        <f t="shared" si="87"/>
        <v>0.15241384380113707</v>
      </c>
      <c r="T13" s="277">
        <f t="shared" si="5"/>
        <v>1</v>
      </c>
      <c r="U13" s="277">
        <f t="shared" si="6"/>
        <v>0.84758615619886291</v>
      </c>
      <c r="V13" s="290"/>
      <c r="W13" s="277"/>
      <c r="X13" s="277">
        <f t="shared" si="11"/>
        <v>0.65632290169751828</v>
      </c>
      <c r="Y13" s="277">
        <f t="shared" si="12"/>
        <v>2.5654311419145287E-2</v>
      </c>
      <c r="Z13" s="277">
        <f t="shared" si="13"/>
        <v>0.12457132248091259</v>
      </c>
      <c r="AA13" s="277">
        <f t="shared" si="14"/>
        <v>4.1812275517391483E-3</v>
      </c>
      <c r="AB13" s="277">
        <f t="shared" si="15"/>
        <v>2.1044307770524504E-2</v>
      </c>
      <c r="AC13" s="277">
        <f t="shared" si="16"/>
        <v>0.16822592908016007</v>
      </c>
      <c r="AD13" s="277">
        <f t="shared" si="17"/>
        <v>0.99999999999999989</v>
      </c>
      <c r="AE13" s="277">
        <f t="shared" si="18"/>
        <v>0.83177407091983979</v>
      </c>
      <c r="AF13" s="277"/>
      <c r="AG13" s="290"/>
      <c r="AH13" s="277">
        <f t="shared" si="19"/>
        <v>0.66358475690399998</v>
      </c>
      <c r="AI13" s="277">
        <f t="shared" si="20"/>
        <v>0.61393411594800007</v>
      </c>
      <c r="AJ13" s="277">
        <f t="shared" si="21"/>
        <v>0.64703454325200005</v>
      </c>
      <c r="AK13" s="277">
        <f t="shared" si="22"/>
        <v>0.55403810463600001</v>
      </c>
      <c r="AL13" s="277">
        <f t="shared" si="23"/>
        <v>0.55403810463600001</v>
      </c>
      <c r="AM13" s="277">
        <v>0</v>
      </c>
      <c r="AN13" s="282"/>
      <c r="AP13" s="277">
        <f t="shared" si="24"/>
        <v>0.689521857809542</v>
      </c>
      <c r="AQ13" s="277">
        <f t="shared" si="25"/>
        <v>2.6909011307406912E-2</v>
      </c>
      <c r="AR13" s="277">
        <f t="shared" si="26"/>
        <v>0.11295851102296117</v>
      </c>
      <c r="AS13" s="277">
        <f t="shared" si="27"/>
        <v>4.385722837395049E-3</v>
      </c>
      <c r="AT13" s="277">
        <f t="shared" si="28"/>
        <v>1.9438149423005126E-2</v>
      </c>
      <c r="AU13" s="277">
        <f t="shared" si="29"/>
        <v>0.14678674759968968</v>
      </c>
      <c r="AV13" s="277">
        <f t="shared" si="7"/>
        <v>0.99999999999999989</v>
      </c>
      <c r="AW13" s="277">
        <f t="shared" si="8"/>
        <v>0.85321325240031021</v>
      </c>
      <c r="AX13" s="289"/>
      <c r="AY13" s="277">
        <f t="shared" si="88"/>
        <v>0.66350004757941639</v>
      </c>
      <c r="AZ13" s="277">
        <f t="shared" si="89"/>
        <v>2.5934851280056168E-2</v>
      </c>
      <c r="BA13" s="277">
        <f t="shared" si="90"/>
        <v>0.12257484808776874</v>
      </c>
      <c r="BB13" s="277">
        <f t="shared" si="91"/>
        <v>4.2269508992356739E-3</v>
      </c>
      <c r="BC13" s="277">
        <f t="shared" si="92"/>
        <v>2.1081603453761137E-2</v>
      </c>
      <c r="BD13" s="277">
        <f t="shared" si="93"/>
        <v>0.1626816986997619</v>
      </c>
      <c r="BE13" s="277">
        <f t="shared" si="31"/>
        <v>0.99999999999999989</v>
      </c>
      <c r="BF13" s="277">
        <f t="shared" si="32"/>
        <v>0.83731830130023799</v>
      </c>
      <c r="BG13" s="349"/>
      <c r="BH13" s="350"/>
      <c r="BJ13" s="283">
        <f t="shared" si="33"/>
        <v>684.87008238685041</v>
      </c>
      <c r="BK13" s="283">
        <f t="shared" si="34"/>
        <v>144.66280153560785</v>
      </c>
      <c r="BL13" s="283">
        <f t="shared" si="35"/>
        <v>173.48854057505019</v>
      </c>
      <c r="BM13" s="283">
        <f t="shared" si="36"/>
        <v>85.56132996788844</v>
      </c>
      <c r="BN13" s="283">
        <f t="shared" si="37"/>
        <v>135.99924251297099</v>
      </c>
      <c r="BO13" s="283">
        <f t="shared" si="38"/>
        <v>0</v>
      </c>
      <c r="BP13" s="283">
        <f t="shared" si="9"/>
        <v>1224.5819969783679</v>
      </c>
      <c r="BQ13" s="342"/>
      <c r="BR13" s="283">
        <f t="shared" si="39"/>
        <v>659.02382513725945</v>
      </c>
      <c r="BS13" s="283">
        <f t="shared" si="40"/>
        <v>139.42571879441579</v>
      </c>
      <c r="BT13" s="283">
        <f t="shared" si="41"/>
        <v>187.69226660838945</v>
      </c>
      <c r="BU13" s="283">
        <f t="shared" si="42"/>
        <v>82.463838700390937</v>
      </c>
      <c r="BV13" s="283">
        <f t="shared" si="43"/>
        <v>147.35616599852438</v>
      </c>
      <c r="BW13" s="283">
        <f t="shared" si="94"/>
        <v>0</v>
      </c>
      <c r="BX13" s="285">
        <f t="shared" si="44"/>
        <v>1215.9618152389799</v>
      </c>
      <c r="BY13" s="285"/>
      <c r="CA13" s="283">
        <f t="shared" si="45"/>
        <v>692.35940277887789</v>
      </c>
      <c r="CB13" s="283">
        <f t="shared" si="46"/>
        <v>146.2447454653713</v>
      </c>
      <c r="CC13" s="283">
        <f t="shared" si="47"/>
        <v>170.19518252169885</v>
      </c>
      <c r="CD13" s="283">
        <f t="shared" si="48"/>
        <v>86.496976347803695</v>
      </c>
      <c r="CE13" s="283">
        <f t="shared" si="49"/>
        <v>136.10954583606502</v>
      </c>
      <c r="CF13" s="283">
        <f t="shared" si="50"/>
        <v>0</v>
      </c>
      <c r="CG13" s="283">
        <f t="shared" si="51"/>
        <v>1231.4058529498168</v>
      </c>
      <c r="CH13" s="283"/>
      <c r="CI13" s="298"/>
      <c r="CJ13" s="283">
        <f t="shared" si="52"/>
        <v>666.23050666615813</v>
      </c>
      <c r="CK13" s="283">
        <f t="shared" si="53"/>
        <v>140.95039319003394</v>
      </c>
      <c r="CL13" s="283">
        <f t="shared" si="54"/>
        <v>184.68416814229028</v>
      </c>
      <c r="CM13" s="283">
        <f t="shared" si="55"/>
        <v>83.365612810060512</v>
      </c>
      <c r="CN13" s="283">
        <f t="shared" si="56"/>
        <v>147.61731732504808</v>
      </c>
      <c r="CO13" s="283">
        <f t="shared" si="57"/>
        <v>0</v>
      </c>
      <c r="CP13" s="283">
        <f t="shared" si="95"/>
        <v>1222.8479981335911</v>
      </c>
      <c r="CR13" s="277">
        <f t="shared" si="58"/>
        <v>0.39442064635790891</v>
      </c>
      <c r="CS13" s="277">
        <f t="shared" si="59"/>
        <v>1.4240810584428809E-2</v>
      </c>
      <c r="CT13" s="277">
        <f t="shared" si="60"/>
        <v>6.4924491605154552E-2</v>
      </c>
      <c r="CU13" s="277">
        <f t="shared" si="61"/>
        <v>2.0945754956076053E-3</v>
      </c>
      <c r="CV13" s="277">
        <f t="shared" si="62"/>
        <v>9.3773700950075603E-3</v>
      </c>
      <c r="CW13" s="277">
        <v>0</v>
      </c>
      <c r="CX13" s="277">
        <f t="shared" si="10"/>
        <v>0.48505789413810746</v>
      </c>
      <c r="CY13" s="277"/>
      <c r="CZ13" s="351"/>
      <c r="DA13" s="277">
        <f t="shared" si="63"/>
        <v>0.3795356371386594</v>
      </c>
      <c r="DB13" s="277">
        <f t="shared" si="64"/>
        <v>1.3725264759651317E-2</v>
      </c>
      <c r="DC13" s="277">
        <f t="shared" si="65"/>
        <v>7.0239941770086481E-2</v>
      </c>
      <c r="DD13" s="277">
        <f t="shared" si="66"/>
        <v>2.0187476735156191E-3</v>
      </c>
      <c r="DE13" s="277">
        <f t="shared" si="67"/>
        <v>1.0160448534981666E-2</v>
      </c>
      <c r="DF13" s="277">
        <v>0</v>
      </c>
      <c r="DG13" s="277">
        <f t="shared" si="68"/>
        <v>0.47568003987689444</v>
      </c>
      <c r="DJ13" s="277">
        <f t="shared" si="69"/>
        <v>0.39873378934045844</v>
      </c>
      <c r="DK13" s="277">
        <f t="shared" si="70"/>
        <v>1.439653938008194E-2</v>
      </c>
      <c r="DL13" s="277">
        <f t="shared" si="71"/>
        <v>6.369202059249375E-2</v>
      </c>
      <c r="DM13" s="277">
        <f t="shared" si="72"/>
        <v>2.117480492300153E-3</v>
      </c>
      <c r="DN13" s="277">
        <f t="shared" si="73"/>
        <v>9.3849756894524208E-3</v>
      </c>
      <c r="DO13" s="277">
        <f t="shared" si="74"/>
        <v>0</v>
      </c>
      <c r="DP13" s="277">
        <f t="shared" si="96"/>
        <v>0.48832480549478668</v>
      </c>
      <c r="DQ13" s="351"/>
      <c r="DS13" s="277">
        <f t="shared" si="75"/>
        <v>0.38368600676324205</v>
      </c>
      <c r="DT13" s="277">
        <f t="shared" si="76"/>
        <v>1.3875355861444214E-2</v>
      </c>
      <c r="DU13" s="277">
        <f t="shared" si="77"/>
        <v>6.9114223247339152E-2</v>
      </c>
      <c r="DV13" s="277">
        <f t="shared" si="78"/>
        <v>2.0408234635179031E-3</v>
      </c>
      <c r="DW13" s="277">
        <f t="shared" si="79"/>
        <v>1.0178455345860642E-2</v>
      </c>
      <c r="DX13" s="277">
        <f t="shared" si="97"/>
        <v>0</v>
      </c>
      <c r="DY13" s="302">
        <f t="shared" si="98"/>
        <v>0.47889486468140396</v>
      </c>
    </row>
    <row r="14" spans="2:129" x14ac:dyDescent="0.15">
      <c r="B14" s="358" t="s">
        <v>707</v>
      </c>
      <c r="C14" s="137">
        <v>5</v>
      </c>
      <c r="D14" s="137">
        <v>69</v>
      </c>
      <c r="E14" s="278">
        <f t="shared" si="0"/>
        <v>3.6200000000000003E-2</v>
      </c>
      <c r="F14" s="278">
        <f t="shared" si="1"/>
        <v>5.8999999999999999E-3</v>
      </c>
      <c r="G14" s="277">
        <f t="shared" si="80"/>
        <v>3.6280400000000004E-2</v>
      </c>
      <c r="H14" s="277">
        <f t="shared" si="2"/>
        <v>8.1630900000000006E-2</v>
      </c>
      <c r="I14" s="277">
        <f t="shared" si="81"/>
        <v>5.4420600000000006E-2</v>
      </c>
      <c r="J14" s="277">
        <f t="shared" si="3"/>
        <v>8.5803146000000011E-2</v>
      </c>
      <c r="K14" s="277">
        <f t="shared" si="4"/>
        <v>4.2085264000000004E-2</v>
      </c>
      <c r="L14" s="277"/>
      <c r="N14" s="277">
        <f t="shared" si="82"/>
        <v>0.63058257197189904</v>
      </c>
      <c r="O14" s="277">
        <f t="shared" si="83"/>
        <v>2.4690688977517583E-2</v>
      </c>
      <c r="P14" s="277">
        <f t="shared" si="84"/>
        <v>0.13399833281065276</v>
      </c>
      <c r="Q14" s="277">
        <f t="shared" si="85"/>
        <v>4.0241730653965118E-3</v>
      </c>
      <c r="R14" s="277">
        <f t="shared" si="86"/>
        <v>2.2666218815350934E-2</v>
      </c>
      <c r="S14" s="277">
        <f t="shared" si="87"/>
        <v>0.18403801435918307</v>
      </c>
      <c r="T14" s="277">
        <f t="shared" si="5"/>
        <v>0.99999999999999989</v>
      </c>
      <c r="U14" s="277">
        <f t="shared" si="6"/>
        <v>0.81596198564081679</v>
      </c>
      <c r="V14" s="290"/>
      <c r="W14" s="277"/>
      <c r="X14" s="277">
        <f t="shared" si="11"/>
        <v>0.6058699148598059</v>
      </c>
      <c r="Y14" s="277">
        <f t="shared" si="12"/>
        <v>2.3758889041450165E-2</v>
      </c>
      <c r="Z14" s="277">
        <f t="shared" si="13"/>
        <v>0.14168978088270645</v>
      </c>
      <c r="AA14" s="277">
        <f t="shared" si="14"/>
        <v>3.8723051200153583E-3</v>
      </c>
      <c r="AB14" s="277">
        <f t="shared" si="15"/>
        <v>2.4028705092156544E-2</v>
      </c>
      <c r="AC14" s="277">
        <f t="shared" si="16"/>
        <v>0.20078040500386546</v>
      </c>
      <c r="AD14" s="277">
        <f t="shared" si="17"/>
        <v>0.99999999999999989</v>
      </c>
      <c r="AE14" s="277">
        <f t="shared" si="18"/>
        <v>0.79921959499613449</v>
      </c>
      <c r="AF14" s="277"/>
      <c r="AG14" s="290"/>
      <c r="AH14" s="277">
        <f t="shared" si="19"/>
        <v>0.65945890638399995</v>
      </c>
      <c r="AI14" s="277">
        <f t="shared" si="20"/>
        <v>0.61011696920800007</v>
      </c>
      <c r="AJ14" s="277">
        <f t="shared" si="21"/>
        <v>0.64301159399200003</v>
      </c>
      <c r="AK14" s="277">
        <f t="shared" si="22"/>
        <v>0.55059336245599999</v>
      </c>
      <c r="AL14" s="277">
        <f t="shared" si="23"/>
        <v>0.55059336245599999</v>
      </c>
      <c r="AM14" s="277">
        <v>0</v>
      </c>
      <c r="AN14" s="282"/>
      <c r="AP14" s="277">
        <f t="shared" si="24"/>
        <v>0.63747823734929066</v>
      </c>
      <c r="AQ14" s="277">
        <f t="shared" si="25"/>
        <v>2.4960691252705423E-2</v>
      </c>
      <c r="AR14" s="277">
        <f t="shared" si="26"/>
        <v>0.1321911851525763</v>
      </c>
      <c r="AS14" s="277">
        <f t="shared" si="27"/>
        <v>4.068178961076298E-3</v>
      </c>
      <c r="AT14" s="277">
        <f t="shared" si="28"/>
        <v>2.2725057484517152E-2</v>
      </c>
      <c r="AU14" s="277">
        <f t="shared" si="29"/>
        <v>0.17857664979983412</v>
      </c>
      <c r="AV14" s="277">
        <f t="shared" si="7"/>
        <v>0.99999999999999989</v>
      </c>
      <c r="AW14" s="277">
        <f t="shared" si="8"/>
        <v>0.82142335020016577</v>
      </c>
      <c r="AX14" s="289"/>
      <c r="AY14" s="277">
        <f t="shared" si="88"/>
        <v>0.61249533773192444</v>
      </c>
      <c r="AZ14" s="277">
        <f t="shared" si="89"/>
        <v>2.4018701722374872E-2</v>
      </c>
      <c r="BA14" s="277">
        <f t="shared" si="90"/>
        <v>0.14005578712778163</v>
      </c>
      <c r="BB14" s="277">
        <f t="shared" si="91"/>
        <v>3.9146502807185565E-3</v>
      </c>
      <c r="BC14" s="277">
        <f t="shared" si="92"/>
        <v>2.4106420666554079E-2</v>
      </c>
      <c r="BD14" s="277">
        <f t="shared" si="93"/>
        <v>0.19540910247064633</v>
      </c>
      <c r="BE14" s="277">
        <f t="shared" si="31"/>
        <v>1</v>
      </c>
      <c r="BF14" s="277">
        <f t="shared" si="32"/>
        <v>0.80459089752935364</v>
      </c>
      <c r="BG14" s="349"/>
      <c r="BH14" s="350"/>
      <c r="BJ14" s="283">
        <f t="shared" si="33"/>
        <v>611.76576607504239</v>
      </c>
      <c r="BK14" s="283">
        <f t="shared" si="34"/>
        <v>129.65085609007122</v>
      </c>
      <c r="BL14" s="283">
        <f t="shared" si="35"/>
        <v>195.06859192437554</v>
      </c>
      <c r="BM14" s="283">
        <f t="shared" si="36"/>
        <v>76.682461287819777</v>
      </c>
      <c r="BN14" s="283">
        <f t="shared" si="37"/>
        <v>153.34598017785294</v>
      </c>
      <c r="BO14" s="283">
        <f t="shared" si="38"/>
        <v>0</v>
      </c>
      <c r="BP14" s="283">
        <f t="shared" si="9"/>
        <v>1166.5136555551619</v>
      </c>
      <c r="BQ14" s="342"/>
      <c r="BR14" s="283">
        <f t="shared" si="39"/>
        <v>587.79054334940827</v>
      </c>
      <c r="BS14" s="283">
        <f t="shared" si="40"/>
        <v>124.75797280415651</v>
      </c>
      <c r="BT14" s="283">
        <f t="shared" si="41"/>
        <v>206.26544724193431</v>
      </c>
      <c r="BU14" s="283">
        <f t="shared" si="42"/>
        <v>73.788548015875648</v>
      </c>
      <c r="BV14" s="283">
        <f t="shared" si="43"/>
        <v>162.56374143294715</v>
      </c>
      <c r="BW14" s="283">
        <f t="shared" si="94"/>
        <v>0</v>
      </c>
      <c r="BX14" s="285">
        <f t="shared" si="44"/>
        <v>1155.1662528443221</v>
      </c>
      <c r="BY14" s="285"/>
      <c r="CA14" s="283">
        <f t="shared" si="45"/>
        <v>618.45566237047183</v>
      </c>
      <c r="CB14" s="283">
        <f t="shared" si="46"/>
        <v>131.06863856492421</v>
      </c>
      <c r="CC14" s="283">
        <f t="shared" si="47"/>
        <v>192.43782972259103</v>
      </c>
      <c r="CD14" s="283">
        <f t="shared" si="48"/>
        <v>77.521013789678577</v>
      </c>
      <c r="CE14" s="283">
        <f t="shared" si="49"/>
        <v>153.74404716331517</v>
      </c>
      <c r="CF14" s="283">
        <f t="shared" si="50"/>
        <v>0</v>
      </c>
      <c r="CG14" s="283">
        <f t="shared" si="51"/>
        <v>1173.2271916109808</v>
      </c>
      <c r="CH14" s="283"/>
      <c r="CI14" s="298"/>
      <c r="CJ14" s="283">
        <f t="shared" si="52"/>
        <v>594.21826127104055</v>
      </c>
      <c r="CK14" s="283">
        <f t="shared" si="53"/>
        <v>126.12224969961362</v>
      </c>
      <c r="CL14" s="283">
        <f t="shared" si="54"/>
        <v>203.88675450523581</v>
      </c>
      <c r="CM14" s="283">
        <f t="shared" si="55"/>
        <v>74.595454451950999</v>
      </c>
      <c r="CN14" s="283">
        <f t="shared" si="56"/>
        <v>163.0895181859274</v>
      </c>
      <c r="CO14" s="283">
        <f t="shared" si="57"/>
        <v>0</v>
      </c>
      <c r="CP14" s="283">
        <f t="shared" si="95"/>
        <v>1161.9122381137684</v>
      </c>
      <c r="CR14" s="277">
        <f t="shared" si="58"/>
        <v>0.3501288945744887</v>
      </c>
      <c r="CS14" s="277">
        <f t="shared" si="59"/>
        <v>1.2683659190981128E-2</v>
      </c>
      <c r="CT14" s="277">
        <f t="shared" si="60"/>
        <v>7.2546497474280353E-2</v>
      </c>
      <c r="CU14" s="277">
        <f t="shared" si="61"/>
        <v>1.8655456147360057E-3</v>
      </c>
      <c r="CV14" s="277">
        <f t="shared" si="62"/>
        <v>1.0507715355790308E-2</v>
      </c>
      <c r="CW14" s="277">
        <v>0</v>
      </c>
      <c r="CX14" s="277">
        <f t="shared" si="10"/>
        <v>0.44773231221027648</v>
      </c>
      <c r="CY14" s="277"/>
      <c r="CZ14" s="351"/>
      <c r="DA14" s="277">
        <f t="shared" si="63"/>
        <v>0.33640727317033559</v>
      </c>
      <c r="DB14" s="277">
        <f t="shared" si="64"/>
        <v>1.2204991591465427E-2</v>
      </c>
      <c r="DC14" s="277">
        <f t="shared" si="65"/>
        <v>7.6710635985774156E-2</v>
      </c>
      <c r="DD14" s="277">
        <f t="shared" si="66"/>
        <v>1.7951419380251327E-3</v>
      </c>
      <c r="DE14" s="277">
        <f t="shared" si="67"/>
        <v>1.1139343334390241E-2</v>
      </c>
      <c r="DF14" s="277">
        <v>0</v>
      </c>
      <c r="DG14" s="277">
        <f t="shared" si="68"/>
        <v>0.43825738601999059</v>
      </c>
      <c r="DJ14" s="277">
        <f t="shared" si="69"/>
        <v>0.35395769004593935</v>
      </c>
      <c r="DK14" s="277">
        <f t="shared" si="70"/>
        <v>1.2822359931263847E-2</v>
      </c>
      <c r="DL14" s="277">
        <f t="shared" si="71"/>
        <v>7.156811042824486E-2</v>
      </c>
      <c r="DM14" s="277">
        <f t="shared" si="72"/>
        <v>1.8859460807134467E-3</v>
      </c>
      <c r="DN14" s="277">
        <f t="shared" si="73"/>
        <v>1.0534992070647281E-2</v>
      </c>
      <c r="DO14" s="277">
        <f t="shared" si="74"/>
        <v>0</v>
      </c>
      <c r="DP14" s="277">
        <f t="shared" si="96"/>
        <v>0.4507690985568088</v>
      </c>
      <c r="DQ14" s="351"/>
      <c r="DS14" s="277">
        <f t="shared" si="75"/>
        <v>0.34008601738150096</v>
      </c>
      <c r="DT14" s="277">
        <f t="shared" si="76"/>
        <v>1.2338457915606676E-2</v>
      </c>
      <c r="DU14" s="277">
        <f t="shared" si="77"/>
        <v>7.5825994204580138E-2</v>
      </c>
      <c r="DV14" s="277">
        <f t="shared" si="78"/>
        <v>1.8147725124490882E-3</v>
      </c>
      <c r="DW14" s="277">
        <f t="shared" si="79"/>
        <v>1.1175371096282664E-2</v>
      </c>
      <c r="DX14" s="277">
        <f t="shared" si="97"/>
        <v>0</v>
      </c>
      <c r="DY14" s="302">
        <f t="shared" si="98"/>
        <v>0.44124061311041951</v>
      </c>
    </row>
    <row r="15" spans="2:129" x14ac:dyDescent="0.15">
      <c r="B15" s="358" t="s">
        <v>707</v>
      </c>
      <c r="C15" s="137">
        <v>6</v>
      </c>
      <c r="D15" s="137">
        <v>70</v>
      </c>
      <c r="E15" s="278">
        <f t="shared" si="0"/>
        <v>3.6200000000000003E-2</v>
      </c>
      <c r="F15" s="278">
        <f t="shared" si="1"/>
        <v>5.8999999999999999E-3</v>
      </c>
      <c r="G15" s="277">
        <f t="shared" si="80"/>
        <v>4.0075439999999997E-2</v>
      </c>
      <c r="H15" s="277">
        <f t="shared" si="2"/>
        <v>9.0169739999999998E-2</v>
      </c>
      <c r="I15" s="277">
        <f t="shared" si="81"/>
        <v>6.0113159999999999E-2</v>
      </c>
      <c r="J15" s="277">
        <f t="shared" si="3"/>
        <v>9.4778415599999999E-2</v>
      </c>
      <c r="K15" s="277">
        <f t="shared" si="4"/>
        <v>4.6487510399999994E-2</v>
      </c>
      <c r="L15" s="277"/>
      <c r="N15" s="277">
        <f t="shared" si="82"/>
        <v>0.58115725774771276</v>
      </c>
      <c r="O15" s="277">
        <f t="shared" si="83"/>
        <v>2.2827089105382746E-2</v>
      </c>
      <c r="P15" s="277">
        <f t="shared" si="84"/>
        <v>0.14938122895476011</v>
      </c>
      <c r="Q15" s="277">
        <f t="shared" si="85"/>
        <v>3.7204371746342043E-3</v>
      </c>
      <c r="R15" s="277">
        <f t="shared" si="86"/>
        <v>2.5391191368962153E-2</v>
      </c>
      <c r="S15" s="277">
        <f t="shared" si="87"/>
        <v>0.21752279564854787</v>
      </c>
      <c r="T15" s="277">
        <f t="shared" si="5"/>
        <v>1</v>
      </c>
      <c r="U15" s="277">
        <f t="shared" si="6"/>
        <v>0.78247720435145207</v>
      </c>
      <c r="V15" s="290"/>
      <c r="W15" s="277"/>
      <c r="X15" s="277">
        <f t="shared" si="11"/>
        <v>0.55727883106540688</v>
      </c>
      <c r="Y15" s="277">
        <f t="shared" si="12"/>
        <v>2.1932490917924975E-2</v>
      </c>
      <c r="Z15" s="277">
        <f t="shared" si="13"/>
        <v>0.15527572830407982</v>
      </c>
      <c r="AA15" s="277">
        <f t="shared" si="14"/>
        <v>3.5746324976728546E-3</v>
      </c>
      <c r="AB15" s="277">
        <f t="shared" si="15"/>
        <v>2.6484914749487162E-2</v>
      </c>
      <c r="AC15" s="277">
        <f t="shared" si="16"/>
        <v>0.23545340246542812</v>
      </c>
      <c r="AD15" s="277">
        <f t="shared" si="17"/>
        <v>0.99999999999999978</v>
      </c>
      <c r="AE15" s="277">
        <f t="shared" si="18"/>
        <v>0.76454659753457166</v>
      </c>
      <c r="AF15" s="277"/>
      <c r="AG15" s="290"/>
      <c r="AH15" s="277">
        <f t="shared" si="19"/>
        <v>0.65527714706400009</v>
      </c>
      <c r="AI15" s="277">
        <f t="shared" si="20"/>
        <v>0.60624809686800019</v>
      </c>
      <c r="AJ15" s="277">
        <f t="shared" si="21"/>
        <v>0.63893413033199997</v>
      </c>
      <c r="AK15" s="277">
        <f t="shared" si="22"/>
        <v>0.54710194107599996</v>
      </c>
      <c r="AL15" s="277">
        <f t="shared" si="23"/>
        <v>0.54710194107599996</v>
      </c>
      <c r="AM15" s="277">
        <v>0</v>
      </c>
      <c r="AN15" s="282"/>
      <c r="AP15" s="277">
        <f t="shared" si="24"/>
        <v>0.58751243811455833</v>
      </c>
      <c r="AQ15" s="277">
        <f t="shared" si="25"/>
        <v>2.3076712192044324E-2</v>
      </c>
      <c r="AR15" s="277">
        <f t="shared" si="26"/>
        <v>0.14792038910298697</v>
      </c>
      <c r="AS15" s="277">
        <f t="shared" si="27"/>
        <v>3.761121600360815E-3</v>
      </c>
      <c r="AT15" s="277">
        <f t="shared" si="28"/>
        <v>2.548778384859101E-2</v>
      </c>
      <c r="AU15" s="277">
        <f t="shared" si="29"/>
        <v>0.21224155514145854</v>
      </c>
      <c r="AV15" s="277">
        <f t="shared" si="7"/>
        <v>1</v>
      </c>
      <c r="AW15" s="277">
        <f t="shared" si="8"/>
        <v>0.78775844485854141</v>
      </c>
      <c r="AX15" s="289"/>
      <c r="AY15" s="277">
        <f t="shared" si="88"/>
        <v>0.56337289156079007</v>
      </c>
      <c r="AZ15" s="277">
        <f t="shared" si="89"/>
        <v>2.2172331225895667E-2</v>
      </c>
      <c r="BA15" s="277">
        <f t="shared" si="90"/>
        <v>0.15397235362109835</v>
      </c>
      <c r="BB15" s="277">
        <f t="shared" si="91"/>
        <v>3.6137224926183547E-3</v>
      </c>
      <c r="BC15" s="277">
        <f t="shared" si="92"/>
        <v>2.6597676267323688E-2</v>
      </c>
      <c r="BD15" s="277">
        <f t="shared" si="93"/>
        <v>0.23027102483227391</v>
      </c>
      <c r="BE15" s="277">
        <f t="shared" si="31"/>
        <v>1</v>
      </c>
      <c r="BF15" s="277">
        <f t="shared" si="32"/>
        <v>0.7697289751677262</v>
      </c>
      <c r="BG15" s="349"/>
      <c r="BH15" s="350"/>
      <c r="BJ15" s="283">
        <f t="shared" si="33"/>
        <v>544.74910205195567</v>
      </c>
      <c r="BK15" s="283">
        <f t="shared" si="34"/>
        <v>115.81168069395342</v>
      </c>
      <c r="BL15" s="283">
        <f t="shared" si="35"/>
        <v>210.10850488839904</v>
      </c>
      <c r="BM15" s="283">
        <f t="shared" si="36"/>
        <v>68.497231636648806</v>
      </c>
      <c r="BN15" s="283">
        <f t="shared" si="37"/>
        <v>165.97246636525736</v>
      </c>
      <c r="BO15" s="283">
        <f t="shared" si="38"/>
        <v>0</v>
      </c>
      <c r="BP15" s="283">
        <f t="shared" si="9"/>
        <v>1105.1389856362143</v>
      </c>
      <c r="BQ15" s="342"/>
      <c r="BR15" s="283">
        <f t="shared" si="39"/>
        <v>522.36660347659347</v>
      </c>
      <c r="BS15" s="283">
        <f t="shared" si="40"/>
        <v>111.27299776522125</v>
      </c>
      <c r="BT15" s="283">
        <f t="shared" si="41"/>
        <v>218.39926842018309</v>
      </c>
      <c r="BU15" s="283">
        <f t="shared" si="42"/>
        <v>65.812811429362213</v>
      </c>
      <c r="BV15" s="283">
        <f t="shared" si="43"/>
        <v>173.12171605383165</v>
      </c>
      <c r="BW15" s="283">
        <f t="shared" si="94"/>
        <v>0</v>
      </c>
      <c r="BX15" s="285">
        <f t="shared" si="44"/>
        <v>1090.9733971451917</v>
      </c>
      <c r="BY15" s="285"/>
      <c r="CA15" s="283">
        <f t="shared" si="45"/>
        <v>550.70614509334223</v>
      </c>
      <c r="CB15" s="283">
        <f t="shared" si="46"/>
        <v>117.07812640995463</v>
      </c>
      <c r="CC15" s="283">
        <f t="shared" si="47"/>
        <v>208.05379641341122</v>
      </c>
      <c r="CD15" s="283">
        <f t="shared" si="48"/>
        <v>69.246275472679628</v>
      </c>
      <c r="CE15" s="283">
        <f t="shared" si="49"/>
        <v>166.60385430776779</v>
      </c>
      <c r="CF15" s="283">
        <f t="shared" si="50"/>
        <v>0</v>
      </c>
      <c r="CG15" s="283">
        <f t="shared" si="51"/>
        <v>1111.6881976971554</v>
      </c>
      <c r="CH15" s="283"/>
      <c r="CI15" s="298"/>
      <c r="CJ15" s="283">
        <f t="shared" si="52"/>
        <v>528.07888520146776</v>
      </c>
      <c r="CK15" s="283">
        <f t="shared" si="53"/>
        <v>112.48981122032322</v>
      </c>
      <c r="CL15" s="283">
        <f t="shared" si="54"/>
        <v>216.56603871745006</v>
      </c>
      <c r="CM15" s="283">
        <f t="shared" si="55"/>
        <v>66.53250008765022</v>
      </c>
      <c r="CN15" s="283">
        <f t="shared" si="56"/>
        <v>173.85879478930585</v>
      </c>
      <c r="CO15" s="283">
        <f t="shared" si="57"/>
        <v>0</v>
      </c>
      <c r="CP15" s="283">
        <f t="shared" si="95"/>
        <v>1097.526030016197</v>
      </c>
      <c r="CR15" s="277">
        <f t="shared" si="58"/>
        <v>0.3097965586896545</v>
      </c>
      <c r="CS15" s="277">
        <f t="shared" si="59"/>
        <v>1.1257937249153738E-2</v>
      </c>
      <c r="CT15" s="277">
        <f t="shared" si="60"/>
        <v>7.7644378319647295E-2</v>
      </c>
      <c r="CU15" s="277">
        <f t="shared" si="61"/>
        <v>1.655846719775138E-3</v>
      </c>
      <c r="CV15" s="277">
        <f t="shared" si="62"/>
        <v>1.1300801213935984E-2</v>
      </c>
      <c r="CW15" s="277">
        <v>0</v>
      </c>
      <c r="CX15" s="277">
        <f t="shared" si="10"/>
        <v>0.41165552219216667</v>
      </c>
      <c r="CY15" s="277"/>
      <c r="CZ15" s="351"/>
      <c r="DA15" s="277">
        <f t="shared" si="63"/>
        <v>0.29706772442925039</v>
      </c>
      <c r="DB15" s="277">
        <f t="shared" si="64"/>
        <v>1.0816736436771952E-2</v>
      </c>
      <c r="DC15" s="277">
        <f t="shared" si="65"/>
        <v>8.0708181855646446E-2</v>
      </c>
      <c r="DD15" s="277">
        <f t="shared" si="66"/>
        <v>1.5909537556578063E-3</v>
      </c>
      <c r="DE15" s="277">
        <f t="shared" si="67"/>
        <v>1.178758225255459E-2</v>
      </c>
      <c r="DF15" s="277">
        <v>0</v>
      </c>
      <c r="DG15" s="277">
        <f t="shared" si="68"/>
        <v>0.4019711787298812</v>
      </c>
      <c r="DJ15" s="277">
        <f t="shared" si="69"/>
        <v>0.31318430440091172</v>
      </c>
      <c r="DK15" s="277">
        <f t="shared" si="70"/>
        <v>1.1381047166173925E-2</v>
      </c>
      <c r="DL15" s="277">
        <f t="shared" si="71"/>
        <v>7.68850727301221E-2</v>
      </c>
      <c r="DM15" s="277">
        <f t="shared" si="72"/>
        <v>1.6739540468776223E-3</v>
      </c>
      <c r="DN15" s="277">
        <f t="shared" si="73"/>
        <v>1.1343791414560487E-2</v>
      </c>
      <c r="DO15" s="277">
        <f t="shared" si="74"/>
        <v>0</v>
      </c>
      <c r="DP15" s="277">
        <f t="shared" si="96"/>
        <v>0.41446816975864592</v>
      </c>
      <c r="DQ15" s="351"/>
      <c r="DS15" s="277">
        <f t="shared" si="75"/>
        <v>0.30031627539329225</v>
      </c>
      <c r="DT15" s="277">
        <f t="shared" si="76"/>
        <v>1.0935021651522136E-2</v>
      </c>
      <c r="DU15" s="277">
        <f t="shared" si="77"/>
        <v>8.0030722460742734E-2</v>
      </c>
      <c r="DV15" s="277">
        <f t="shared" si="78"/>
        <v>1.6083514529896788E-3</v>
      </c>
      <c r="DW15" s="277">
        <f t="shared" si="79"/>
        <v>1.183776877114426E-2</v>
      </c>
      <c r="DX15" s="277">
        <f t="shared" si="97"/>
        <v>0</v>
      </c>
      <c r="DY15" s="302">
        <f t="shared" si="98"/>
        <v>0.40472813972969107</v>
      </c>
    </row>
    <row r="16" spans="2:129" x14ac:dyDescent="0.15">
      <c r="B16" s="358" t="s">
        <v>707</v>
      </c>
      <c r="C16" s="137">
        <v>7</v>
      </c>
      <c r="D16" s="137">
        <v>71</v>
      </c>
      <c r="E16" s="278">
        <f t="shared" si="0"/>
        <v>3.6200000000000003E-2</v>
      </c>
      <c r="F16" s="278">
        <f t="shared" si="1"/>
        <v>5.8999999999999999E-3</v>
      </c>
      <c r="G16" s="277">
        <f t="shared" si="80"/>
        <v>4.4083120000000003E-2</v>
      </c>
      <c r="H16" s="277">
        <f t="shared" si="2"/>
        <v>9.9187020000000015E-2</v>
      </c>
      <c r="I16" s="277">
        <f t="shared" si="81"/>
        <v>6.6124680000000005E-2</v>
      </c>
      <c r="J16" s="277">
        <f t="shared" si="3"/>
        <v>0.10425657880000001</v>
      </c>
      <c r="K16" s="277">
        <f t="shared" si="4"/>
        <v>5.1136419199999998E-2</v>
      </c>
      <c r="L16" s="277"/>
      <c r="N16" s="277">
        <f t="shared" si="82"/>
        <v>0.5334004043831011</v>
      </c>
      <c r="O16" s="277">
        <f t="shared" si="83"/>
        <v>2.1037892730467203E-2</v>
      </c>
      <c r="P16" s="277">
        <f t="shared" si="84"/>
        <v>0.16117022765339953</v>
      </c>
      <c r="Q16" s="277">
        <f t="shared" si="85"/>
        <v>3.428827820711505E-3</v>
      </c>
      <c r="R16" s="277">
        <f t="shared" si="86"/>
        <v>2.757863813001217E-2</v>
      </c>
      <c r="S16" s="277">
        <f t="shared" si="87"/>
        <v>0.25338400928230836</v>
      </c>
      <c r="T16" s="277">
        <f t="shared" si="5"/>
        <v>0.99999999999999978</v>
      </c>
      <c r="U16" s="277">
        <f t="shared" si="6"/>
        <v>0.74661599071769147</v>
      </c>
      <c r="V16" s="290"/>
      <c r="W16" s="277"/>
      <c r="X16" s="277">
        <f t="shared" si="11"/>
        <v>0.5104153488536024</v>
      </c>
      <c r="Y16" s="277">
        <f t="shared" si="12"/>
        <v>2.0173493684567733E-2</v>
      </c>
      <c r="Z16" s="277">
        <f t="shared" si="13"/>
        <v>0.16531716621057169</v>
      </c>
      <c r="AA16" s="277">
        <f t="shared" si="14"/>
        <v>3.2879451032859007E-3</v>
      </c>
      <c r="AB16" s="277">
        <f t="shared" si="15"/>
        <v>2.8409176711236397E-2</v>
      </c>
      <c r="AC16" s="277">
        <f t="shared" si="16"/>
        <v>0.27239686943673574</v>
      </c>
      <c r="AD16" s="277">
        <f t="shared" si="17"/>
        <v>0.99999999999999978</v>
      </c>
      <c r="AE16" s="277">
        <f t="shared" si="18"/>
        <v>0.7276031305632642</v>
      </c>
      <c r="AF16" s="277"/>
      <c r="AG16" s="290"/>
      <c r="AH16" s="277">
        <f t="shared" si="19"/>
        <v>0.65103947894400005</v>
      </c>
      <c r="AI16" s="277">
        <f t="shared" si="20"/>
        <v>0.60232749892800008</v>
      </c>
      <c r="AJ16" s="277">
        <f t="shared" si="21"/>
        <v>0.6348021522720001</v>
      </c>
      <c r="AK16" s="277">
        <f t="shared" si="22"/>
        <v>0.54356384049600004</v>
      </c>
      <c r="AL16" s="277">
        <f t="shared" si="23"/>
        <v>0.54356384049600004</v>
      </c>
      <c r="AM16" s="277">
        <v>0</v>
      </c>
      <c r="AN16" s="282"/>
      <c r="AP16" s="277">
        <f t="shared" si="24"/>
        <v>0.53923334500702169</v>
      </c>
      <c r="AQ16" s="277">
        <f t="shared" si="25"/>
        <v>2.1267950259747013E-2</v>
      </c>
      <c r="AR16" s="277">
        <f t="shared" si="26"/>
        <v>0.16002431813920973</v>
      </c>
      <c r="AS16" s="277">
        <f t="shared" si="27"/>
        <v>3.4663233848758941E-3</v>
      </c>
      <c r="AT16" s="277">
        <f t="shared" si="28"/>
        <v>2.7707568686056366E-2</v>
      </c>
      <c r="AU16" s="277">
        <f t="shared" si="29"/>
        <v>0.24830049452308928</v>
      </c>
      <c r="AV16" s="277">
        <f t="shared" si="7"/>
        <v>1</v>
      </c>
      <c r="AW16" s="277">
        <f t="shared" si="8"/>
        <v>0.75169950547691067</v>
      </c>
      <c r="AX16" s="289"/>
      <c r="AY16" s="277">
        <f t="shared" si="88"/>
        <v>0.51599693896665089</v>
      </c>
      <c r="AZ16" s="277">
        <f t="shared" si="89"/>
        <v>2.0394098674500601E-2</v>
      </c>
      <c r="BA16" s="277">
        <f t="shared" si="90"/>
        <v>0.16431276255061023</v>
      </c>
      <c r="BB16" s="277">
        <f t="shared" si="91"/>
        <v>3.3239000602086613E-3</v>
      </c>
      <c r="BC16" s="277">
        <f t="shared" si="92"/>
        <v>2.8551603946262029E-2</v>
      </c>
      <c r="BD16" s="277">
        <f t="shared" si="93"/>
        <v>0.26742069580176753</v>
      </c>
      <c r="BE16" s="277">
        <f t="shared" si="31"/>
        <v>0.99999999999999989</v>
      </c>
      <c r="BF16" s="277">
        <f t="shared" si="32"/>
        <v>0.73257930419823236</v>
      </c>
      <c r="BG16" s="349"/>
      <c r="BH16" s="350"/>
      <c r="BJ16" s="283">
        <f t="shared" si="33"/>
        <v>483.07642985626217</v>
      </c>
      <c r="BK16" s="283">
        <f t="shared" si="34"/>
        <v>103.12494187100394</v>
      </c>
      <c r="BL16" s="283">
        <f t="shared" si="35"/>
        <v>219.0241854608378</v>
      </c>
      <c r="BM16" s="283">
        <f t="shared" si="36"/>
        <v>60.993614707319431</v>
      </c>
      <c r="BN16" s="283">
        <f t="shared" si="37"/>
        <v>174.17484612792845</v>
      </c>
      <c r="BO16" s="283">
        <f t="shared" si="38"/>
        <v>0</v>
      </c>
      <c r="BP16" s="283">
        <f t="shared" si="9"/>
        <v>1040.3940180233517</v>
      </c>
      <c r="BQ16" s="342"/>
      <c r="BR16" s="283">
        <f t="shared" si="39"/>
        <v>462.25991289452526</v>
      </c>
      <c r="BS16" s="283">
        <f t="shared" si="40"/>
        <v>98.887773134391864</v>
      </c>
      <c r="BT16" s="283">
        <f t="shared" si="41"/>
        <v>224.65971661857773</v>
      </c>
      <c r="BU16" s="283">
        <f t="shared" si="42"/>
        <v>58.487526144437211</v>
      </c>
      <c r="BV16" s="283">
        <f t="shared" si="43"/>
        <v>179.42017147380236</v>
      </c>
      <c r="BW16" s="283">
        <f t="shared" si="94"/>
        <v>0</v>
      </c>
      <c r="BX16" s="285">
        <f t="shared" si="44"/>
        <v>1023.7151002657345</v>
      </c>
      <c r="BY16" s="285"/>
      <c r="CA16" s="283">
        <f t="shared" si="45"/>
        <v>488.35905827013818</v>
      </c>
      <c r="CB16" s="283">
        <f t="shared" si="46"/>
        <v>104.25265316975056</v>
      </c>
      <c r="CC16" s="283">
        <f t="shared" si="47"/>
        <v>217.46693818501345</v>
      </c>
      <c r="CD16" s="283">
        <f t="shared" si="48"/>
        <v>61.660603577411415</v>
      </c>
      <c r="CE16" s="283">
        <f t="shared" si="49"/>
        <v>174.98911620371396</v>
      </c>
      <c r="CF16" s="283">
        <f t="shared" si="50"/>
        <v>0</v>
      </c>
      <c r="CG16" s="283">
        <f t="shared" si="51"/>
        <v>1046.7283694060275</v>
      </c>
      <c r="CH16" s="283"/>
      <c r="CI16" s="298"/>
      <c r="CJ16" s="283">
        <f t="shared" si="52"/>
        <v>467.31490460914699</v>
      </c>
      <c r="CK16" s="283">
        <f t="shared" si="53"/>
        <v>99.969149347054724</v>
      </c>
      <c r="CL16" s="283">
        <f t="shared" si="54"/>
        <v>223.29477039556915</v>
      </c>
      <c r="CM16" s="283">
        <f t="shared" si="55"/>
        <v>59.127109962591739</v>
      </c>
      <c r="CN16" s="283">
        <f t="shared" si="56"/>
        <v>180.31968078343789</v>
      </c>
      <c r="CO16" s="283">
        <f t="shared" si="57"/>
        <v>0</v>
      </c>
      <c r="CP16" s="283">
        <f t="shared" si="95"/>
        <v>1030.0256150978003</v>
      </c>
      <c r="CR16" s="277">
        <f t="shared" si="58"/>
        <v>0.27294693193612651</v>
      </c>
      <c r="CS16" s="277">
        <f t="shared" si="59"/>
        <v>9.9598426869767828E-3</v>
      </c>
      <c r="CT16" s="277">
        <f t="shared" si="60"/>
        <v>8.0415684190332848E-2</v>
      </c>
      <c r="CU16" s="277">
        <f t="shared" si="61"/>
        <v>1.4649195920812769E-3</v>
      </c>
      <c r="CV16" s="277">
        <f t="shared" si="62"/>
        <v>1.1782594353539514E-2</v>
      </c>
      <c r="CW16" s="277">
        <v>0</v>
      </c>
      <c r="CX16" s="277">
        <f t="shared" si="10"/>
        <v>0.37656997275905696</v>
      </c>
      <c r="CY16" s="277"/>
      <c r="CZ16" s="351"/>
      <c r="DA16" s="277">
        <f t="shared" si="63"/>
        <v>0.26118522284178497</v>
      </c>
      <c r="DB16" s="277">
        <f t="shared" si="64"/>
        <v>9.550615459410234E-3</v>
      </c>
      <c r="DC16" s="277">
        <f t="shared" si="65"/>
        <v>8.2484794014309928E-2</v>
      </c>
      <c r="DD16" s="277">
        <f t="shared" si="66"/>
        <v>1.4047293860593273E-3</v>
      </c>
      <c r="DE16" s="277">
        <f t="shared" si="67"/>
        <v>1.2137430555073336E-2</v>
      </c>
      <c r="DF16" s="277">
        <v>0</v>
      </c>
      <c r="DG16" s="277">
        <f t="shared" si="68"/>
        <v>0.36676279225663777</v>
      </c>
      <c r="DJ16" s="277">
        <f t="shared" si="69"/>
        <v>0.27593171266441646</v>
      </c>
      <c r="DK16" s="277">
        <f t="shared" si="70"/>
        <v>1.0068757435708394E-2</v>
      </c>
      <c r="DL16" s="277">
        <f t="shared" si="71"/>
        <v>7.9843934066594402E-2</v>
      </c>
      <c r="DM16" s="277">
        <f t="shared" si="72"/>
        <v>1.4809390568758538E-3</v>
      </c>
      <c r="DN16" s="277">
        <f t="shared" si="73"/>
        <v>1.1837678162771989E-2</v>
      </c>
      <c r="DO16" s="277">
        <f t="shared" si="74"/>
        <v>0</v>
      </c>
      <c r="DP16" s="277">
        <f t="shared" si="96"/>
        <v>0.37916302138636709</v>
      </c>
      <c r="DQ16" s="351"/>
      <c r="DS16" s="277">
        <f t="shared" si="75"/>
        <v>0.26404138471223493</v>
      </c>
      <c r="DT16" s="277">
        <f t="shared" si="76"/>
        <v>9.6550551494420916E-3</v>
      </c>
      <c r="DU16" s="277">
        <f t="shared" si="77"/>
        <v>8.1983648060152861E-2</v>
      </c>
      <c r="DV16" s="277">
        <f t="shared" si="78"/>
        <v>1.4200906475698748E-3</v>
      </c>
      <c r="DW16" s="277">
        <f t="shared" si="79"/>
        <v>1.2198280635026232E-2</v>
      </c>
      <c r="DX16" s="277">
        <f t="shared" si="97"/>
        <v>0</v>
      </c>
      <c r="DY16" s="302">
        <f t="shared" si="98"/>
        <v>0.36929845920442594</v>
      </c>
    </row>
    <row r="17" spans="2:129" x14ac:dyDescent="0.15">
      <c r="B17" s="358" t="s">
        <v>707</v>
      </c>
      <c r="C17" s="137">
        <v>8</v>
      </c>
      <c r="D17" s="137">
        <v>72</v>
      </c>
      <c r="E17" s="278">
        <f t="shared" si="0"/>
        <v>3.6200000000000003E-2</v>
      </c>
      <c r="F17" s="278">
        <f t="shared" si="1"/>
        <v>5.8999999999999999E-3</v>
      </c>
      <c r="G17" s="277">
        <f t="shared" si="80"/>
        <v>4.9170400000000003E-2</v>
      </c>
      <c r="H17" s="277">
        <f t="shared" si="2"/>
        <v>0.11063339999999999</v>
      </c>
      <c r="I17" s="277">
        <f t="shared" si="81"/>
        <v>7.3755600000000004E-2</v>
      </c>
      <c r="J17" s="277">
        <f t="shared" si="3"/>
        <v>0.116287996</v>
      </c>
      <c r="K17" s="277">
        <f t="shared" si="4"/>
        <v>5.7037663999999995E-2</v>
      </c>
      <c r="L17" s="277"/>
      <c r="N17" s="277">
        <f t="shared" si="82"/>
        <v>0.48743029332410376</v>
      </c>
      <c r="O17" s="277">
        <f t="shared" si="83"/>
        <v>1.9309094638668263E-2</v>
      </c>
      <c r="P17" s="277">
        <f t="shared" si="84"/>
        <v>0.16946410476774385</v>
      </c>
      <c r="Q17" s="277">
        <f t="shared" si="85"/>
        <v>3.1470623858602964E-3</v>
      </c>
      <c r="R17" s="277">
        <f t="shared" si="86"/>
        <v>2.9239715292460625E-2</v>
      </c>
      <c r="S17" s="277">
        <f t="shared" si="87"/>
        <v>0.29140972959116312</v>
      </c>
      <c r="T17" s="277">
        <f t="shared" si="5"/>
        <v>1</v>
      </c>
      <c r="U17" s="277">
        <f t="shared" si="6"/>
        <v>0.70859027040883682</v>
      </c>
      <c r="V17" s="290"/>
      <c r="W17" s="277"/>
      <c r="X17" s="277">
        <f t="shared" si="11"/>
        <v>0.4651863144021996</v>
      </c>
      <c r="Y17" s="277">
        <f t="shared" si="12"/>
        <v>1.8477035628500411E-2</v>
      </c>
      <c r="Z17" s="277">
        <f t="shared" si="13"/>
        <v>0.17180107332887523</v>
      </c>
      <c r="AA17" s="277">
        <f t="shared" si="14"/>
        <v>3.0114505582362542E-3</v>
      </c>
      <c r="AB17" s="277">
        <f t="shared" si="15"/>
        <v>2.9796381168167921E-2</v>
      </c>
      <c r="AC17" s="277">
        <f t="shared" si="16"/>
        <v>0.3117277449140205</v>
      </c>
      <c r="AD17" s="277">
        <f t="shared" si="17"/>
        <v>0.99999999999999989</v>
      </c>
      <c r="AE17" s="277">
        <f t="shared" si="18"/>
        <v>0.68827225508597945</v>
      </c>
      <c r="AF17" s="277"/>
      <c r="AG17" s="290"/>
      <c r="AH17" s="277">
        <f t="shared" si="19"/>
        <v>0.64674590202400006</v>
      </c>
      <c r="AI17" s="277">
        <f t="shared" si="20"/>
        <v>0.59835517538800009</v>
      </c>
      <c r="AJ17" s="277">
        <f t="shared" si="21"/>
        <v>0.63061565981199996</v>
      </c>
      <c r="AK17" s="277">
        <f t="shared" si="22"/>
        <v>0.53997906071599999</v>
      </c>
      <c r="AL17" s="277">
        <f t="shared" si="23"/>
        <v>0.53997906071599999</v>
      </c>
      <c r="AM17" s="277">
        <v>0</v>
      </c>
      <c r="AN17" s="282"/>
      <c r="AP17" s="277">
        <f t="shared" si="24"/>
        <v>0.49276053292628014</v>
      </c>
      <c r="AQ17" s="277">
        <f t="shared" si="25"/>
        <v>1.9520247089254188E-2</v>
      </c>
      <c r="AR17" s="277">
        <f t="shared" si="26"/>
        <v>0.16860120696201075</v>
      </c>
      <c r="AS17" s="277">
        <f t="shared" si="27"/>
        <v>3.181476735541428E-3</v>
      </c>
      <c r="AT17" s="277">
        <f t="shared" si="28"/>
        <v>2.9395639206467695E-2</v>
      </c>
      <c r="AU17" s="277">
        <f t="shared" si="29"/>
        <v>0.28654089708044572</v>
      </c>
      <c r="AV17" s="277">
        <f t="shared" si="7"/>
        <v>1</v>
      </c>
      <c r="AW17" s="277">
        <f t="shared" si="8"/>
        <v>0.71345910291955428</v>
      </c>
      <c r="AX17" s="289"/>
      <c r="AY17" s="277">
        <f t="shared" si="88"/>
        <v>0.4702733074540828</v>
      </c>
      <c r="AZ17" s="277">
        <f t="shared" si="89"/>
        <v>1.8679089190592767E-2</v>
      </c>
      <c r="BA17" s="277">
        <f t="shared" si="90"/>
        <v>0.17106389326437205</v>
      </c>
      <c r="BB17" s="277">
        <f t="shared" si="91"/>
        <v>3.0443819399032404E-3</v>
      </c>
      <c r="BC17" s="277">
        <f t="shared" si="92"/>
        <v>2.9963064501228175E-2</v>
      </c>
      <c r="BD17" s="277">
        <f t="shared" si="93"/>
        <v>0.30697626364982089</v>
      </c>
      <c r="BE17" s="277">
        <f t="shared" si="31"/>
        <v>0.99999999999999989</v>
      </c>
      <c r="BF17" s="277">
        <f t="shared" si="32"/>
        <v>0.693023736350179</v>
      </c>
      <c r="BG17" s="349"/>
      <c r="BH17" s="350"/>
      <c r="BJ17" s="283">
        <f t="shared" si="33"/>
        <v>426.51535838916755</v>
      </c>
      <c r="BK17" s="283">
        <f t="shared" si="34"/>
        <v>91.449859321526375</v>
      </c>
      <c r="BL17" s="283">
        <f t="shared" si="35"/>
        <v>222.50748577422007</v>
      </c>
      <c r="BM17" s="283">
        <f t="shared" si="36"/>
        <v>54.08834548942513</v>
      </c>
      <c r="BN17" s="283">
        <f t="shared" si="37"/>
        <v>178.42076987408342</v>
      </c>
      <c r="BO17" s="283">
        <f t="shared" si="38"/>
        <v>0</v>
      </c>
      <c r="BP17" s="283">
        <f t="shared" si="9"/>
        <v>972.98181884842256</v>
      </c>
      <c r="BQ17" s="342"/>
      <c r="BR17" s="283">
        <f t="shared" si="39"/>
        <v>407.05124470600617</v>
      </c>
      <c r="BS17" s="283">
        <f t="shared" si="40"/>
        <v>87.509142221581271</v>
      </c>
      <c r="BT17" s="283">
        <f t="shared" si="41"/>
        <v>225.57594088796469</v>
      </c>
      <c r="BU17" s="283">
        <f t="shared" si="42"/>
        <v>51.757594304466835</v>
      </c>
      <c r="BV17" s="283">
        <f t="shared" si="43"/>
        <v>181.81754556471185</v>
      </c>
      <c r="BW17" s="283">
        <f t="shared" si="94"/>
        <v>0</v>
      </c>
      <c r="BX17" s="285">
        <f t="shared" si="44"/>
        <v>953.71146768473079</v>
      </c>
      <c r="BY17" s="285"/>
      <c r="CA17" s="283">
        <f t="shared" si="45"/>
        <v>431.17946951512653</v>
      </c>
      <c r="CB17" s="283">
        <f t="shared" si="46"/>
        <v>92.449899057351629</v>
      </c>
      <c r="CC17" s="283">
        <f t="shared" si="47"/>
        <v>221.37449527161831</v>
      </c>
      <c r="CD17" s="283">
        <f t="shared" si="48"/>
        <v>54.67982255823388</v>
      </c>
      <c r="CE17" s="283">
        <f t="shared" si="49"/>
        <v>179.37221774218543</v>
      </c>
      <c r="CF17" s="283">
        <f t="shared" si="50"/>
        <v>0</v>
      </c>
      <c r="CG17" s="283">
        <f t="shared" si="51"/>
        <v>979.05590414451581</v>
      </c>
      <c r="CH17" s="283"/>
      <c r="CI17" s="298"/>
      <c r="CJ17" s="283">
        <f t="shared" si="52"/>
        <v>411.50250818790983</v>
      </c>
      <c r="CK17" s="283">
        <f t="shared" si="53"/>
        <v>88.466088685127815</v>
      </c>
      <c r="CL17" s="283">
        <f t="shared" si="54"/>
        <v>224.60801860766654</v>
      </c>
      <c r="CM17" s="283">
        <f t="shared" si="55"/>
        <v>52.323583703676391</v>
      </c>
      <c r="CN17" s="283">
        <f t="shared" si="56"/>
        <v>182.83464741787034</v>
      </c>
      <c r="CO17" s="283">
        <f t="shared" si="57"/>
        <v>0</v>
      </c>
      <c r="CP17" s="283">
        <f t="shared" si="95"/>
        <v>959.73484660225085</v>
      </c>
      <c r="CR17" s="277">
        <f t="shared" si="58"/>
        <v>0.2393995908903242</v>
      </c>
      <c r="CS17" s="277">
        <f t="shared" si="59"/>
        <v>8.7740107979111196E-3</v>
      </c>
      <c r="CT17" s="277">
        <f t="shared" si="60"/>
        <v>8.1155820808306578E-2</v>
      </c>
      <c r="CU17" s="277">
        <f t="shared" si="61"/>
        <v>1.2905043506158179E-3</v>
      </c>
      <c r="CV17" s="277">
        <f t="shared" si="62"/>
        <v>1.1990222998192376E-2</v>
      </c>
      <c r="CW17" s="277">
        <v>0</v>
      </c>
      <c r="CX17" s="277">
        <f t="shared" si="10"/>
        <v>0.3426101498453501</v>
      </c>
      <c r="CY17" s="277"/>
      <c r="CZ17" s="351"/>
      <c r="DA17" s="277">
        <f t="shared" si="63"/>
        <v>0.22847454268012601</v>
      </c>
      <c r="DB17" s="277">
        <f t="shared" si="64"/>
        <v>8.3959249851722848E-3</v>
      </c>
      <c r="DC17" s="277">
        <f t="shared" si="65"/>
        <v>8.2274987619719284E-2</v>
      </c>
      <c r="DD17" s="277">
        <f t="shared" si="66"/>
        <v>1.2348945049609954E-3</v>
      </c>
      <c r="DE17" s="277">
        <f t="shared" si="67"/>
        <v>1.2218492935791105E-2</v>
      </c>
      <c r="DF17" s="277">
        <v>0</v>
      </c>
      <c r="DG17" s="277">
        <f t="shared" si="68"/>
        <v>0.33259884272576967</v>
      </c>
      <c r="DJ17" s="277">
        <f t="shared" si="69"/>
        <v>0.24201751841264982</v>
      </c>
      <c r="DK17" s="277">
        <f t="shared" si="70"/>
        <v>8.8699580142936121E-3</v>
      </c>
      <c r="DL17" s="277">
        <f t="shared" si="71"/>
        <v>8.0742581793507934E-2</v>
      </c>
      <c r="DM17" s="277">
        <f t="shared" si="72"/>
        <v>1.3046165169925178E-3</v>
      </c>
      <c r="DN17" s="277">
        <f t="shared" si="73"/>
        <v>1.2054162146744134E-2</v>
      </c>
      <c r="DO17" s="277">
        <f t="shared" si="74"/>
        <v>0</v>
      </c>
      <c r="DP17" s="277">
        <f t="shared" si="96"/>
        <v>0.34498883688418802</v>
      </c>
      <c r="DQ17" s="351"/>
      <c r="DS17" s="277">
        <f t="shared" si="75"/>
        <v>0.23097300055638489</v>
      </c>
      <c r="DT17" s="277">
        <f t="shared" si="76"/>
        <v>8.4877376863231983E-3</v>
      </c>
      <c r="DU17" s="277">
        <f t="shared" si="77"/>
        <v>8.1921954431361951E-2</v>
      </c>
      <c r="DV17" s="277">
        <f t="shared" si="78"/>
        <v>1.2483985560735437E-3</v>
      </c>
      <c r="DW17" s="277">
        <f t="shared" si="79"/>
        <v>1.2286844159921857E-2</v>
      </c>
      <c r="DX17" s="277">
        <f t="shared" si="97"/>
        <v>0</v>
      </c>
      <c r="DY17" s="302">
        <f t="shared" si="98"/>
        <v>0.33491793539006548</v>
      </c>
    </row>
    <row r="18" spans="2:129" x14ac:dyDescent="0.15">
      <c r="B18" s="358" t="s">
        <v>707</v>
      </c>
      <c r="C18" s="137">
        <v>9</v>
      </c>
      <c r="D18" s="137">
        <v>73</v>
      </c>
      <c r="E18" s="278">
        <f t="shared" si="0"/>
        <v>3.6200000000000003E-2</v>
      </c>
      <c r="F18" s="278">
        <f t="shared" si="1"/>
        <v>5.8999999999999999E-3</v>
      </c>
      <c r="G18" s="277">
        <f t="shared" si="80"/>
        <v>5.3431279999999998E-2</v>
      </c>
      <c r="H18" s="277">
        <f t="shared" si="2"/>
        <v>0.12022037999999999</v>
      </c>
      <c r="I18" s="277">
        <f t="shared" si="81"/>
        <v>8.0146919999999996E-2</v>
      </c>
      <c r="J18" s="277">
        <f t="shared" si="3"/>
        <v>0.12636497720000001</v>
      </c>
      <c r="K18" s="277">
        <f t="shared" si="4"/>
        <v>6.1980284799999993E-2</v>
      </c>
      <c r="L18" s="277"/>
      <c r="N18" s="277">
        <f t="shared" si="82"/>
        <v>0.44294233548029549</v>
      </c>
      <c r="O18" s="277">
        <f t="shared" si="83"/>
        <v>1.7644976618332558E-2</v>
      </c>
      <c r="P18" s="277">
        <f t="shared" si="84"/>
        <v>0.17413804189000665</v>
      </c>
      <c r="Q18" s="277">
        <f t="shared" si="85"/>
        <v>2.8758387306122121E-3</v>
      </c>
      <c r="R18" s="277">
        <f t="shared" si="86"/>
        <v>3.0353047043875217E-2</v>
      </c>
      <c r="S18" s="277">
        <f t="shared" si="87"/>
        <v>0.33204576023687787</v>
      </c>
      <c r="T18" s="277">
        <f t="shared" si="5"/>
        <v>1</v>
      </c>
      <c r="U18" s="277">
        <f t="shared" si="6"/>
        <v>0.66795423976312207</v>
      </c>
      <c r="V18" s="290"/>
      <c r="W18" s="277"/>
      <c r="X18" s="277">
        <f t="shared" si="11"/>
        <v>0.42178491134298446</v>
      </c>
      <c r="Y18" s="277">
        <f t="shared" si="12"/>
        <v>1.6839744581359631E-2</v>
      </c>
      <c r="Z18" s="277">
        <f t="shared" si="13"/>
        <v>0.17492157344594189</v>
      </c>
      <c r="AA18" s="277">
        <f t="shared" si="14"/>
        <v>2.744599254972978E-3</v>
      </c>
      <c r="AB18" s="277">
        <f t="shared" si="15"/>
        <v>3.0668618511205385E-2</v>
      </c>
      <c r="AC18" s="277">
        <f t="shared" si="16"/>
        <v>0.35304055286353564</v>
      </c>
      <c r="AD18" s="277">
        <f t="shared" si="17"/>
        <v>1</v>
      </c>
      <c r="AE18" s="277">
        <f t="shared" si="18"/>
        <v>0.64695944713646436</v>
      </c>
      <c r="AF18" s="277"/>
      <c r="AG18" s="290"/>
      <c r="AH18" s="277">
        <f t="shared" si="19"/>
        <v>0.64239641630400002</v>
      </c>
      <c r="AI18" s="277">
        <f t="shared" si="20"/>
        <v>0.594331126248</v>
      </c>
      <c r="AJ18" s="277">
        <f t="shared" si="21"/>
        <v>0.62637465295200001</v>
      </c>
      <c r="AK18" s="277">
        <f t="shared" si="22"/>
        <v>0.53634760173599993</v>
      </c>
      <c r="AL18" s="277">
        <f t="shared" si="23"/>
        <v>0.53634760173599993</v>
      </c>
      <c r="AM18" s="277">
        <v>0</v>
      </c>
      <c r="AN18" s="282"/>
      <c r="AP18" s="277">
        <f t="shared" si="24"/>
        <v>0.44778608198188541</v>
      </c>
      <c r="AQ18" s="277">
        <f t="shared" si="25"/>
        <v>1.7837931291931342E-2</v>
      </c>
      <c r="AR18" s="277">
        <f t="shared" si="26"/>
        <v>0.17352657956673337</v>
      </c>
      <c r="AS18" s="277">
        <f t="shared" si="27"/>
        <v>2.9072871442650527E-3</v>
      </c>
      <c r="AT18" s="277">
        <f t="shared" si="28"/>
        <v>3.0530489795988658E-2</v>
      </c>
      <c r="AU18" s="277">
        <f t="shared" si="29"/>
        <v>0.32741163021919611</v>
      </c>
      <c r="AV18" s="277">
        <f t="shared" si="7"/>
        <v>0.99999999999999978</v>
      </c>
      <c r="AW18" s="277">
        <f t="shared" si="8"/>
        <v>0.67258836978080372</v>
      </c>
      <c r="AX18" s="289"/>
      <c r="AY18" s="277">
        <f t="shared" si="88"/>
        <v>0.42639729319292818</v>
      </c>
      <c r="AZ18" s="277">
        <f t="shared" si="89"/>
        <v>1.70238937298378E-2</v>
      </c>
      <c r="BA18" s="277">
        <f t="shared" si="90"/>
        <v>0.17441949332832979</v>
      </c>
      <c r="BB18" s="277">
        <f t="shared" si="91"/>
        <v>2.7746125139790885E-3</v>
      </c>
      <c r="BC18" s="277">
        <f t="shared" si="92"/>
        <v>3.0854299504952297E-2</v>
      </c>
      <c r="BD18" s="277">
        <f t="shared" si="93"/>
        <v>0.34853040772997279</v>
      </c>
      <c r="BE18" s="277">
        <f t="shared" si="31"/>
        <v>1</v>
      </c>
      <c r="BF18" s="277">
        <f t="shared" si="32"/>
        <v>0.65146959227002721</v>
      </c>
      <c r="BG18" s="349"/>
      <c r="BH18" s="350"/>
      <c r="BJ18" s="283">
        <f t="shared" si="33"/>
        <v>374.48031982883572</v>
      </c>
      <c r="BK18" s="283">
        <f t="shared" si="34"/>
        <v>80.74243973104943</v>
      </c>
      <c r="BL18" s="283">
        <f t="shared" si="35"/>
        <v>220.91245990503324</v>
      </c>
      <c r="BM18" s="283">
        <f t="shared" si="36"/>
        <v>47.7554039802015</v>
      </c>
      <c r="BN18" s="283">
        <f t="shared" si="37"/>
        <v>178.95103502931431</v>
      </c>
      <c r="BO18" s="283">
        <f t="shared" si="38"/>
        <v>0</v>
      </c>
      <c r="BP18" s="283">
        <f t="shared" si="9"/>
        <v>902.84165847443433</v>
      </c>
      <c r="BQ18" s="342"/>
      <c r="BR18" s="283">
        <f t="shared" si="39"/>
        <v>356.59302768480666</v>
      </c>
      <c r="BS18" s="283">
        <f t="shared" si="40"/>
        <v>77.057742345435059</v>
      </c>
      <c r="BT18" s="283">
        <f t="shared" si="41"/>
        <v>221.90645226624406</v>
      </c>
      <c r="BU18" s="283">
        <f t="shared" si="42"/>
        <v>45.576076568484211</v>
      </c>
      <c r="BV18" s="283">
        <f t="shared" si="43"/>
        <v>180.81153491991253</v>
      </c>
      <c r="BW18" s="283">
        <f t="shared" si="94"/>
        <v>0</v>
      </c>
      <c r="BX18" s="285">
        <f t="shared" si="44"/>
        <v>881.94483378488246</v>
      </c>
      <c r="BY18" s="285"/>
      <c r="CA18" s="283">
        <f t="shared" si="45"/>
        <v>378.57540759487267</v>
      </c>
      <c r="CB18" s="283">
        <f t="shared" si="46"/>
        <v>81.625389674303378</v>
      </c>
      <c r="CC18" s="283">
        <f t="shared" si="47"/>
        <v>220.13675550117375</v>
      </c>
      <c r="CD18" s="283">
        <f t="shared" si="48"/>
        <v>48.277627873544844</v>
      </c>
      <c r="CE18" s="283">
        <f t="shared" si="49"/>
        <v>179.99717593580223</v>
      </c>
      <c r="CF18" s="283">
        <f t="shared" si="50"/>
        <v>0</v>
      </c>
      <c r="CG18" s="283">
        <f t="shared" si="51"/>
        <v>908.61235657969689</v>
      </c>
      <c r="CH18" s="283"/>
      <c r="CI18" s="298"/>
      <c r="CJ18" s="283">
        <f t="shared" si="52"/>
        <v>360.49251096284269</v>
      </c>
      <c r="CK18" s="283">
        <f t="shared" si="53"/>
        <v>77.900398691438639</v>
      </c>
      <c r="CL18" s="283">
        <f t="shared" si="54"/>
        <v>221.26951071891025</v>
      </c>
      <c r="CM18" s="283">
        <f t="shared" si="55"/>
        <v>46.074468670010049</v>
      </c>
      <c r="CN18" s="283">
        <f t="shared" si="56"/>
        <v>181.90624564098943</v>
      </c>
      <c r="CO18" s="283">
        <f t="shared" si="57"/>
        <v>0</v>
      </c>
      <c r="CP18" s="283">
        <f t="shared" si="95"/>
        <v>887.64313468419118</v>
      </c>
      <c r="CR18" s="277">
        <f t="shared" si="58"/>
        <v>0.20877916320098996</v>
      </c>
      <c r="CS18" s="277">
        <f t="shared" si="59"/>
        <v>7.6946064948552034E-3</v>
      </c>
      <c r="CT18" s="277">
        <f t="shared" si="60"/>
        <v>8.0032186792291571E-2</v>
      </c>
      <c r="CU18" s="277">
        <f t="shared" si="61"/>
        <v>1.1317427555766679E-3</v>
      </c>
      <c r="CV18" s="277">
        <f t="shared" si="62"/>
        <v>1.1944981732084367E-2</v>
      </c>
      <c r="CW18" s="277">
        <v>0</v>
      </c>
      <c r="CX18" s="277">
        <f t="shared" si="10"/>
        <v>0.30958268097579772</v>
      </c>
      <c r="CY18" s="277"/>
      <c r="CZ18" s="351"/>
      <c r="DA18" s="277">
        <f t="shared" si="63"/>
        <v>0.19880669285203023</v>
      </c>
      <c r="DB18" s="277">
        <f t="shared" si="64"/>
        <v>7.3434615885411888E-3</v>
      </c>
      <c r="DC18" s="277">
        <f t="shared" si="65"/>
        <v>8.039229043858083E-2</v>
      </c>
      <c r="DD18" s="277">
        <f t="shared" si="66"/>
        <v>1.0800954485773756E-3</v>
      </c>
      <c r="DE18" s="277">
        <f t="shared" si="67"/>
        <v>1.2069170101277654E-2</v>
      </c>
      <c r="DF18" s="277">
        <v>0</v>
      </c>
      <c r="DG18" s="277">
        <f t="shared" si="68"/>
        <v>0.29969171042900733</v>
      </c>
      <c r="DJ18" s="277">
        <f t="shared" si="69"/>
        <v>0.21106224445187813</v>
      </c>
      <c r="DK18" s="277">
        <f t="shared" si="70"/>
        <v>7.7787500058839054E-3</v>
      </c>
      <c r="DL18" s="277">
        <f t="shared" si="71"/>
        <v>7.9751164527762097E-2</v>
      </c>
      <c r="DM18" s="277">
        <f t="shared" si="72"/>
        <v>1.1441188022398977E-3</v>
      </c>
      <c r="DN18" s="277">
        <f t="shared" si="73"/>
        <v>1.2014811638433539E-2</v>
      </c>
      <c r="DO18" s="277">
        <f t="shared" si="74"/>
        <v>0</v>
      </c>
      <c r="DP18" s="277">
        <f t="shared" si="96"/>
        <v>0.31175108942619761</v>
      </c>
      <c r="DQ18" s="351"/>
      <c r="DS18" s="277">
        <f t="shared" si="75"/>
        <v>0.20098072126579772</v>
      </c>
      <c r="DT18" s="277">
        <f t="shared" si="76"/>
        <v>7.4237651936153943E-3</v>
      </c>
      <c r="DU18" s="277">
        <f t="shared" si="77"/>
        <v>8.0161539194789938E-2</v>
      </c>
      <c r="DV18" s="277">
        <f t="shared" si="78"/>
        <v>1.0919067118759199E-3</v>
      </c>
      <c r="DW18" s="277">
        <f t="shared" si="79"/>
        <v>1.2142242042789689E-2</v>
      </c>
      <c r="DX18" s="277">
        <f t="shared" si="97"/>
        <v>0</v>
      </c>
      <c r="DY18" s="302">
        <f t="shared" si="98"/>
        <v>0.30180017440886869</v>
      </c>
    </row>
    <row r="19" spans="2:129" x14ac:dyDescent="0.15">
      <c r="B19" s="358" t="s">
        <v>707</v>
      </c>
      <c r="C19" s="137">
        <v>10</v>
      </c>
      <c r="D19" s="137">
        <v>74</v>
      </c>
      <c r="E19" s="278">
        <f t="shared" si="0"/>
        <v>3.6200000000000003E-2</v>
      </c>
      <c r="F19" s="278">
        <f t="shared" si="1"/>
        <v>5.8999999999999999E-3</v>
      </c>
      <c r="G19" s="277">
        <f t="shared" si="80"/>
        <v>5.8548959999999997E-2</v>
      </c>
      <c r="H19" s="277">
        <f t="shared" si="2"/>
        <v>0.13173516000000002</v>
      </c>
      <c r="I19" s="277">
        <f t="shared" si="81"/>
        <v>8.7823440000000003E-2</v>
      </c>
      <c r="J19" s="277">
        <f t="shared" si="3"/>
        <v>0.13846829040000003</v>
      </c>
      <c r="K19" s="277">
        <f t="shared" si="4"/>
        <v>6.7916793599999997E-2</v>
      </c>
      <c r="L19" s="277"/>
      <c r="N19" s="277">
        <f t="shared" si="82"/>
        <v>0.40062748720567343</v>
      </c>
      <c r="O19" s="277">
        <f t="shared" si="83"/>
        <v>1.60345125443867E-2</v>
      </c>
      <c r="P19" s="277">
        <f t="shared" si="84"/>
        <v>0.17570510500187714</v>
      </c>
      <c r="Q19" s="277">
        <f t="shared" si="85"/>
        <v>2.6133597793337434E-3</v>
      </c>
      <c r="R19" s="277">
        <f t="shared" si="86"/>
        <v>3.0984189978535557E-2</v>
      </c>
      <c r="S19" s="277">
        <f t="shared" si="87"/>
        <v>0.3740353454901934</v>
      </c>
      <c r="T19" s="277">
        <f t="shared" si="5"/>
        <v>1</v>
      </c>
      <c r="U19" s="277">
        <f t="shared" si="6"/>
        <v>0.62596465450980654</v>
      </c>
      <c r="V19" s="290"/>
      <c r="W19" s="277"/>
      <c r="X19" s="277">
        <f t="shared" si="11"/>
        <v>0.38046611723834123</v>
      </c>
      <c r="Y19" s="277">
        <f t="shared" si="12"/>
        <v>1.5268613790616038E-2</v>
      </c>
      <c r="Z19" s="277">
        <f t="shared" si="13"/>
        <v>0.17495069336287905</v>
      </c>
      <c r="AA19" s="277">
        <f t="shared" si="14"/>
        <v>2.4885309769236081E-3</v>
      </c>
      <c r="AB19" s="277">
        <f t="shared" si="15"/>
        <v>3.1057762719962502E-2</v>
      </c>
      <c r="AC19" s="277">
        <f t="shared" si="16"/>
        <v>0.3957682819112775</v>
      </c>
      <c r="AD19" s="277">
        <f t="shared" si="17"/>
        <v>0.99999999999999989</v>
      </c>
      <c r="AE19" s="277">
        <f t="shared" si="18"/>
        <v>0.60423171808872245</v>
      </c>
      <c r="AF19" s="277"/>
      <c r="AG19" s="290"/>
      <c r="AH19" s="277">
        <f t="shared" si="19"/>
        <v>0.63799102178400002</v>
      </c>
      <c r="AI19" s="277">
        <f t="shared" si="20"/>
        <v>0.59025535150800001</v>
      </c>
      <c r="AJ19" s="277">
        <f t="shared" si="21"/>
        <v>0.62207913169200002</v>
      </c>
      <c r="AK19" s="277">
        <f t="shared" si="22"/>
        <v>0.53266946355599998</v>
      </c>
      <c r="AL19" s="277">
        <f t="shared" si="23"/>
        <v>0.53266946355599998</v>
      </c>
      <c r="AM19" s="277">
        <v>0</v>
      </c>
      <c r="AN19" s="282"/>
      <c r="AP19" s="277">
        <f t="shared" si="24"/>
        <v>0.40500850440397096</v>
      </c>
      <c r="AQ19" s="277">
        <f t="shared" si="25"/>
        <v>1.6209856167744254E-2</v>
      </c>
      <c r="AR19" s="277">
        <f t="shared" si="26"/>
        <v>0.17531240708992621</v>
      </c>
      <c r="AS19" s="277">
        <f t="shared" si="27"/>
        <v>2.6419378836931239E-3</v>
      </c>
      <c r="AT19" s="277">
        <f t="shared" si="28"/>
        <v>3.1178109213915936E-2</v>
      </c>
      <c r="AU19" s="277">
        <f t="shared" si="29"/>
        <v>0.36964918524074941</v>
      </c>
      <c r="AV19" s="277">
        <f t="shared" si="7"/>
        <v>0.99999999999999989</v>
      </c>
      <c r="AW19" s="277">
        <f t="shared" si="8"/>
        <v>0.63035081475925048</v>
      </c>
      <c r="AX19" s="289"/>
      <c r="AY19" s="277">
        <f t="shared" si="88"/>
        <v>0.38462666202426343</v>
      </c>
      <c r="AZ19" s="277">
        <f t="shared" si="89"/>
        <v>1.5435582013584002E-2</v>
      </c>
      <c r="BA19" s="277">
        <f t="shared" si="90"/>
        <v>0.17465136184322211</v>
      </c>
      <c r="BB19" s="277">
        <f t="shared" si="91"/>
        <v>2.5157440298382763E-3</v>
      </c>
      <c r="BC19" s="277">
        <f t="shared" si="92"/>
        <v>3.1257407240553613E-2</v>
      </c>
      <c r="BD19" s="277">
        <f t="shared" si="93"/>
        <v>0.3915132428485385</v>
      </c>
      <c r="BE19" s="277">
        <f t="shared" si="31"/>
        <v>0.99999999999999989</v>
      </c>
      <c r="BF19" s="277">
        <f t="shared" si="32"/>
        <v>0.60848675715146139</v>
      </c>
      <c r="BG19" s="349"/>
      <c r="BH19" s="350"/>
      <c r="BJ19" s="283">
        <f t="shared" si="33"/>
        <v>327.25191839688665</v>
      </c>
      <c r="BK19" s="283">
        <f t="shared" si="34"/>
        <v>70.891830879053785</v>
      </c>
      <c r="BL19" s="283">
        <f t="shared" si="35"/>
        <v>215.36274843232354</v>
      </c>
      <c r="BM19" s="283">
        <f t="shared" si="36"/>
        <v>41.929226238422139</v>
      </c>
      <c r="BN19" s="283">
        <f t="shared" si="37"/>
        <v>176.49471962368193</v>
      </c>
      <c r="BO19" s="283">
        <f t="shared" si="38"/>
        <v>0</v>
      </c>
      <c r="BP19" s="283">
        <f t="shared" si="9"/>
        <v>831.93044357036808</v>
      </c>
      <c r="BQ19" s="342"/>
      <c r="BR19" s="283">
        <f t="shared" si="39"/>
        <v>310.78313577456083</v>
      </c>
      <c r="BS19" s="283">
        <f t="shared" si="40"/>
        <v>67.505637206344005</v>
      </c>
      <c r="BT19" s="283">
        <f t="shared" si="41"/>
        <v>214.43806178749199</v>
      </c>
      <c r="BU19" s="283">
        <f t="shared" si="42"/>
        <v>39.926449912439111</v>
      </c>
      <c r="BV19" s="283">
        <f t="shared" si="43"/>
        <v>176.91381079176119</v>
      </c>
      <c r="BW19" s="283">
        <f t="shared" si="94"/>
        <v>0</v>
      </c>
      <c r="BX19" s="285">
        <f t="shared" si="44"/>
        <v>809.56709547259709</v>
      </c>
      <c r="BY19" s="285"/>
      <c r="CA19" s="283">
        <f t="shared" si="45"/>
        <v>330.83054524716209</v>
      </c>
      <c r="CB19" s="283">
        <f t="shared" si="46"/>
        <v>71.667060587994072</v>
      </c>
      <c r="CC19" s="283">
        <f t="shared" si="47"/>
        <v>214.88141636390989</v>
      </c>
      <c r="CD19" s="283">
        <f t="shared" si="48"/>
        <v>42.387738614951942</v>
      </c>
      <c r="CE19" s="283">
        <f t="shared" si="49"/>
        <v>177.59933849872141</v>
      </c>
      <c r="CF19" s="283">
        <f t="shared" si="50"/>
        <v>0</v>
      </c>
      <c r="CG19" s="283">
        <f t="shared" si="51"/>
        <v>837.36609931273938</v>
      </c>
      <c r="CH19" s="283"/>
      <c r="CI19" s="298"/>
      <c r="CJ19" s="283">
        <f t="shared" si="52"/>
        <v>314.18167008948222</v>
      </c>
      <c r="CK19" s="283">
        <f t="shared" si="53"/>
        <v>68.243837572089745</v>
      </c>
      <c r="CL19" s="283">
        <f t="shared" si="54"/>
        <v>214.0711694381487</v>
      </c>
      <c r="CM19" s="283">
        <f t="shared" si="55"/>
        <v>40.363061151856051</v>
      </c>
      <c r="CN19" s="283">
        <f t="shared" si="56"/>
        <v>178.05104251253695</v>
      </c>
      <c r="CO19" s="283">
        <f t="shared" si="57"/>
        <v>0</v>
      </c>
      <c r="CP19" s="283">
        <f t="shared" si="95"/>
        <v>814.91078076411361</v>
      </c>
      <c r="CR19" s="277">
        <f t="shared" si="58"/>
        <v>0.18119733765011853</v>
      </c>
      <c r="CS19" s="277">
        <f t="shared" si="59"/>
        <v>6.7095315141060931E-3</v>
      </c>
      <c r="CT19" s="277">
        <f t="shared" si="60"/>
        <v>7.7486583856979208E-2</v>
      </c>
      <c r="CU19" s="277">
        <f t="shared" si="61"/>
        <v>9.8685536284150361E-4</v>
      </c>
      <c r="CV19" s="277">
        <f t="shared" si="62"/>
        <v>1.1700231359423901E-2</v>
      </c>
      <c r="CW19" s="277">
        <v>0</v>
      </c>
      <c r="CX19" s="277">
        <f t="shared" si="10"/>
        <v>0.27808053974346919</v>
      </c>
      <c r="CY19" s="277"/>
      <c r="CZ19" s="351"/>
      <c r="DA19" s="277">
        <f t="shared" si="63"/>
        <v>0.17207867585549189</v>
      </c>
      <c r="DB19" s="277">
        <f t="shared" si="64"/>
        <v>6.3890464472346449E-3</v>
      </c>
      <c r="DC19" s="277">
        <f t="shared" si="65"/>
        <v>7.7153885608244294E-2</v>
      </c>
      <c r="DD19" s="277">
        <f t="shared" si="66"/>
        <v>9.3971758484794673E-4</v>
      </c>
      <c r="DE19" s="277">
        <f t="shared" si="67"/>
        <v>1.1728013854207164E-2</v>
      </c>
      <c r="DF19" s="277">
        <v>0</v>
      </c>
      <c r="DG19" s="277">
        <f t="shared" si="68"/>
        <v>0.26828933935002597</v>
      </c>
      <c r="DJ19" s="277">
        <f t="shared" si="69"/>
        <v>0.18317880092431307</v>
      </c>
      <c r="DK19" s="277">
        <f t="shared" si="70"/>
        <v>6.7829028475631182E-3</v>
      </c>
      <c r="DL19" s="277">
        <f t="shared" si="71"/>
        <v>7.7313402664067804E-2</v>
      </c>
      <c r="DM19" s="277">
        <f t="shared" si="72"/>
        <v>9.9764700958295937E-4</v>
      </c>
      <c r="DN19" s="277">
        <f t="shared" si="73"/>
        <v>1.1773459025551844E-2</v>
      </c>
      <c r="DO19" s="277">
        <f t="shared" si="74"/>
        <v>0</v>
      </c>
      <c r="DP19" s="277">
        <f t="shared" si="96"/>
        <v>0.28004621247107875</v>
      </c>
      <c r="DQ19" s="351"/>
      <c r="DS19" s="277">
        <f t="shared" si="75"/>
        <v>0.17396042302077352</v>
      </c>
      <c r="DT19" s="277">
        <f t="shared" si="76"/>
        <v>6.458913151991443E-3</v>
      </c>
      <c r="DU19" s="277">
        <f t="shared" si="77"/>
        <v>7.7021879330460355E-2</v>
      </c>
      <c r="DV19" s="277">
        <f t="shared" si="78"/>
        <v>9.4999376167614316E-4</v>
      </c>
      <c r="DW19" s="277">
        <f t="shared" si="79"/>
        <v>1.180340349912528E-2</v>
      </c>
      <c r="DX19" s="277">
        <f t="shared" si="97"/>
        <v>0</v>
      </c>
      <c r="DY19" s="302">
        <f t="shared" si="98"/>
        <v>0.27019461276402673</v>
      </c>
    </row>
    <row r="20" spans="2:129" x14ac:dyDescent="0.15">
      <c r="B20" s="358" t="s">
        <v>707</v>
      </c>
      <c r="C20" s="137">
        <v>11</v>
      </c>
      <c r="D20" s="137">
        <v>75</v>
      </c>
      <c r="E20" s="278">
        <f t="shared" si="0"/>
        <v>3.6200000000000003E-2</v>
      </c>
      <c r="F20" s="278">
        <f t="shared" si="1"/>
        <v>5.8999999999999999E-3</v>
      </c>
      <c r="G20" s="277">
        <f t="shared" si="80"/>
        <v>6.5846080000000001E-2</v>
      </c>
      <c r="H20" s="277">
        <f t="shared" si="2"/>
        <v>0.14815367999999998</v>
      </c>
      <c r="I20" s="277">
        <f t="shared" si="81"/>
        <v>9.8769120000000002E-2</v>
      </c>
      <c r="J20" s="277">
        <f t="shared" si="3"/>
        <v>0.1557259792</v>
      </c>
      <c r="K20" s="277">
        <f t="shared" si="4"/>
        <v>7.6381452799999999E-2</v>
      </c>
      <c r="L20" s="277"/>
      <c r="N20" s="277">
        <f t="shared" si="82"/>
        <v>0.36030474727100908</v>
      </c>
      <c r="O20" s="277">
        <f t="shared" si="83"/>
        <v>1.4502715036845379E-2</v>
      </c>
      <c r="P20" s="277">
        <f t="shared" si="84"/>
        <v>0.17419628172388099</v>
      </c>
      <c r="Q20" s="277">
        <f t="shared" si="85"/>
        <v>2.3637021745134732E-3</v>
      </c>
      <c r="R20" s="277">
        <f t="shared" si="86"/>
        <v>3.1131335461389447E-2</v>
      </c>
      <c r="S20" s="277">
        <f t="shared" si="87"/>
        <v>0.41750121833236159</v>
      </c>
      <c r="T20" s="277">
        <f t="shared" si="5"/>
        <v>1</v>
      </c>
      <c r="U20" s="277">
        <f t="shared" si="6"/>
        <v>0.58249878166763835</v>
      </c>
      <c r="V20" s="290"/>
      <c r="W20" s="277"/>
      <c r="X20" s="277">
        <f t="shared" si="11"/>
        <v>0.34085800473436101</v>
      </c>
      <c r="Y20" s="277">
        <f t="shared" si="12"/>
        <v>1.3772873444027955E-2</v>
      </c>
      <c r="Z20" s="277">
        <f t="shared" si="13"/>
        <v>0.17177071721438381</v>
      </c>
      <c r="AA20" s="277">
        <f t="shared" si="14"/>
        <v>2.2447500917062132E-3</v>
      </c>
      <c r="AB20" s="277">
        <f t="shared" si="15"/>
        <v>3.0940213315742003E-2</v>
      </c>
      <c r="AC20" s="277">
        <f t="shared" si="16"/>
        <v>0.44041344119977899</v>
      </c>
      <c r="AD20" s="277">
        <f t="shared" si="17"/>
        <v>1</v>
      </c>
      <c r="AE20" s="277">
        <f t="shared" si="18"/>
        <v>0.55958655880022101</v>
      </c>
      <c r="AF20" s="277"/>
      <c r="AG20" s="290"/>
      <c r="AH20" s="277">
        <f t="shared" si="19"/>
        <v>0.63352971846400008</v>
      </c>
      <c r="AI20" s="277">
        <f t="shared" si="20"/>
        <v>0.58612785116800015</v>
      </c>
      <c r="AJ20" s="277">
        <f t="shared" si="21"/>
        <v>0.6177290960320001</v>
      </c>
      <c r="AK20" s="277">
        <f t="shared" si="22"/>
        <v>0.52894464617600001</v>
      </c>
      <c r="AL20" s="277">
        <f t="shared" si="23"/>
        <v>0.52894464617600001</v>
      </c>
      <c r="AM20" s="277">
        <v>0</v>
      </c>
      <c r="AN20" s="282"/>
      <c r="AP20" s="277">
        <f t="shared" si="24"/>
        <v>0.36424481964455585</v>
      </c>
      <c r="AQ20" s="277">
        <f t="shared" si="25"/>
        <v>1.4661307859423749E-2</v>
      </c>
      <c r="AR20" s="277">
        <f t="shared" si="26"/>
        <v>0.17399031659651798</v>
      </c>
      <c r="AS20" s="277">
        <f t="shared" si="27"/>
        <v>2.3895501759834286E-3</v>
      </c>
      <c r="AT20" s="277">
        <f t="shared" si="28"/>
        <v>3.1336705267191289E-2</v>
      </c>
      <c r="AU20" s="277">
        <f t="shared" si="29"/>
        <v>0.41337730045632759</v>
      </c>
      <c r="AV20" s="277">
        <f t="shared" si="7"/>
        <v>0.99999999999999989</v>
      </c>
      <c r="AW20" s="277">
        <f t="shared" si="8"/>
        <v>0.5866226995436723</v>
      </c>
      <c r="AX20" s="289"/>
      <c r="AY20" s="277">
        <f t="shared" si="88"/>
        <v>0.34458541942408749</v>
      </c>
      <c r="AZ20" s="277">
        <f t="shared" si="89"/>
        <v>1.3923485165278335E-2</v>
      </c>
      <c r="BA20" s="277">
        <f t="shared" si="90"/>
        <v>0.17164247194035684</v>
      </c>
      <c r="BB20" s="277">
        <f t="shared" si="91"/>
        <v>2.269297305943154E-3</v>
      </c>
      <c r="BC20" s="277">
        <f t="shared" si="92"/>
        <v>3.1148651297544988E-2</v>
      </c>
      <c r="BD20" s="277">
        <f t="shared" si="93"/>
        <v>0.4364306748667891</v>
      </c>
      <c r="BE20" s="277">
        <f t="shared" si="31"/>
        <v>0.99999999999999989</v>
      </c>
      <c r="BF20" s="277">
        <f t="shared" si="32"/>
        <v>0.56356932513321079</v>
      </c>
      <c r="BG20" s="349"/>
      <c r="BH20" s="350"/>
      <c r="BJ20" s="283">
        <f t="shared" si="33"/>
        <v>284.3616938668938</v>
      </c>
      <c r="BK20" s="283">
        <f t="shared" si="34"/>
        <v>61.951153172593465</v>
      </c>
      <c r="BL20" s="283">
        <f t="shared" si="35"/>
        <v>206.29311607986514</v>
      </c>
      <c r="BM20" s="283">
        <f t="shared" si="36"/>
        <v>36.641230518315055</v>
      </c>
      <c r="BN20" s="283">
        <f t="shared" si="37"/>
        <v>171.33613715926614</v>
      </c>
      <c r="BO20" s="283">
        <f t="shared" si="38"/>
        <v>0</v>
      </c>
      <c r="BP20" s="283">
        <f t="shared" si="9"/>
        <v>760.58333079693364</v>
      </c>
      <c r="BQ20" s="342"/>
      <c r="BR20" s="283">
        <f t="shared" si="39"/>
        <v>269.01382878934817</v>
      </c>
      <c r="BS20" s="283">
        <f t="shared" si="40"/>
        <v>58.833493603782351</v>
      </c>
      <c r="BT20" s="283">
        <f t="shared" si="41"/>
        <v>203.42062502572171</v>
      </c>
      <c r="BU20" s="283">
        <f t="shared" si="42"/>
        <v>34.797279645920717</v>
      </c>
      <c r="BV20" s="283">
        <f t="shared" si="43"/>
        <v>170.28426676323264</v>
      </c>
      <c r="BW20" s="283">
        <f t="shared" si="94"/>
        <v>0</v>
      </c>
      <c r="BX20" s="285">
        <f t="shared" si="44"/>
        <v>736.34949382800562</v>
      </c>
      <c r="BY20" s="285"/>
      <c r="CA20" s="283">
        <f t="shared" si="45"/>
        <v>287.47129945101671</v>
      </c>
      <c r="CB20" s="283">
        <f t="shared" si="46"/>
        <v>62.628613097763704</v>
      </c>
      <c r="CC20" s="283">
        <f t="shared" si="47"/>
        <v>206.04920049506038</v>
      </c>
      <c r="CD20" s="283">
        <f t="shared" si="48"/>
        <v>37.041916607497733</v>
      </c>
      <c r="CE20" s="283">
        <f t="shared" si="49"/>
        <v>172.46642176459179</v>
      </c>
      <c r="CF20" s="283">
        <f t="shared" si="50"/>
        <v>0</v>
      </c>
      <c r="CG20" s="283">
        <f t="shared" si="51"/>
        <v>765.65745141593027</v>
      </c>
      <c r="CH20" s="283"/>
      <c r="CI20" s="298"/>
      <c r="CJ20" s="283">
        <f t="shared" si="52"/>
        <v>271.955599506895</v>
      </c>
      <c r="CK20" s="283">
        <f t="shared" si="53"/>
        <v>59.476860710497562</v>
      </c>
      <c r="CL20" s="283">
        <f t="shared" si="54"/>
        <v>203.26874969899416</v>
      </c>
      <c r="CM20" s="283">
        <f t="shared" si="55"/>
        <v>35.177801416022042</v>
      </c>
      <c r="CN20" s="283">
        <f t="shared" si="56"/>
        <v>171.43143755144663</v>
      </c>
      <c r="CO20" s="283">
        <f t="shared" si="57"/>
        <v>0</v>
      </c>
      <c r="CP20" s="283">
        <f t="shared" si="95"/>
        <v>741.31044888385532</v>
      </c>
      <c r="CR20" s="277">
        <f t="shared" si="58"/>
        <v>0.1563482875048389</v>
      </c>
      <c r="CS20" s="277">
        <f t="shared" si="59"/>
        <v>5.8223435049742272E-3</v>
      </c>
      <c r="CT20" s="277">
        <f t="shared" si="60"/>
        <v>7.3704344939867522E-2</v>
      </c>
      <c r="CU20" s="277">
        <f t="shared" si="61"/>
        <v>8.5636544073296953E-4</v>
      </c>
      <c r="CV20" s="277">
        <f t="shared" si="62"/>
        <v>1.1278832037494803E-2</v>
      </c>
      <c r="CW20" s="277">
        <v>0</v>
      </c>
      <c r="CX20" s="277">
        <f t="shared" si="10"/>
        <v>0.24801017342790843</v>
      </c>
      <c r="CY20" s="277"/>
      <c r="CZ20" s="351"/>
      <c r="DA20" s="277">
        <f t="shared" si="63"/>
        <v>0.14790969512940874</v>
      </c>
      <c r="DB20" s="277">
        <f t="shared" si="64"/>
        <v>5.5293370957050217E-3</v>
      </c>
      <c r="DC20" s="277">
        <f t="shared" si="65"/>
        <v>7.267806216555861E-2</v>
      </c>
      <c r="DD20" s="277">
        <f t="shared" si="66"/>
        <v>8.1326929523811199E-4</v>
      </c>
      <c r="DE20" s="277">
        <f t="shared" si="67"/>
        <v>1.1209588796000182E-2</v>
      </c>
      <c r="DF20" s="277">
        <v>0</v>
      </c>
      <c r="DG20" s="277">
        <f t="shared" si="68"/>
        <v>0.23813995248191067</v>
      </c>
      <c r="DJ20" s="277">
        <f t="shared" si="69"/>
        <v>0.15805801676296</v>
      </c>
      <c r="DK20" s="277">
        <f t="shared" si="70"/>
        <v>5.8860130929188825E-3</v>
      </c>
      <c r="DL20" s="277">
        <f t="shared" si="71"/>
        <v>7.3617198850166196E-2</v>
      </c>
      <c r="DM20" s="277">
        <f t="shared" si="72"/>
        <v>8.6573012948672125E-4</v>
      </c>
      <c r="DN20" s="277">
        <f t="shared" si="73"/>
        <v>1.1353237183014011E-2</v>
      </c>
      <c r="DO20" s="277">
        <f t="shared" si="74"/>
        <v>0</v>
      </c>
      <c r="DP20" s="277">
        <f t="shared" si="96"/>
        <v>0.24978019601854579</v>
      </c>
      <c r="DQ20" s="351"/>
      <c r="DS20" s="277">
        <f t="shared" si="75"/>
        <v>0.14952714510189211</v>
      </c>
      <c r="DT20" s="277">
        <f t="shared" si="76"/>
        <v>5.5898025447445468E-3</v>
      </c>
      <c r="DU20" s="277">
        <f t="shared" si="77"/>
        <v>7.2623800192683816E-2</v>
      </c>
      <c r="DV20" s="277">
        <f t="shared" si="78"/>
        <v>8.221627108999693E-4</v>
      </c>
      <c r="DW20" s="277">
        <f t="shared" si="79"/>
        <v>1.1285105536677945E-2</v>
      </c>
      <c r="DX20" s="277">
        <f t="shared" si="97"/>
        <v>0</v>
      </c>
      <c r="DY20" s="302">
        <f t="shared" si="98"/>
        <v>0.23984801608689837</v>
      </c>
    </row>
    <row r="21" spans="2:129" x14ac:dyDescent="0.15">
      <c r="B21" s="358" t="s">
        <v>707</v>
      </c>
      <c r="C21" s="137">
        <v>12</v>
      </c>
      <c r="D21" s="137">
        <v>76</v>
      </c>
      <c r="E21" s="278">
        <f t="shared" si="0"/>
        <v>3.6200000000000003E-2</v>
      </c>
      <c r="F21" s="278">
        <f t="shared" si="1"/>
        <v>5.8999999999999999E-3</v>
      </c>
      <c r="G21" s="277">
        <f t="shared" si="80"/>
        <v>7.4234159999999993E-2</v>
      </c>
      <c r="H21" s="277">
        <f t="shared" si="2"/>
        <v>0.16702686</v>
      </c>
      <c r="I21" s="277">
        <f t="shared" si="81"/>
        <v>0.11135123999999999</v>
      </c>
      <c r="J21" s="277">
        <f t="shared" si="3"/>
        <v>0.17556378840000003</v>
      </c>
      <c r="K21" s="277">
        <f t="shared" si="4"/>
        <v>8.6111625599999991E-2</v>
      </c>
      <c r="L21" s="277"/>
      <c r="N21" s="277">
        <f t="shared" si="82"/>
        <v>0.32141126219771299</v>
      </c>
      <c r="O21" s="277">
        <f t="shared" si="83"/>
        <v>1.3043031851210529E-2</v>
      </c>
      <c r="P21" s="277">
        <f t="shared" si="84"/>
        <v>0.16934515270488659</v>
      </c>
      <c r="Q21" s="277">
        <f t="shared" si="85"/>
        <v>2.1257980088989535E-3</v>
      </c>
      <c r="R21" s="277">
        <f t="shared" si="86"/>
        <v>3.0749091170094556E-2</v>
      </c>
      <c r="S21" s="277">
        <f t="shared" si="87"/>
        <v>0.46332566406719633</v>
      </c>
      <c r="T21" s="277">
        <f t="shared" si="5"/>
        <v>1</v>
      </c>
      <c r="U21" s="277">
        <f t="shared" si="6"/>
        <v>0.53667433593280367</v>
      </c>
      <c r="V21" s="290"/>
      <c r="W21" s="277"/>
      <c r="X21" s="277">
        <f t="shared" si="11"/>
        <v>0.30271570759655764</v>
      </c>
      <c r="Y21" s="277">
        <f t="shared" si="12"/>
        <v>1.2339059771383869E-2</v>
      </c>
      <c r="Z21" s="277">
        <f t="shared" si="13"/>
        <v>0.16534900393215879</v>
      </c>
      <c r="AA21" s="277">
        <f t="shared" si="14"/>
        <v>2.0110622279327301E-3</v>
      </c>
      <c r="AB21" s="277">
        <f t="shared" si="15"/>
        <v>3.0301456485446569E-2</v>
      </c>
      <c r="AC21" s="277">
        <f t="shared" si="16"/>
        <v>0.48728370998652037</v>
      </c>
      <c r="AD21" s="277">
        <f t="shared" si="17"/>
        <v>0.99999999999999989</v>
      </c>
      <c r="AE21" s="277">
        <f t="shared" si="18"/>
        <v>0.51271629001347963</v>
      </c>
      <c r="AF21" s="277"/>
      <c r="AG21" s="290"/>
      <c r="AH21" s="277">
        <f t="shared" si="19"/>
        <v>0.62901250634399997</v>
      </c>
      <c r="AI21" s="277">
        <f t="shared" si="20"/>
        <v>0.58194862522799995</v>
      </c>
      <c r="AJ21" s="277">
        <f t="shared" si="21"/>
        <v>0.61332454597200003</v>
      </c>
      <c r="AK21" s="277">
        <f t="shared" si="22"/>
        <v>0.52517314959599992</v>
      </c>
      <c r="AL21" s="277">
        <f t="shared" si="23"/>
        <v>0.52517314959599992</v>
      </c>
      <c r="AM21" s="277">
        <v>0</v>
      </c>
      <c r="AN21" s="282"/>
      <c r="AP21" s="277">
        <f t="shared" si="24"/>
        <v>0.32492601920361908</v>
      </c>
      <c r="AQ21" s="277">
        <f t="shared" si="25"/>
        <v>1.3185662471132923E-2</v>
      </c>
      <c r="AR21" s="277">
        <f t="shared" si="26"/>
        <v>0.1692946272841957</v>
      </c>
      <c r="AS21" s="277">
        <f t="shared" si="27"/>
        <v>2.1490444359028795E-3</v>
      </c>
      <c r="AT21" s="277">
        <f t="shared" si="28"/>
        <v>3.0960597327898687E-2</v>
      </c>
      <c r="AU21" s="277">
        <f t="shared" si="29"/>
        <v>0.45948404927725067</v>
      </c>
      <c r="AV21" s="277">
        <f t="shared" si="7"/>
        <v>1</v>
      </c>
      <c r="AW21" s="277">
        <f t="shared" si="8"/>
        <v>0.54051595072274927</v>
      </c>
      <c r="AX21" s="289"/>
      <c r="AY21" s="277">
        <f t="shared" si="88"/>
        <v>0.3060260214505206</v>
      </c>
      <c r="AZ21" s="277">
        <f t="shared" si="89"/>
        <v>1.2473992183151967E-2</v>
      </c>
      <c r="BA21" s="277">
        <f t="shared" si="90"/>
        <v>0.16536069528325908</v>
      </c>
      <c r="BB21" s="277">
        <f t="shared" si="91"/>
        <v>2.033053974602116E-3</v>
      </c>
      <c r="BC21" s="277">
        <f t="shared" si="92"/>
        <v>3.0513438671820416E-2</v>
      </c>
      <c r="BD21" s="277">
        <f t="shared" si="93"/>
        <v>0.48359279843664571</v>
      </c>
      <c r="BE21" s="277">
        <f t="shared" si="31"/>
        <v>0.99999999999999989</v>
      </c>
      <c r="BF21" s="277">
        <f t="shared" si="32"/>
        <v>0.51640720156335418</v>
      </c>
      <c r="BG21" s="349"/>
      <c r="BH21" s="350"/>
      <c r="BJ21" s="283">
        <f t="shared" si="33"/>
        <v>245.08788764425373</v>
      </c>
      <c r="BK21" s="283">
        <f t="shared" si="34"/>
        <v>53.831723705286215</v>
      </c>
      <c r="BL21" s="283">
        <f t="shared" si="35"/>
        <v>193.76631301601759</v>
      </c>
      <c r="BM21" s="283">
        <f t="shared" si="36"/>
        <v>31.838964998576223</v>
      </c>
      <c r="BN21" s="283">
        <f t="shared" si="37"/>
        <v>163.50956170743876</v>
      </c>
      <c r="BO21" s="283">
        <f t="shared" si="38"/>
        <v>0</v>
      </c>
      <c r="BP21" s="283">
        <f t="shared" si="9"/>
        <v>688.03445107157245</v>
      </c>
      <c r="BQ21" s="342"/>
      <c r="BR21" s="283">
        <f t="shared" si="39"/>
        <v>230.83184087661942</v>
      </c>
      <c r="BS21" s="283">
        <f t="shared" si="40"/>
        <v>50.92626192847186</v>
      </c>
      <c r="BT21" s="283">
        <f t="shared" si="41"/>
        <v>189.19388208671703</v>
      </c>
      <c r="BU21" s="283">
        <f t="shared" si="42"/>
        <v>30.120519267149469</v>
      </c>
      <c r="BV21" s="283">
        <f t="shared" si="43"/>
        <v>161.12924579218259</v>
      </c>
      <c r="BW21" s="283">
        <f t="shared" si="94"/>
        <v>0</v>
      </c>
      <c r="BX21" s="285">
        <f t="shared" si="44"/>
        <v>662.20174995114041</v>
      </c>
      <c r="BY21" s="285"/>
      <c r="CA21" s="283">
        <f t="shared" si="45"/>
        <v>247.76801890123025</v>
      </c>
      <c r="CB21" s="283">
        <f t="shared" si="46"/>
        <v>54.420394515199433</v>
      </c>
      <c r="CC21" s="283">
        <f t="shared" si="47"/>
        <v>193.70850135548591</v>
      </c>
      <c r="CD21" s="283">
        <f t="shared" si="48"/>
        <v>32.187136448837059</v>
      </c>
      <c r="CE21" s="283">
        <f t="shared" si="49"/>
        <v>164.63425443314156</v>
      </c>
      <c r="CF21" s="283">
        <f t="shared" si="50"/>
        <v>0</v>
      </c>
      <c r="CG21" s="283">
        <f t="shared" si="51"/>
        <v>692.71830565389416</v>
      </c>
      <c r="CH21" s="283"/>
      <c r="CI21" s="298"/>
      <c r="CJ21" s="283">
        <f t="shared" si="52"/>
        <v>233.35607672436089</v>
      </c>
      <c r="CK21" s="283">
        <f t="shared" si="53"/>
        <v>51.483160385214802</v>
      </c>
      <c r="CL21" s="283">
        <f t="shared" si="54"/>
        <v>189.20725944036838</v>
      </c>
      <c r="CM21" s="283">
        <f t="shared" si="55"/>
        <v>30.449898845798518</v>
      </c>
      <c r="CN21" s="283">
        <f t="shared" si="56"/>
        <v>162.25646981945664</v>
      </c>
      <c r="CO21" s="283">
        <f t="shared" si="57"/>
        <v>0</v>
      </c>
      <c r="CP21" s="283">
        <f t="shared" si="95"/>
        <v>666.75286521519934</v>
      </c>
      <c r="CR21" s="277">
        <f t="shared" si="58"/>
        <v>0.13379385683057757</v>
      </c>
      <c r="CS21" s="277">
        <f t="shared" si="59"/>
        <v>5.0231830418259755E-3</v>
      </c>
      <c r="CT21" s="277">
        <f t="shared" si="60"/>
        <v>6.8735155342102006E-2</v>
      </c>
      <c r="CU21" s="277">
        <f t="shared" si="61"/>
        <v>7.3882283926061866E-4</v>
      </c>
      <c r="CV21" s="277">
        <f t="shared" si="62"/>
        <v>1.0686871823132256E-2</v>
      </c>
      <c r="CW21" s="277">
        <v>0</v>
      </c>
      <c r="CX21" s="277">
        <f t="shared" si="10"/>
        <v>0.2189778898768984</v>
      </c>
      <c r="CY21" s="277"/>
      <c r="CZ21" s="351"/>
      <c r="DA21" s="277">
        <f t="shared" si="63"/>
        <v>0.12601145885680479</v>
      </c>
      <c r="DB21" s="277">
        <f t="shared" si="64"/>
        <v>4.7520665825821805E-3</v>
      </c>
      <c r="DC21" s="277">
        <f t="shared" si="65"/>
        <v>6.711316674498953E-2</v>
      </c>
      <c r="DD21" s="277">
        <f t="shared" si="66"/>
        <v>6.9894632460429178E-4</v>
      </c>
      <c r="DE21" s="277">
        <f t="shared" si="67"/>
        <v>1.053129602181967E-2</v>
      </c>
      <c r="DF21" s="277">
        <v>0</v>
      </c>
      <c r="DG21" s="277">
        <f t="shared" si="68"/>
        <v>0.20910693453080045</v>
      </c>
      <c r="DJ21" s="277">
        <f t="shared" si="69"/>
        <v>0.13525694462789686</v>
      </c>
      <c r="DK21" s="277">
        <f t="shared" si="70"/>
        <v>5.0781134996683219E-3</v>
      </c>
      <c r="DL21" s="277">
        <f t="shared" si="71"/>
        <v>6.8714647683131888E-2</v>
      </c>
      <c r="DM21" s="277">
        <f t="shared" si="72"/>
        <v>7.4690215400727278E-4</v>
      </c>
      <c r="DN21" s="277">
        <f t="shared" si="73"/>
        <v>1.0760380961524426E-2</v>
      </c>
      <c r="DO21" s="277">
        <f t="shared" si="74"/>
        <v>0</v>
      </c>
      <c r="DP21" s="277">
        <f t="shared" si="96"/>
        <v>0.2205569889262288</v>
      </c>
      <c r="DQ21" s="351"/>
      <c r="DS21" s="277">
        <f t="shared" si="75"/>
        <v>0.12738944310917041</v>
      </c>
      <c r="DT21" s="277">
        <f t="shared" si="76"/>
        <v>4.8040322766261835E-3</v>
      </c>
      <c r="DU21" s="277">
        <f t="shared" si="77"/>
        <v>6.7117912123414614E-2</v>
      </c>
      <c r="DV21" s="277">
        <f t="shared" si="78"/>
        <v>7.0658957417295222E-4</v>
      </c>
      <c r="DW21" s="277">
        <f t="shared" si="79"/>
        <v>1.0604970604331165E-2</v>
      </c>
      <c r="DX21" s="277">
        <f t="shared" si="97"/>
        <v>0</v>
      </c>
      <c r="DY21" s="302">
        <f t="shared" si="98"/>
        <v>0.21062294768771531</v>
      </c>
    </row>
    <row r="22" spans="2:129" x14ac:dyDescent="0.15">
      <c r="B22" s="358" t="s">
        <v>707</v>
      </c>
      <c r="C22" s="137">
        <v>13</v>
      </c>
      <c r="D22" s="137">
        <v>77</v>
      </c>
      <c r="E22" s="278">
        <f t="shared" si="0"/>
        <v>3.6200000000000003E-2</v>
      </c>
      <c r="F22" s="278">
        <f t="shared" si="1"/>
        <v>5.8999999999999999E-3</v>
      </c>
      <c r="G22" s="277">
        <f t="shared" si="80"/>
        <v>8.3152080000000003E-2</v>
      </c>
      <c r="H22" s="277">
        <f t="shared" si="2"/>
        <v>0.18709218</v>
      </c>
      <c r="I22" s="277">
        <f t="shared" si="81"/>
        <v>0.12472812000000001</v>
      </c>
      <c r="J22" s="277">
        <f t="shared" si="3"/>
        <v>0.19665466920000002</v>
      </c>
      <c r="K22" s="277">
        <f t="shared" si="4"/>
        <v>9.6456412800000002E-2</v>
      </c>
      <c r="L22" s="277"/>
      <c r="N22" s="277">
        <f t="shared" si="82"/>
        <v>0.28402015299540229</v>
      </c>
      <c r="O22" s="277">
        <f t="shared" si="83"/>
        <v>1.1635087691557211E-2</v>
      </c>
      <c r="P22" s="277">
        <f t="shared" si="84"/>
        <v>0.16135285515943096</v>
      </c>
      <c r="Q22" s="277">
        <f t="shared" si="85"/>
        <v>1.8963264469665066E-3</v>
      </c>
      <c r="R22" s="277">
        <f t="shared" si="86"/>
        <v>2.9853821800798583E-2</v>
      </c>
      <c r="S22" s="277">
        <f t="shared" si="87"/>
        <v>0.51124175590584442</v>
      </c>
      <c r="T22" s="277">
        <f t="shared" si="5"/>
        <v>1</v>
      </c>
      <c r="U22" s="277">
        <f t="shared" si="6"/>
        <v>0.48875824409415558</v>
      </c>
      <c r="V22" s="290"/>
      <c r="W22" s="277"/>
      <c r="X22" s="277">
        <f t="shared" si="11"/>
        <v>0.26623309553310609</v>
      </c>
      <c r="Y22" s="277">
        <f t="shared" si="12"/>
        <v>1.0958308614995388E-2</v>
      </c>
      <c r="Z22" s="277">
        <f t="shared" si="13"/>
        <v>0.1560193629045232</v>
      </c>
      <c r="AA22" s="277">
        <f t="shared" si="14"/>
        <v>1.7860226748196901E-3</v>
      </c>
      <c r="AB22" s="277">
        <f t="shared" si="15"/>
        <v>2.9175728019582396E-2</v>
      </c>
      <c r="AC22" s="277">
        <f t="shared" si="16"/>
        <v>0.53582748225297316</v>
      </c>
      <c r="AD22" s="277">
        <f t="shared" si="17"/>
        <v>0.99999999999999978</v>
      </c>
      <c r="AE22" s="277">
        <f t="shared" si="18"/>
        <v>0.46417251774702684</v>
      </c>
      <c r="AF22" s="277"/>
      <c r="AG22" s="290"/>
      <c r="AH22" s="277">
        <f t="shared" si="19"/>
        <v>0.62443938542400002</v>
      </c>
      <c r="AI22" s="277">
        <f t="shared" si="20"/>
        <v>0.57771767368800009</v>
      </c>
      <c r="AJ22" s="277">
        <f t="shared" si="21"/>
        <v>0.60886548151200004</v>
      </c>
      <c r="AK22" s="277">
        <f t="shared" si="22"/>
        <v>0.52135497381599993</v>
      </c>
      <c r="AL22" s="277">
        <f t="shared" si="23"/>
        <v>0.52135497381599993</v>
      </c>
      <c r="AM22" s="277">
        <v>0</v>
      </c>
      <c r="AN22" s="282"/>
      <c r="AP22" s="277">
        <f t="shared" si="24"/>
        <v>0.28712602369742218</v>
      </c>
      <c r="AQ22" s="277">
        <f t="shared" si="25"/>
        <v>1.1762321895171011E-2</v>
      </c>
      <c r="AR22" s="277">
        <f t="shared" si="26"/>
        <v>0.16142676328232244</v>
      </c>
      <c r="AS22" s="277">
        <f t="shared" si="27"/>
        <v>1.9170635133013525E-3</v>
      </c>
      <c r="AT22" s="277">
        <f t="shared" si="28"/>
        <v>3.0066280015742144E-2</v>
      </c>
      <c r="AU22" s="277">
        <f t="shared" si="29"/>
        <v>0.5077015475960408</v>
      </c>
      <c r="AV22" s="277">
        <f t="shared" si="7"/>
        <v>1</v>
      </c>
      <c r="AW22" s="277">
        <f t="shared" si="8"/>
        <v>0.49229845240395914</v>
      </c>
      <c r="AX22" s="289"/>
      <c r="AY22" s="277">
        <f t="shared" si="88"/>
        <v>0.26914445785230645</v>
      </c>
      <c r="AZ22" s="277">
        <f t="shared" si="89"/>
        <v>1.1078141976508847E-2</v>
      </c>
      <c r="BA22" s="277">
        <f t="shared" si="90"/>
        <v>0.15614037665634878</v>
      </c>
      <c r="BB22" s="277">
        <f t="shared" si="91"/>
        <v>1.8055535265580716E-3</v>
      </c>
      <c r="BC22" s="277">
        <f t="shared" si="92"/>
        <v>2.9386269268591579E-2</v>
      </c>
      <c r="BD22" s="277">
        <f t="shared" si="93"/>
        <v>0.53244520071968626</v>
      </c>
      <c r="BE22" s="277">
        <f t="shared" si="31"/>
        <v>1</v>
      </c>
      <c r="BF22" s="277">
        <f t="shared" si="32"/>
        <v>0.46755479928031374</v>
      </c>
      <c r="BG22" s="349"/>
      <c r="BH22" s="350"/>
      <c r="BJ22" s="283">
        <f t="shared" si="33"/>
        <v>209.2519749845267</v>
      </c>
      <c r="BK22" s="283">
        <f t="shared" si="34"/>
        <v>46.396908359089387</v>
      </c>
      <c r="BL22" s="283">
        <f t="shared" si="35"/>
        <v>178.37821367866323</v>
      </c>
      <c r="BM22" s="283">
        <f t="shared" si="36"/>
        <v>27.441616942727268</v>
      </c>
      <c r="BN22" s="283">
        <f t="shared" si="37"/>
        <v>153.38060857674049</v>
      </c>
      <c r="BO22" s="283">
        <f t="shared" si="38"/>
        <v>0</v>
      </c>
      <c r="BP22" s="283">
        <f t="shared" si="9"/>
        <v>614.84932254174714</v>
      </c>
      <c r="BQ22" s="342"/>
      <c r="BR22" s="283">
        <f t="shared" si="39"/>
        <v>196.14735242906676</v>
      </c>
      <c r="BS22" s="283">
        <f t="shared" si="40"/>
        <v>43.698135678813564</v>
      </c>
      <c r="BT22" s="283">
        <f t="shared" si="41"/>
        <v>172.48195098061936</v>
      </c>
      <c r="BU22" s="283">
        <f t="shared" si="42"/>
        <v>25.845418214690294</v>
      </c>
      <c r="BV22" s="283">
        <f t="shared" si="43"/>
        <v>149.89675188565982</v>
      </c>
      <c r="BW22" s="283">
        <f t="shared" si="94"/>
        <v>0</v>
      </c>
      <c r="BX22" s="285">
        <f t="shared" si="44"/>
        <v>588.06960918884977</v>
      </c>
      <c r="BY22" s="285"/>
      <c r="CA22" s="283">
        <f t="shared" si="45"/>
        <v>211.54022661593388</v>
      </c>
      <c r="CB22" s="283">
        <f t="shared" si="46"/>
        <v>46.904276575101612</v>
      </c>
      <c r="CC22" s="283">
        <f t="shared" si="47"/>
        <v>178.45992031425206</v>
      </c>
      <c r="CD22" s="283">
        <f t="shared" si="48"/>
        <v>27.741701683826076</v>
      </c>
      <c r="CE22" s="283">
        <f t="shared" si="49"/>
        <v>154.47215961910317</v>
      </c>
      <c r="CF22" s="283">
        <f t="shared" si="50"/>
        <v>0</v>
      </c>
      <c r="CG22" s="283">
        <f t="shared" si="51"/>
        <v>619.1182848082168</v>
      </c>
      <c r="CH22" s="283"/>
      <c r="CI22" s="298"/>
      <c r="CJ22" s="283">
        <f t="shared" si="52"/>
        <v>198.29229992227533</v>
      </c>
      <c r="CK22" s="283">
        <f t="shared" si="53"/>
        <v>44.17599176721555</v>
      </c>
      <c r="CL22" s="283">
        <f t="shared" si="54"/>
        <v>172.61573365747296</v>
      </c>
      <c r="CM22" s="283">
        <f t="shared" si="55"/>
        <v>26.128047902646827</v>
      </c>
      <c r="CN22" s="283">
        <f t="shared" si="56"/>
        <v>150.97845409179652</v>
      </c>
      <c r="CO22" s="283">
        <f t="shared" si="57"/>
        <v>0</v>
      </c>
      <c r="CP22" s="283">
        <f t="shared" si="95"/>
        <v>592.19052734140712</v>
      </c>
      <c r="CR22" s="277">
        <f t="shared" si="58"/>
        <v>0.11340048117745352</v>
      </c>
      <c r="CS22" s="277">
        <f t="shared" si="59"/>
        <v>4.297944146079825E-3</v>
      </c>
      <c r="CT22" s="277">
        <f t="shared" si="60"/>
        <v>6.2816460347216149E-2</v>
      </c>
      <c r="CU22" s="277">
        <f t="shared" si="61"/>
        <v>6.3215281437085664E-4</v>
      </c>
      <c r="CV22" s="277">
        <f t="shared" si="62"/>
        <v>9.9519666043207285E-3</v>
      </c>
      <c r="CW22" s="277">
        <v>0</v>
      </c>
      <c r="CX22" s="277">
        <f t="shared" si="10"/>
        <v>0.19109900508944108</v>
      </c>
      <c r="CY22" s="277"/>
      <c r="CZ22" s="351"/>
      <c r="DA22" s="277">
        <f t="shared" si="63"/>
        <v>0.10629865810721507</v>
      </c>
      <c r="DB22" s="277">
        <f t="shared" si="64"/>
        <v>4.0479452850992678E-3</v>
      </c>
      <c r="DC22" s="277">
        <f t="shared" si="65"/>
        <v>6.0740072517502471E-2</v>
      </c>
      <c r="DD22" s="277">
        <f t="shared" si="66"/>
        <v>5.9538233104512186E-4</v>
      </c>
      <c r="DE22" s="277">
        <f t="shared" si="67"/>
        <v>9.7259196107300945E-3</v>
      </c>
      <c r="DF22" s="277">
        <v>0</v>
      </c>
      <c r="DG22" s="277">
        <f t="shared" si="68"/>
        <v>0.18140797785159202</v>
      </c>
      <c r="DJ22" s="277">
        <f t="shared" si="69"/>
        <v>0.11464055949009956</v>
      </c>
      <c r="DK22" s="277">
        <f t="shared" si="70"/>
        <v>4.3449438348745952E-3</v>
      </c>
      <c r="DL22" s="277">
        <f t="shared" si="71"/>
        <v>6.2845233601128286E-2</v>
      </c>
      <c r="DM22" s="277">
        <f t="shared" si="72"/>
        <v>6.3906565095884907E-4</v>
      </c>
      <c r="DN22" s="277">
        <f t="shared" si="73"/>
        <v>1.0022790938774128E-2</v>
      </c>
      <c r="DO22" s="277">
        <f t="shared" si="74"/>
        <v>0</v>
      </c>
      <c r="DP22" s="277">
        <f t="shared" si="96"/>
        <v>0.19249259351583539</v>
      </c>
      <c r="DQ22" s="351"/>
      <c r="DS22" s="277">
        <f t="shared" si="75"/>
        <v>0.10746107522585022</v>
      </c>
      <c r="DT22" s="277">
        <f t="shared" si="76"/>
        <v>4.0922111392359389E-3</v>
      </c>
      <c r="DU22" s="277">
        <f t="shared" si="77"/>
        <v>6.0787184516453513E-2</v>
      </c>
      <c r="DV22" s="277">
        <f t="shared" si="78"/>
        <v>6.018930681142736E-4</v>
      </c>
      <c r="DW22" s="277">
        <f t="shared" si="79"/>
        <v>9.7961049120611071E-3</v>
      </c>
      <c r="DX22" s="277">
        <f t="shared" si="97"/>
        <v>0</v>
      </c>
      <c r="DY22" s="302">
        <f t="shared" si="98"/>
        <v>0.18273846886171508</v>
      </c>
    </row>
    <row r="23" spans="2:129" x14ac:dyDescent="0.15">
      <c r="B23" s="358" t="s">
        <v>707</v>
      </c>
      <c r="C23" s="137">
        <v>14</v>
      </c>
      <c r="D23" s="137">
        <v>78</v>
      </c>
      <c r="E23" s="278">
        <f t="shared" si="0"/>
        <v>3.6200000000000003E-2</v>
      </c>
      <c r="F23" s="278">
        <f t="shared" si="1"/>
        <v>5.8999999999999999E-3</v>
      </c>
      <c r="G23" s="277">
        <f t="shared" si="80"/>
        <v>9.3610159999999998E-2</v>
      </c>
      <c r="H23" s="277">
        <f t="shared" si="2"/>
        <v>0.21062286</v>
      </c>
      <c r="I23" s="277">
        <f t="shared" si="81"/>
        <v>0.14041524</v>
      </c>
      <c r="J23" s="277">
        <f t="shared" si="3"/>
        <v>0.22138802840000005</v>
      </c>
      <c r="K23" s="277">
        <f t="shared" si="4"/>
        <v>0.1085877856</v>
      </c>
      <c r="L23" s="277"/>
      <c r="N23" s="277">
        <f t="shared" si="82"/>
        <v>0.24844603807080992</v>
      </c>
      <c r="O23" s="277">
        <f t="shared" si="83"/>
        <v>1.0281529538433564E-2</v>
      </c>
      <c r="P23" s="277">
        <f t="shared" si="84"/>
        <v>0.15068587064961544</v>
      </c>
      <c r="Q23" s="277">
        <f t="shared" si="85"/>
        <v>1.6757189026728734E-3</v>
      </c>
      <c r="R23" s="277">
        <f t="shared" si="86"/>
        <v>2.8497634238366213E-2</v>
      </c>
      <c r="S23" s="277">
        <f t="shared" si="87"/>
        <v>0.56041320860010202</v>
      </c>
      <c r="T23" s="277">
        <f t="shared" si="5"/>
        <v>1</v>
      </c>
      <c r="U23" s="277">
        <f t="shared" si="6"/>
        <v>0.43958679139989798</v>
      </c>
      <c r="V23" s="290"/>
      <c r="W23" s="277"/>
      <c r="X23" s="277">
        <f t="shared" si="11"/>
        <v>0.23158771228183206</v>
      </c>
      <c r="Y23" s="277">
        <f t="shared" si="12"/>
        <v>9.6376380582984429E-3</v>
      </c>
      <c r="Z23" s="277">
        <f t="shared" si="13"/>
        <v>0.1441645764946152</v>
      </c>
      <c r="AA23" s="277">
        <f t="shared" si="14"/>
        <v>1.570775263645326E-3</v>
      </c>
      <c r="AB23" s="277">
        <f t="shared" si="15"/>
        <v>2.7602754139303506E-2</v>
      </c>
      <c r="AC23" s="277">
        <f t="shared" si="16"/>
        <v>0.58543654376230547</v>
      </c>
      <c r="AD23" s="277">
        <f t="shared" si="17"/>
        <v>1</v>
      </c>
      <c r="AE23" s="277">
        <f t="shared" si="18"/>
        <v>0.41456345623769458</v>
      </c>
      <c r="AF23" s="277"/>
      <c r="AG23" s="290"/>
      <c r="AH23" s="277">
        <f t="shared" si="19"/>
        <v>0.619810355704</v>
      </c>
      <c r="AI23" s="277">
        <f t="shared" si="20"/>
        <v>0.57343499654800012</v>
      </c>
      <c r="AJ23" s="277">
        <f t="shared" si="21"/>
        <v>0.60435190265200001</v>
      </c>
      <c r="AK23" s="277">
        <f t="shared" si="22"/>
        <v>0.51749011883600005</v>
      </c>
      <c r="AL23" s="277">
        <f t="shared" si="23"/>
        <v>0.51749011883600005</v>
      </c>
      <c r="AM23" s="277">
        <v>0</v>
      </c>
      <c r="AN23" s="282"/>
      <c r="AP23" s="277">
        <f t="shared" si="24"/>
        <v>0.25116289200719077</v>
      </c>
      <c r="AQ23" s="277">
        <f t="shared" si="25"/>
        <v>1.0393962057846684E-2</v>
      </c>
      <c r="AR23" s="277">
        <f t="shared" si="26"/>
        <v>0.15085399003037508</v>
      </c>
      <c r="AS23" s="277">
        <f t="shared" si="27"/>
        <v>1.6940435398147909E-3</v>
      </c>
      <c r="AT23" s="277">
        <f t="shared" si="28"/>
        <v>2.8706258521441017E-2</v>
      </c>
      <c r="AU23" s="277">
        <f t="shared" si="29"/>
        <v>0.55718885384333161</v>
      </c>
      <c r="AV23" s="277">
        <f t="shared" si="7"/>
        <v>1</v>
      </c>
      <c r="AW23" s="277">
        <f t="shared" si="8"/>
        <v>0.44281114615666839</v>
      </c>
      <c r="AX23" s="289"/>
      <c r="AY23" s="277">
        <f t="shared" si="88"/>
        <v>0.23412021387701148</v>
      </c>
      <c r="AZ23" s="277">
        <f t="shared" si="89"/>
        <v>9.7430293742534965E-3</v>
      </c>
      <c r="BA23" s="277">
        <f t="shared" si="90"/>
        <v>0.14436526844408448</v>
      </c>
      <c r="BB23" s="277">
        <f t="shared" si="91"/>
        <v>1.5879523013286082E-3</v>
      </c>
      <c r="BC23" s="277">
        <f t="shared" si="92"/>
        <v>2.780718528884453E-2</v>
      </c>
      <c r="BD23" s="277">
        <f t="shared" si="93"/>
        <v>0.58237635071447724</v>
      </c>
      <c r="BE23" s="277">
        <f t="shared" si="31"/>
        <v>0.99999999999999978</v>
      </c>
      <c r="BF23" s="277">
        <f t="shared" si="32"/>
        <v>0.41762364928552259</v>
      </c>
      <c r="BG23" s="349"/>
      <c r="BH23" s="350"/>
      <c r="BJ23" s="283">
        <f t="shared" si="33"/>
        <v>176.85287910493406</v>
      </c>
      <c r="BK23" s="283">
        <f t="shared" si="34"/>
        <v>39.612911109698302</v>
      </c>
      <c r="BL23" s="283">
        <f t="shared" si="35"/>
        <v>160.95235582857529</v>
      </c>
      <c r="BM23" s="283">
        <f t="shared" si="36"/>
        <v>23.429197571645719</v>
      </c>
      <c r="BN23" s="283">
        <f t="shared" si="37"/>
        <v>141.46173448751611</v>
      </c>
      <c r="BO23" s="283">
        <f t="shared" si="38"/>
        <v>0</v>
      </c>
      <c r="BP23" s="283">
        <f t="shared" si="9"/>
        <v>542.30907810236954</v>
      </c>
      <c r="BQ23" s="342"/>
      <c r="BR23" s="283">
        <f t="shared" si="39"/>
        <v>164.85251284503843</v>
      </c>
      <c r="BS23" s="283">
        <f t="shared" si="40"/>
        <v>37.132111354025888</v>
      </c>
      <c r="BT23" s="283">
        <f t="shared" si="41"/>
        <v>153.986754788654</v>
      </c>
      <c r="BU23" s="283">
        <f t="shared" si="42"/>
        <v>21.961919707355932</v>
      </c>
      <c r="BV23" s="283">
        <f t="shared" si="43"/>
        <v>137.01956606353718</v>
      </c>
      <c r="BW23" s="283">
        <f t="shared" si="94"/>
        <v>0</v>
      </c>
      <c r="BX23" s="285">
        <f t="shared" si="44"/>
        <v>514.95286475861144</v>
      </c>
      <c r="BY23" s="285"/>
      <c r="CA23" s="283">
        <f t="shared" si="45"/>
        <v>178.78683403731091</v>
      </c>
      <c r="CB23" s="283">
        <f t="shared" si="46"/>
        <v>40.046093680511575</v>
      </c>
      <c r="CC23" s="283">
        <f t="shared" si="47"/>
        <v>161.13192946926938</v>
      </c>
      <c r="CD23" s="283">
        <f t="shared" si="48"/>
        <v>23.685404948277856</v>
      </c>
      <c r="CE23" s="283">
        <f t="shared" si="49"/>
        <v>142.49734160820279</v>
      </c>
      <c r="CF23" s="283">
        <f t="shared" si="50"/>
        <v>0</v>
      </c>
      <c r="CG23" s="283">
        <f t="shared" si="51"/>
        <v>546.14760374357252</v>
      </c>
      <c r="CH23" s="283"/>
      <c r="CI23" s="298"/>
      <c r="CJ23" s="283">
        <f t="shared" si="52"/>
        <v>166.65523911076247</v>
      </c>
      <c r="CK23" s="283">
        <f t="shared" si="53"/>
        <v>37.538165415832118</v>
      </c>
      <c r="CL23" s="283">
        <f t="shared" si="54"/>
        <v>154.20112022267685</v>
      </c>
      <c r="CM23" s="283">
        <f t="shared" si="55"/>
        <v>22.202081830570812</v>
      </c>
      <c r="CN23" s="283">
        <f t="shared" si="56"/>
        <v>138.03435854615023</v>
      </c>
      <c r="CO23" s="283">
        <f t="shared" si="57"/>
        <v>0</v>
      </c>
      <c r="CP23" s="283">
        <f t="shared" si="95"/>
        <v>518.63096512599247</v>
      </c>
      <c r="CR23" s="277">
        <f t="shared" si="58"/>
        <v>9.5131864037778346E-2</v>
      </c>
      <c r="CS23" s="277">
        <f t="shared" si="59"/>
        <v>3.642310994169797E-3</v>
      </c>
      <c r="CT23" s="277">
        <f t="shared" si="60"/>
        <v>5.6259715076529687E-2</v>
      </c>
      <c r="CU23" s="277">
        <f t="shared" si="61"/>
        <v>5.3572058349768664E-4</v>
      </c>
      <c r="CV23" s="277">
        <f t="shared" si="62"/>
        <v>9.1105788793870955E-3</v>
      </c>
      <c r="CW23" s="277">
        <v>0</v>
      </c>
      <c r="CX23" s="277">
        <f t="shared" si="10"/>
        <v>0.16468018957136263</v>
      </c>
      <c r="CY23" s="277"/>
      <c r="CZ23" s="351"/>
      <c r="DA23" s="277">
        <f t="shared" si="63"/>
        <v>8.8676683792945771E-2</v>
      </c>
      <c r="DB23" s="277">
        <f t="shared" si="64"/>
        <v>3.4142074801564795E-3</v>
      </c>
      <c r="DC23" s="277">
        <f t="shared" si="65"/>
        <v>5.3824940339463195E-2</v>
      </c>
      <c r="DD23" s="277">
        <f t="shared" si="66"/>
        <v>5.0217052480673716E-4</v>
      </c>
      <c r="DE23" s="277">
        <f t="shared" si="67"/>
        <v>8.8244893162356258E-3</v>
      </c>
      <c r="DF23" s="277">
        <v>0</v>
      </c>
      <c r="DG23" s="277">
        <f t="shared" si="68"/>
        <v>0.1552424914536078</v>
      </c>
      <c r="DJ23" s="277">
        <f t="shared" si="69"/>
        <v>9.6172167925468524E-2</v>
      </c>
      <c r="DK23" s="277">
        <f t="shared" si="70"/>
        <v>3.682141079764533E-3</v>
      </c>
      <c r="DL23" s="277">
        <f t="shared" si="71"/>
        <v>5.6322483725107043E-2</v>
      </c>
      <c r="DM23" s="277">
        <f t="shared" si="72"/>
        <v>5.4157889618151021E-4</v>
      </c>
      <c r="DN23" s="277">
        <f t="shared" si="73"/>
        <v>9.177275222361057E-3</v>
      </c>
      <c r="DO23" s="277">
        <f t="shared" si="74"/>
        <v>0</v>
      </c>
      <c r="DP23" s="277">
        <f t="shared" si="96"/>
        <v>0.16589564684888267</v>
      </c>
      <c r="DQ23" s="351"/>
      <c r="DS23" s="277">
        <f t="shared" si="75"/>
        <v>8.9646397777112419E-2</v>
      </c>
      <c r="DT23" s="277">
        <f t="shared" si="76"/>
        <v>3.4515431652175567E-3</v>
      </c>
      <c r="DU23" s="277">
        <f t="shared" si="77"/>
        <v>5.3899870204132123E-2</v>
      </c>
      <c r="DV23" s="277">
        <f t="shared" si="78"/>
        <v>5.0766195456609106E-4</v>
      </c>
      <c r="DW23" s="277">
        <f t="shared" si="79"/>
        <v>8.8898451313085079E-3</v>
      </c>
      <c r="DX23" s="277">
        <f t="shared" si="97"/>
        <v>0</v>
      </c>
      <c r="DY23" s="302">
        <f t="shared" si="98"/>
        <v>0.15639531823233668</v>
      </c>
    </row>
    <row r="24" spans="2:129" x14ac:dyDescent="0.15">
      <c r="B24" s="358" t="s">
        <v>707</v>
      </c>
      <c r="C24" s="137">
        <v>15</v>
      </c>
      <c r="D24" s="137">
        <v>79</v>
      </c>
      <c r="E24" s="278">
        <f t="shared" si="0"/>
        <v>3.6200000000000003E-2</v>
      </c>
      <c r="F24" s="278">
        <f t="shared" si="1"/>
        <v>5.8999999999999999E-3</v>
      </c>
      <c r="G24" s="277">
        <f t="shared" si="80"/>
        <v>0.10430344</v>
      </c>
      <c r="H24" s="277">
        <f t="shared" si="2"/>
        <v>0.23468274</v>
      </c>
      <c r="I24" s="277">
        <f t="shared" si="81"/>
        <v>0.15645515999999998</v>
      </c>
      <c r="J24" s="277">
        <f t="shared" si="3"/>
        <v>0.24667763560000003</v>
      </c>
      <c r="K24" s="277">
        <f t="shared" si="4"/>
        <v>0.12099199039999999</v>
      </c>
      <c r="L24" s="277"/>
      <c r="N24" s="277">
        <f t="shared" si="82"/>
        <v>0.21472938649285422</v>
      </c>
      <c r="O24" s="277">
        <f t="shared" si="83"/>
        <v>8.9937465781633197E-3</v>
      </c>
      <c r="P24" s="277">
        <f t="shared" si="84"/>
        <v>0.13764328233961495</v>
      </c>
      <c r="Q24" s="277">
        <f t="shared" si="85"/>
        <v>1.4658316246177784E-3</v>
      </c>
      <c r="R24" s="277">
        <f t="shared" si="86"/>
        <v>2.6707874040240796E-2</v>
      </c>
      <c r="S24" s="277">
        <f t="shared" si="87"/>
        <v>0.61045987892450893</v>
      </c>
      <c r="T24" s="277">
        <f t="shared" si="5"/>
        <v>1</v>
      </c>
      <c r="U24" s="277">
        <f t="shared" si="6"/>
        <v>0.38954012107549107</v>
      </c>
      <c r="V24" s="290"/>
      <c r="W24" s="277"/>
      <c r="X24" s="277">
        <f t="shared" si="11"/>
        <v>0.19901082606703252</v>
      </c>
      <c r="Y24" s="277">
        <f t="shared" si="12"/>
        <v>8.3834751846023209E-3</v>
      </c>
      <c r="Z24" s="277">
        <f t="shared" si="13"/>
        <v>0.13031731620309731</v>
      </c>
      <c r="AA24" s="277">
        <f t="shared" si="14"/>
        <v>1.366367502462809E-3</v>
      </c>
      <c r="AB24" s="277">
        <f t="shared" si="15"/>
        <v>2.5644276493134863E-2</v>
      </c>
      <c r="AC24" s="277">
        <f t="shared" si="16"/>
        <v>0.63527773854967018</v>
      </c>
      <c r="AD24" s="277">
        <f t="shared" si="17"/>
        <v>1</v>
      </c>
      <c r="AE24" s="277">
        <f t="shared" si="18"/>
        <v>0.36472226145032982</v>
      </c>
      <c r="AF24" s="277"/>
      <c r="AG24" s="290"/>
      <c r="AH24" s="277">
        <f t="shared" si="19"/>
        <v>0.61512541718400005</v>
      </c>
      <c r="AI24" s="277">
        <f t="shared" si="20"/>
        <v>0.56910059380800004</v>
      </c>
      <c r="AJ24" s="277">
        <f t="shared" si="21"/>
        <v>0.59978380939200004</v>
      </c>
      <c r="AK24" s="277">
        <f t="shared" si="22"/>
        <v>0.51357858465600004</v>
      </c>
      <c r="AL24" s="277">
        <f t="shared" si="23"/>
        <v>0.51357858465600004</v>
      </c>
      <c r="AM24" s="277">
        <v>0</v>
      </c>
      <c r="AN24" s="282"/>
      <c r="AP24" s="277">
        <f t="shared" si="24"/>
        <v>0.2170775357468322</v>
      </c>
      <c r="AQ24" s="277">
        <f t="shared" si="25"/>
        <v>9.0920966906603076E-3</v>
      </c>
      <c r="AR24" s="277">
        <f t="shared" si="26"/>
        <v>0.13787654685779388</v>
      </c>
      <c r="AS24" s="277">
        <f t="shared" si="27"/>
        <v>1.4818610628424256E-3</v>
      </c>
      <c r="AT24" s="277">
        <f t="shared" si="28"/>
        <v>2.6908112056248046E-2</v>
      </c>
      <c r="AU24" s="277">
        <f t="shared" si="29"/>
        <v>0.60756384758562298</v>
      </c>
      <c r="AV24" s="277">
        <f t="shared" si="7"/>
        <v>0.99999999999999978</v>
      </c>
      <c r="AW24" s="277">
        <f t="shared" si="8"/>
        <v>0.39243615241437685</v>
      </c>
      <c r="AX24" s="289"/>
      <c r="AY24" s="277">
        <f t="shared" si="88"/>
        <v>0.20118708675680258</v>
      </c>
      <c r="AZ24" s="277">
        <f t="shared" si="89"/>
        <v>8.4751517423478171E-3</v>
      </c>
      <c r="BA24" s="277">
        <f t="shared" si="90"/>
        <v>0.13056996752182767</v>
      </c>
      <c r="BB24" s="277">
        <f t="shared" si="91"/>
        <v>1.3813092618743677E-3</v>
      </c>
      <c r="BC24" s="277">
        <f t="shared" si="92"/>
        <v>2.583843857823858E-2</v>
      </c>
      <c r="BD24" s="277">
        <f t="shared" si="93"/>
        <v>0.6325480461389088</v>
      </c>
      <c r="BE24" s="277">
        <f t="shared" si="31"/>
        <v>0.99999999999999978</v>
      </c>
      <c r="BF24" s="277">
        <f t="shared" si="32"/>
        <v>0.36745195386109097</v>
      </c>
      <c r="BG24" s="349"/>
      <c r="BH24" s="350"/>
      <c r="BJ24" s="283">
        <f t="shared" si="33"/>
        <v>147.68323341559693</v>
      </c>
      <c r="BK24" s="283">
        <f t="shared" si="34"/>
        <v>33.47952811435119</v>
      </c>
      <c r="BL24" s="283">
        <f t="shared" si="35"/>
        <v>142.04942391181908</v>
      </c>
      <c r="BM24" s="283">
        <f t="shared" si="36"/>
        <v>19.80158632180304</v>
      </c>
      <c r="BN24" s="283">
        <f t="shared" si="37"/>
        <v>128.09410399957321</v>
      </c>
      <c r="BO24" s="283">
        <f t="shared" si="38"/>
        <v>0</v>
      </c>
      <c r="BP24" s="283">
        <f t="shared" si="9"/>
        <v>471.1078757631434</v>
      </c>
      <c r="BQ24" s="342"/>
      <c r="BR24" s="283">
        <f t="shared" si="39"/>
        <v>136.87256671441375</v>
      </c>
      <c r="BS24" s="283">
        <f t="shared" si="40"/>
        <v>31.207772055789636</v>
      </c>
      <c r="BT24" s="283">
        <f t="shared" si="41"/>
        <v>134.48894401333646</v>
      </c>
      <c r="BU24" s="283">
        <f t="shared" si="42"/>
        <v>18.457948097810188</v>
      </c>
      <c r="BV24" s="283">
        <f t="shared" si="43"/>
        <v>122.99296511418667</v>
      </c>
      <c r="BW24" s="283">
        <f t="shared" si="94"/>
        <v>0</v>
      </c>
      <c r="BX24" s="285">
        <f t="shared" si="44"/>
        <v>444.02019599553671</v>
      </c>
      <c r="BY24" s="285"/>
      <c r="CA24" s="283">
        <f t="shared" si="45"/>
        <v>149.2982069412696</v>
      </c>
      <c r="CB24" s="283">
        <f t="shared" si="46"/>
        <v>33.845639759567788</v>
      </c>
      <c r="CC24" s="283">
        <f t="shared" si="47"/>
        <v>142.29015553244861</v>
      </c>
      <c r="CD24" s="283">
        <f t="shared" si="48"/>
        <v>20.018124360254845</v>
      </c>
      <c r="CE24" s="283">
        <f t="shared" si="49"/>
        <v>129.0544690667611</v>
      </c>
      <c r="CF24" s="283">
        <f t="shared" si="50"/>
        <v>0</v>
      </c>
      <c r="CG24" s="283">
        <f t="shared" si="51"/>
        <v>474.50659566030197</v>
      </c>
      <c r="CH24" s="283"/>
      <c r="CI24" s="298"/>
      <c r="CJ24" s="283">
        <f t="shared" si="52"/>
        <v>138.36932140025269</v>
      </c>
      <c r="CK24" s="283">
        <f t="shared" si="53"/>
        <v>31.549041166031131</v>
      </c>
      <c r="CL24" s="283">
        <f t="shared" si="54"/>
        <v>134.74968303137047</v>
      </c>
      <c r="CM24" s="283">
        <f t="shared" si="55"/>
        <v>18.659792930339805</v>
      </c>
      <c r="CN24" s="283">
        <f t="shared" si="56"/>
        <v>123.92418930240085</v>
      </c>
      <c r="CO24" s="283">
        <f t="shared" si="57"/>
        <v>0</v>
      </c>
      <c r="CP24" s="283">
        <f t="shared" si="95"/>
        <v>447.25202783039492</v>
      </c>
      <c r="CR24" s="277">
        <f t="shared" si="58"/>
        <v>7.8840597864494072E-2</v>
      </c>
      <c r="CS24" s="277">
        <f t="shared" si="59"/>
        <v>3.0550930195793894E-3</v>
      </c>
      <c r="CT24" s="277">
        <f t="shared" si="60"/>
        <v>4.9277028582643698E-2</v>
      </c>
      <c r="CU24" s="277">
        <f t="shared" si="61"/>
        <v>4.493510350183133E-4</v>
      </c>
      <c r="CV24" s="277">
        <f t="shared" si="62"/>
        <v>8.1873051730960624E-3</v>
      </c>
      <c r="CW24" s="277">
        <v>0</v>
      </c>
      <c r="CX24" s="277">
        <f t="shared" si="10"/>
        <v>0.13980937567483154</v>
      </c>
      <c r="CY24" s="277"/>
      <c r="CZ24" s="351"/>
      <c r="DA24" s="277">
        <f t="shared" si="63"/>
        <v>7.3069330494984777E-2</v>
      </c>
      <c r="DB24" s="277">
        <f t="shared" si="64"/>
        <v>2.8477894383283882E-3</v>
      </c>
      <c r="DC24" s="277">
        <f t="shared" si="65"/>
        <v>4.6654293665483418E-2</v>
      </c>
      <c r="DD24" s="277">
        <f t="shared" si="66"/>
        <v>4.1886028458906283E-4</v>
      </c>
      <c r="DE24" s="277">
        <f t="shared" si="67"/>
        <v>7.8612590907162997E-3</v>
      </c>
      <c r="DF24" s="277">
        <v>0</v>
      </c>
      <c r="DG24" s="277">
        <f t="shared" si="68"/>
        <v>0.13085153297410196</v>
      </c>
      <c r="DJ24" s="277">
        <f t="shared" si="69"/>
        <v>7.9702750428157498E-2</v>
      </c>
      <c r="DK24" s="277">
        <f t="shared" si="70"/>
        <v>3.08850164851429E-3</v>
      </c>
      <c r="DL24" s="277">
        <f t="shared" si="71"/>
        <v>4.9360538523225174E-2</v>
      </c>
      <c r="DM24" s="277">
        <f t="shared" si="72"/>
        <v>4.5426486313884215E-4</v>
      </c>
      <c r="DN24" s="277">
        <f t="shared" si="73"/>
        <v>8.24868818478155E-3</v>
      </c>
      <c r="DO24" s="277">
        <f t="shared" si="74"/>
        <v>0</v>
      </c>
      <c r="DP24" s="277">
        <f t="shared" si="96"/>
        <v>0.14085474364781736</v>
      </c>
      <c r="DQ24" s="351"/>
      <c r="DS24" s="277">
        <f t="shared" si="75"/>
        <v>7.3868372008085631E-2</v>
      </c>
      <c r="DT24" s="277">
        <f t="shared" si="76"/>
        <v>2.8789311220742213E-3</v>
      </c>
      <c r="DU24" s="277">
        <f t="shared" si="77"/>
        <v>4.6744744183975125E-2</v>
      </c>
      <c r="DV24" s="277">
        <f t="shared" si="78"/>
        <v>4.2344068450936697E-4</v>
      </c>
      <c r="DW24" s="277">
        <f t="shared" si="79"/>
        <v>7.9207795243305072E-3</v>
      </c>
      <c r="DX24" s="277">
        <f t="shared" si="97"/>
        <v>0</v>
      </c>
      <c r="DY24" s="302">
        <f t="shared" si="98"/>
        <v>0.13183626752297486</v>
      </c>
    </row>
    <row r="25" spans="2:129" x14ac:dyDescent="0.15">
      <c r="B25" s="358" t="s">
        <v>707</v>
      </c>
      <c r="C25" s="137">
        <v>16</v>
      </c>
      <c r="D25" s="137">
        <v>80</v>
      </c>
      <c r="E25" s="278">
        <f t="shared" si="0"/>
        <v>3.6200000000000003E-2</v>
      </c>
      <c r="F25" s="278">
        <f t="shared" si="1"/>
        <v>5.8999999999999999E-3</v>
      </c>
      <c r="G25" s="277">
        <f t="shared" si="80"/>
        <v>0.1187648</v>
      </c>
      <c r="H25" s="277">
        <f t="shared" si="2"/>
        <v>0.26722080000000004</v>
      </c>
      <c r="I25" s="277">
        <f t="shared" si="81"/>
        <v>0.17814720000000001</v>
      </c>
      <c r="J25" s="277">
        <f t="shared" si="3"/>
        <v>0.28087875200000001</v>
      </c>
      <c r="K25" s="277">
        <f t="shared" si="4"/>
        <v>0.13776716799999997</v>
      </c>
      <c r="L25" s="277"/>
      <c r="N25" s="277">
        <f t="shared" si="82"/>
        <v>0.18329226564121082</v>
      </c>
      <c r="O25" s="277">
        <f t="shared" si="83"/>
        <v>7.7732037910413238E-3</v>
      </c>
      <c r="P25" s="277">
        <f t="shared" si="84"/>
        <v>0.12299135006657964</v>
      </c>
      <c r="Q25" s="277">
        <f t="shared" si="85"/>
        <v>1.2669033803078399E-3</v>
      </c>
      <c r="R25" s="277">
        <f t="shared" si="86"/>
        <v>2.458067894602893E-2</v>
      </c>
      <c r="S25" s="277">
        <f t="shared" si="87"/>
        <v>0.66009559817483132</v>
      </c>
      <c r="T25" s="277">
        <f t="shared" si="5"/>
        <v>0.99999999999999989</v>
      </c>
      <c r="U25" s="277">
        <f t="shared" si="6"/>
        <v>0.33990440182516857</v>
      </c>
      <c r="V25" s="290"/>
      <c r="W25" s="277"/>
      <c r="X25" s="277">
        <f t="shared" si="11"/>
        <v>0.16854962881425067</v>
      </c>
      <c r="Y25" s="277">
        <f t="shared" si="12"/>
        <v>7.2041919036265785E-3</v>
      </c>
      <c r="Z25" s="277">
        <f t="shared" si="13"/>
        <v>0.11488408877500728</v>
      </c>
      <c r="AA25" s="277">
        <f t="shared" si="14"/>
        <v>1.1741638737954919E-3</v>
      </c>
      <c r="AB25" s="277">
        <f t="shared" si="15"/>
        <v>2.3343002253044309E-2</v>
      </c>
      <c r="AC25" s="277">
        <f t="shared" si="16"/>
        <v>0.68484492438027555</v>
      </c>
      <c r="AD25" s="277">
        <f t="shared" si="17"/>
        <v>1</v>
      </c>
      <c r="AE25" s="277">
        <f t="shared" si="18"/>
        <v>0.31515507561972433</v>
      </c>
      <c r="AF25" s="277"/>
      <c r="AG25" s="290"/>
      <c r="AH25" s="277">
        <f t="shared" si="19"/>
        <v>0.61038456986400003</v>
      </c>
      <c r="AI25" s="277">
        <f t="shared" si="20"/>
        <v>0.56471446546800008</v>
      </c>
      <c r="AJ25" s="277">
        <f t="shared" si="21"/>
        <v>0.59516120173200004</v>
      </c>
      <c r="AK25" s="277">
        <f t="shared" si="22"/>
        <v>0.50962037127600002</v>
      </c>
      <c r="AL25" s="277">
        <f t="shared" si="23"/>
        <v>0.50962037127600002</v>
      </c>
      <c r="AM25" s="277">
        <v>0</v>
      </c>
      <c r="AN25" s="282"/>
      <c r="AP25" s="277">
        <f t="shared" si="24"/>
        <v>0.18529663776677299</v>
      </c>
      <c r="AQ25" s="277">
        <f t="shared" si="25"/>
        <v>7.8582067940353266E-3</v>
      </c>
      <c r="AR25" s="277">
        <f t="shared" si="26"/>
        <v>0.12326338818586145</v>
      </c>
      <c r="AS25" s="277">
        <f t="shared" si="27"/>
        <v>1.2807574609063099E-3</v>
      </c>
      <c r="AT25" s="277">
        <f t="shared" si="28"/>
        <v>2.4768765100229111E-2</v>
      </c>
      <c r="AU25" s="277">
        <f t="shared" si="29"/>
        <v>0.65753224469219462</v>
      </c>
      <c r="AV25" s="277">
        <f t="shared" si="7"/>
        <v>0.99999999999999978</v>
      </c>
      <c r="AW25" s="277">
        <f t="shared" si="8"/>
        <v>0.34246775530780521</v>
      </c>
      <c r="AX25" s="289"/>
      <c r="AY25" s="277">
        <f t="shared" si="88"/>
        <v>0.17039278447926082</v>
      </c>
      <c r="AZ25" s="277">
        <f t="shared" si="89"/>
        <v>7.2829725405962548E-3</v>
      </c>
      <c r="BA25" s="277">
        <f t="shared" si="90"/>
        <v>0.11516303969593319</v>
      </c>
      <c r="BB25" s="277">
        <f t="shared" si="91"/>
        <v>1.1870038118651353E-3</v>
      </c>
      <c r="BC25" s="277">
        <f t="shared" si="92"/>
        <v>2.3523113740707341E-2</v>
      </c>
      <c r="BD25" s="277">
        <f t="shared" si="93"/>
        <v>0.68245108573163715</v>
      </c>
      <c r="BE25" s="277">
        <f t="shared" si="31"/>
        <v>0.99999999999999989</v>
      </c>
      <c r="BF25" s="277">
        <f t="shared" si="32"/>
        <v>0.31754891426836274</v>
      </c>
      <c r="BG25" s="349"/>
      <c r="BH25" s="350"/>
      <c r="BJ25" s="283">
        <f t="shared" si="33"/>
        <v>121.79893721085084</v>
      </c>
      <c r="BK25" s="283">
        <f t="shared" si="34"/>
        <v>27.957503378964347</v>
      </c>
      <c r="BL25" s="283">
        <f t="shared" si="35"/>
        <v>122.63619721241918</v>
      </c>
      <c r="BM25" s="283">
        <f t="shared" si="36"/>
        <v>16.535565095475693</v>
      </c>
      <c r="BN25" s="283">
        <f t="shared" si="37"/>
        <v>113.90514611478275</v>
      </c>
      <c r="BO25" s="283">
        <f t="shared" si="38"/>
        <v>0</v>
      </c>
      <c r="BP25" s="283">
        <f t="shared" si="9"/>
        <v>402.83334901249282</v>
      </c>
      <c r="BQ25" s="342"/>
      <c r="BR25" s="283">
        <f t="shared" si="39"/>
        <v>112.00235637353279</v>
      </c>
      <c r="BS25" s="283">
        <f t="shared" si="40"/>
        <v>25.910966044718347</v>
      </c>
      <c r="BT25" s="283">
        <f t="shared" si="41"/>
        <v>114.55234664839445</v>
      </c>
      <c r="BU25" s="283">
        <f t="shared" si="42"/>
        <v>15.325133289314909</v>
      </c>
      <c r="BV25" s="283">
        <f t="shared" si="43"/>
        <v>108.16983893035489</v>
      </c>
      <c r="BW25" s="283">
        <f t="shared" si="94"/>
        <v>0</v>
      </c>
      <c r="BX25" s="285">
        <f t="shared" si="44"/>
        <v>375.96064128631542</v>
      </c>
      <c r="BY25" s="285"/>
      <c r="CA25" s="283">
        <f t="shared" si="45"/>
        <v>123.13085590264335</v>
      </c>
      <c r="CB25" s="283">
        <f t="shared" si="46"/>
        <v>28.263229538642015</v>
      </c>
      <c r="CC25" s="283">
        <f t="shared" si="47"/>
        <v>122.90744978772206</v>
      </c>
      <c r="CD25" s="283">
        <f t="shared" si="48"/>
        <v>16.716387923115715</v>
      </c>
      <c r="CE25" s="283">
        <f t="shared" si="49"/>
        <v>114.77672419134358</v>
      </c>
      <c r="CF25" s="283">
        <f t="shared" si="50"/>
        <v>0</v>
      </c>
      <c r="CG25" s="283">
        <f t="shared" si="51"/>
        <v>405.79464734346669</v>
      </c>
      <c r="CH25" s="283"/>
      <c r="CI25" s="298"/>
      <c r="CJ25" s="283">
        <f t="shared" si="52"/>
        <v>113.22714564833959</v>
      </c>
      <c r="CK25" s="283">
        <f t="shared" si="53"/>
        <v>26.19431252365861</v>
      </c>
      <c r="CL25" s="283">
        <f t="shared" si="54"/>
        <v>114.83049206376502</v>
      </c>
      <c r="CM25" s="283">
        <f t="shared" si="55"/>
        <v>15.492719574956419</v>
      </c>
      <c r="CN25" s="283">
        <f t="shared" si="56"/>
        <v>109.00446296023844</v>
      </c>
      <c r="CO25" s="283">
        <f t="shared" si="57"/>
        <v>0</v>
      </c>
      <c r="CP25" s="283">
        <f t="shared" si="95"/>
        <v>378.74913277095811</v>
      </c>
      <c r="CR25" s="277">
        <f t="shared" si="58"/>
        <v>6.4521148471226947E-2</v>
      </c>
      <c r="CS25" s="277">
        <f t="shared" si="59"/>
        <v>2.531531698067148E-3</v>
      </c>
      <c r="CT25" s="277">
        <f t="shared" si="60"/>
        <v>4.2214688023386342E-2</v>
      </c>
      <c r="CU25" s="277">
        <f t="shared" si="61"/>
        <v>3.7234427279885348E-4</v>
      </c>
      <c r="CV25" s="277">
        <f t="shared" si="62"/>
        <v>7.224288110145625E-3</v>
      </c>
      <c r="CW25" s="277">
        <v>0</v>
      </c>
      <c r="CX25" s="277">
        <f t="shared" si="10"/>
        <v>0.1168640005756249</v>
      </c>
      <c r="CY25" s="277"/>
      <c r="CZ25" s="351"/>
      <c r="DA25" s="277">
        <f t="shared" si="63"/>
        <v>5.9331557648929827E-2</v>
      </c>
      <c r="DB25" s="277">
        <f t="shared" si="64"/>
        <v>2.3462192235341123E-3</v>
      </c>
      <c r="DC25" s="277">
        <f t="shared" si="65"/>
        <v>3.9432008542572991E-2</v>
      </c>
      <c r="DD25" s="277">
        <f t="shared" si="66"/>
        <v>3.4508803159782815E-4</v>
      </c>
      <c r="DE25" s="277">
        <f t="shared" si="67"/>
        <v>6.86053359234059E-3</v>
      </c>
      <c r="DF25" s="277">
        <v>0</v>
      </c>
      <c r="DG25" s="277">
        <f t="shared" si="68"/>
        <v>0.10831540703897535</v>
      </c>
      <c r="DJ25" s="277">
        <f t="shared" si="69"/>
        <v>6.5226712293314976E-2</v>
      </c>
      <c r="DK25" s="277">
        <f t="shared" si="70"/>
        <v>2.5592149805713608E-3</v>
      </c>
      <c r="DL25" s="277">
        <f t="shared" si="71"/>
        <v>4.2308060478682866E-2</v>
      </c>
      <c r="DM25" s="277">
        <f t="shared" si="72"/>
        <v>3.7641600206085964E-4</v>
      </c>
      <c r="DN25" s="277">
        <f t="shared" si="73"/>
        <v>7.2795668341570667E-3</v>
      </c>
      <c r="DO25" s="277">
        <f t="shared" si="74"/>
        <v>0</v>
      </c>
      <c r="DP25" s="277">
        <f t="shared" si="96"/>
        <v>0.11774997058878713</v>
      </c>
      <c r="DQ25" s="351"/>
      <c r="DS25" s="277">
        <f t="shared" si="75"/>
        <v>5.9980371279454152E-2</v>
      </c>
      <c r="DT25" s="277">
        <f t="shared" si="76"/>
        <v>2.3718760421437704E-3</v>
      </c>
      <c r="DU25" s="277">
        <f t="shared" si="77"/>
        <v>3.9527753699401896E-2</v>
      </c>
      <c r="DV25" s="277">
        <f t="shared" si="78"/>
        <v>3.4886170327448125E-4</v>
      </c>
      <c r="DW25" s="277">
        <f t="shared" si="79"/>
        <v>6.9134685532373829E-3</v>
      </c>
      <c r="DX25" s="277">
        <f t="shared" si="97"/>
        <v>0</v>
      </c>
      <c r="DY25" s="302">
        <f t="shared" si="98"/>
        <v>0.10914233127751168</v>
      </c>
    </row>
    <row r="26" spans="2:129" x14ac:dyDescent="0.15">
      <c r="B26" s="358" t="s">
        <v>707</v>
      </c>
      <c r="C26" s="137">
        <v>17</v>
      </c>
      <c r="D26" s="137">
        <v>81</v>
      </c>
      <c r="E26" s="278">
        <f t="shared" si="0"/>
        <v>3.6200000000000003E-2</v>
      </c>
      <c r="F26" s="278">
        <f t="shared" si="1"/>
        <v>5.8999999999999999E-3</v>
      </c>
      <c r="G26" s="277">
        <f t="shared" si="80"/>
        <v>0.13339847999999999</v>
      </c>
      <c r="H26" s="277">
        <f t="shared" si="2"/>
        <v>0.30014658</v>
      </c>
      <c r="I26" s="277">
        <f t="shared" si="81"/>
        <v>0.20009771999999998</v>
      </c>
      <c r="J26" s="277">
        <f t="shared" si="3"/>
        <v>0.31548740520000002</v>
      </c>
      <c r="K26" s="277">
        <f t="shared" si="4"/>
        <v>0.15474223679999999</v>
      </c>
      <c r="L26" s="277"/>
      <c r="N26" s="277">
        <f t="shared" si="82"/>
        <v>0.15380699198729056</v>
      </c>
      <c r="O26" s="277">
        <f t="shared" si="83"/>
        <v>6.6351800162118323E-3</v>
      </c>
      <c r="P26" s="277">
        <f t="shared" si="84"/>
        <v>0.10677682748343489</v>
      </c>
      <c r="Q26" s="277">
        <f t="shared" si="85"/>
        <v>1.0814243672831439E-3</v>
      </c>
      <c r="R26" s="277">
        <f t="shared" si="86"/>
        <v>2.2105325560059692E-2</v>
      </c>
      <c r="S26" s="277">
        <f t="shared" si="87"/>
        <v>0.70959425058571979</v>
      </c>
      <c r="T26" s="277">
        <f t="shared" si="5"/>
        <v>0.99999999999999989</v>
      </c>
      <c r="U26" s="277">
        <f t="shared" si="6"/>
        <v>0.2904057494142801</v>
      </c>
      <c r="V26" s="290"/>
      <c r="W26" s="277"/>
      <c r="X26" s="277">
        <f t="shared" si="11"/>
        <v>0.14031054533371973</v>
      </c>
      <c r="Y26" s="277">
        <f t="shared" si="12"/>
        <v>6.1014965630758755E-3</v>
      </c>
      <c r="Z26" s="277">
        <f t="shared" si="13"/>
        <v>9.8415754332631319E-2</v>
      </c>
      <c r="AA26" s="277">
        <f t="shared" si="14"/>
        <v>9.9444281000407911E-4</v>
      </c>
      <c r="AB26" s="277">
        <f t="shared" si="15"/>
        <v>2.0765136098746233E-2</v>
      </c>
      <c r="AC26" s="277">
        <f t="shared" si="16"/>
        <v>0.73341262486182268</v>
      </c>
      <c r="AD26" s="277">
        <f t="shared" si="17"/>
        <v>0.99999999999999978</v>
      </c>
      <c r="AE26" s="277">
        <f t="shared" si="18"/>
        <v>0.26658737513817721</v>
      </c>
      <c r="AF26" s="277"/>
      <c r="AG26" s="290"/>
      <c r="AH26" s="277">
        <f t="shared" si="19"/>
        <v>0.60558781374400006</v>
      </c>
      <c r="AI26" s="277">
        <f t="shared" si="20"/>
        <v>0.56027661152800001</v>
      </c>
      <c r="AJ26" s="277">
        <f t="shared" si="21"/>
        <v>0.59048407967200001</v>
      </c>
      <c r="AK26" s="277">
        <f t="shared" si="22"/>
        <v>0.50561547869599999</v>
      </c>
      <c r="AL26" s="277">
        <f t="shared" si="23"/>
        <v>0.50561547869599999</v>
      </c>
      <c r="AM26" s="277">
        <v>0</v>
      </c>
      <c r="AN26" s="282"/>
      <c r="AP26" s="277">
        <f t="shared" si="24"/>
        <v>0.15548893119174861</v>
      </c>
      <c r="AQ26" s="277">
        <f t="shared" si="25"/>
        <v>6.707738287157183E-3</v>
      </c>
      <c r="AR26" s="277">
        <f t="shared" si="26"/>
        <v>0.10706269120600492</v>
      </c>
      <c r="AS26" s="277">
        <f t="shared" si="27"/>
        <v>1.0932501628239607E-3</v>
      </c>
      <c r="AT26" s="277">
        <f t="shared" si="28"/>
        <v>2.2277462381185567E-2</v>
      </c>
      <c r="AU26" s="277">
        <f t="shared" si="29"/>
        <v>0.70736992677107968</v>
      </c>
      <c r="AV26" s="277">
        <f t="shared" si="7"/>
        <v>1</v>
      </c>
      <c r="AW26" s="277">
        <f t="shared" si="8"/>
        <v>0.29263007322892026</v>
      </c>
      <c r="AX26" s="289"/>
      <c r="AY26" s="277">
        <f t="shared" si="88"/>
        <v>0.14184489565126038</v>
      </c>
      <c r="AZ26" s="277">
        <f t="shared" si="89"/>
        <v>6.1682187981492416E-3</v>
      </c>
      <c r="BA26" s="277">
        <f t="shared" si="90"/>
        <v>9.869840779267805E-2</v>
      </c>
      <c r="BB26" s="277">
        <f t="shared" si="91"/>
        <v>1.0053174284276388E-3</v>
      </c>
      <c r="BC26" s="277">
        <f t="shared" si="92"/>
        <v>2.0928001954499391E-2</v>
      </c>
      <c r="BD26" s="277">
        <f t="shared" si="93"/>
        <v>0.73135515837498521</v>
      </c>
      <c r="BE26" s="277">
        <f t="shared" si="31"/>
        <v>0.99999999999999989</v>
      </c>
      <c r="BF26" s="277">
        <f t="shared" si="32"/>
        <v>0.26864484162501467</v>
      </c>
      <c r="BG26" s="349"/>
      <c r="BH26" s="350"/>
      <c r="BJ26" s="283">
        <f t="shared" si="33"/>
        <v>98.749541580883815</v>
      </c>
      <c r="BK26" s="283">
        <f t="shared" si="34"/>
        <v>23.05741904393463</v>
      </c>
      <c r="BL26" s="283">
        <f t="shared" si="35"/>
        <v>102.86811215881133</v>
      </c>
      <c r="BM26" s="283">
        <f t="shared" si="36"/>
        <v>13.63739273734698</v>
      </c>
      <c r="BN26" s="283">
        <f t="shared" si="37"/>
        <v>98.97056207335946</v>
      </c>
      <c r="BO26" s="283">
        <f t="shared" si="38"/>
        <v>0</v>
      </c>
      <c r="BP26" s="283">
        <f t="shared" si="9"/>
        <v>337.2830275943362</v>
      </c>
      <c r="BQ26" s="342"/>
      <c r="BR26" s="283">
        <f t="shared" si="39"/>
        <v>90.084344356812878</v>
      </c>
      <c r="BS26" s="283">
        <f t="shared" si="40"/>
        <v>21.202855492425261</v>
      </c>
      <c r="BT26" s="283">
        <f t="shared" si="41"/>
        <v>94.813107801444374</v>
      </c>
      <c r="BU26" s="283">
        <f t="shared" si="42"/>
        <v>12.540504509739591</v>
      </c>
      <c r="BV26" s="283">
        <f t="shared" si="43"/>
        <v>92.970229533103151</v>
      </c>
      <c r="BW26" s="283">
        <f t="shared" si="94"/>
        <v>0</v>
      </c>
      <c r="BX26" s="285">
        <f t="shared" si="44"/>
        <v>311.61104169352529</v>
      </c>
      <c r="BY26" s="285"/>
      <c r="CA26" s="283">
        <f t="shared" si="45"/>
        <v>99.829406177812373</v>
      </c>
      <c r="CB26" s="283">
        <f t="shared" si="46"/>
        <v>23.30956087794706</v>
      </c>
      <c r="CC26" s="283">
        <f t="shared" si="47"/>
        <v>103.14351143942801</v>
      </c>
      <c r="CD26" s="283">
        <f t="shared" si="48"/>
        <v>13.786522924441664</v>
      </c>
      <c r="CE26" s="283">
        <f t="shared" si="49"/>
        <v>99.741257709307519</v>
      </c>
      <c r="CF26" s="283">
        <f t="shared" si="50"/>
        <v>0</v>
      </c>
      <c r="CG26" s="283">
        <f t="shared" si="51"/>
        <v>339.81025912893665</v>
      </c>
      <c r="CH26" s="283"/>
      <c r="CI26" s="298"/>
      <c r="CJ26" s="283">
        <f t="shared" si="52"/>
        <v>91.069451656058035</v>
      </c>
      <c r="CK26" s="283">
        <f t="shared" si="53"/>
        <v>21.434716953587674</v>
      </c>
      <c r="CL26" s="283">
        <f t="shared" si="54"/>
        <v>95.085414335693798</v>
      </c>
      <c r="CM26" s="283">
        <f t="shared" si="55"/>
        <v>12.677639797973802</v>
      </c>
      <c r="CN26" s="283">
        <f t="shared" si="56"/>
        <v>93.699416951883919</v>
      </c>
      <c r="CO26" s="283">
        <f t="shared" si="57"/>
        <v>0</v>
      </c>
      <c r="CP26" s="283">
        <f t="shared" si="95"/>
        <v>313.96663969519722</v>
      </c>
      <c r="CR26" s="277">
        <f t="shared" si="58"/>
        <v>5.189998824727815E-2</v>
      </c>
      <c r="CS26" s="277">
        <f t="shared" si="59"/>
        <v>2.0714252076533758E-3</v>
      </c>
      <c r="CT26" s="277">
        <f t="shared" si="60"/>
        <v>3.5131707602471154E-2</v>
      </c>
      <c r="CU26" s="277">
        <f t="shared" si="61"/>
        <v>3.0467061233710544E-4</v>
      </c>
      <c r="CV26" s="277">
        <f t="shared" si="62"/>
        <v>6.2277522849002948E-3</v>
      </c>
      <c r="CW26" s="277">
        <v>0</v>
      </c>
      <c r="CX26" s="277">
        <f t="shared" si="10"/>
        <v>9.5635543954640079E-2</v>
      </c>
      <c r="CY26" s="277"/>
      <c r="CZ26" s="351"/>
      <c r="DA26" s="277">
        <f t="shared" si="63"/>
        <v>4.7345803722570558E-2</v>
      </c>
      <c r="DB26" s="277">
        <f t="shared" si="64"/>
        <v>1.9048155067813164E-3</v>
      </c>
      <c r="DC26" s="277">
        <f t="shared" si="65"/>
        <v>3.2380747641402141E-2</v>
      </c>
      <c r="DD26" s="277">
        <f t="shared" si="66"/>
        <v>2.8016522377736244E-4</v>
      </c>
      <c r="DE26" s="277">
        <f t="shared" si="67"/>
        <v>5.8501795612044914E-3</v>
      </c>
      <c r="DF26" s="277">
        <v>0</v>
      </c>
      <c r="DG26" s="277">
        <f t="shared" si="68"/>
        <v>8.7761711655735861E-2</v>
      </c>
      <c r="DJ26" s="277">
        <f t="shared" si="69"/>
        <v>5.2467534779565984E-2</v>
      </c>
      <c r="DK26" s="277">
        <f t="shared" si="70"/>
        <v>2.0940770469543017E-3</v>
      </c>
      <c r="DL26" s="277">
        <f t="shared" si="71"/>
        <v>3.5225762473290782E-2</v>
      </c>
      <c r="DM26" s="277">
        <f t="shared" si="72"/>
        <v>3.0800230383379865E-4</v>
      </c>
      <c r="DN26" s="277">
        <f t="shared" si="73"/>
        <v>6.2762485388084066E-3</v>
      </c>
      <c r="DO26" s="277">
        <f t="shared" si="74"/>
        <v>0</v>
      </c>
      <c r="DP26" s="277">
        <f t="shared" si="96"/>
        <v>9.6371625142453274E-2</v>
      </c>
      <c r="DQ26" s="351"/>
      <c r="DS26" s="277">
        <f t="shared" si="75"/>
        <v>4.7863548477985497E-2</v>
      </c>
      <c r="DT26" s="277">
        <f t="shared" si="76"/>
        <v>1.9256454042828545E-3</v>
      </c>
      <c r="DU26" s="277">
        <f t="shared" si="77"/>
        <v>3.2473746271771908E-2</v>
      </c>
      <c r="DV26" s="277">
        <f t="shared" si="78"/>
        <v>2.8322893933091704E-4</v>
      </c>
      <c r="DW26" s="277">
        <f t="shared" si="79"/>
        <v>5.8960638981052612E-3</v>
      </c>
      <c r="DX26" s="277">
        <f t="shared" si="97"/>
        <v>0</v>
      </c>
      <c r="DY26" s="302">
        <f t="shared" si="98"/>
        <v>8.8442232991476438E-2</v>
      </c>
    </row>
    <row r="27" spans="2:129" x14ac:dyDescent="0.15">
      <c r="B27" s="358" t="s">
        <v>707</v>
      </c>
      <c r="C27" s="137">
        <v>18</v>
      </c>
      <c r="D27" s="137">
        <v>82</v>
      </c>
      <c r="E27" s="278">
        <f t="shared" si="0"/>
        <v>3.6200000000000003E-2</v>
      </c>
      <c r="F27" s="278">
        <f t="shared" si="1"/>
        <v>5.8999999999999999E-3</v>
      </c>
      <c r="G27" s="277">
        <f t="shared" si="80"/>
        <v>0.15079824</v>
      </c>
      <c r="H27" s="277">
        <f t="shared" si="2"/>
        <v>0.33929604000000002</v>
      </c>
      <c r="I27" s="277">
        <f t="shared" si="81"/>
        <v>0.22619736000000001</v>
      </c>
      <c r="J27" s="277">
        <f t="shared" si="3"/>
        <v>0.35663783760000001</v>
      </c>
      <c r="K27" s="277">
        <f t="shared" si="4"/>
        <v>0.17492595839999997</v>
      </c>
      <c r="L27" s="277"/>
      <c r="N27" s="277">
        <f t="shared" si="82"/>
        <v>0.1268140986801489</v>
      </c>
      <c r="O27" s="277">
        <f t="shared" si="83"/>
        <v>5.5678131099399187E-3</v>
      </c>
      <c r="P27" s="277">
        <f t="shared" si="84"/>
        <v>9.0054681181827745E-2</v>
      </c>
      <c r="Q27" s="277">
        <f t="shared" si="85"/>
        <v>9.0746125272501423E-4</v>
      </c>
      <c r="R27" s="277">
        <f t="shared" si="86"/>
        <v>1.9424946637432775E-2</v>
      </c>
      <c r="S27" s="277">
        <f t="shared" si="87"/>
        <v>0.75723099913792569</v>
      </c>
      <c r="T27" s="277">
        <f t="shared" si="5"/>
        <v>1</v>
      </c>
      <c r="U27" s="277">
        <f t="shared" si="6"/>
        <v>0.24276900086207434</v>
      </c>
      <c r="V27" s="290"/>
      <c r="W27" s="277"/>
      <c r="X27" s="277">
        <f t="shared" si="11"/>
        <v>0.11458299045885537</v>
      </c>
      <c r="Y27" s="277">
        <f t="shared" si="12"/>
        <v>5.0792417410806551E-3</v>
      </c>
      <c r="Z27" s="277">
        <f t="shared" si="13"/>
        <v>8.1708953697480796E-2</v>
      </c>
      <c r="AA27" s="277">
        <f t="shared" si="14"/>
        <v>8.2783221746894641E-4</v>
      </c>
      <c r="AB27" s="277">
        <f t="shared" si="15"/>
        <v>1.801789605064557E-2</v>
      </c>
      <c r="AC27" s="277">
        <f t="shared" si="16"/>
        <v>0.77978308583446876</v>
      </c>
      <c r="AD27" s="277">
        <f t="shared" si="17"/>
        <v>1</v>
      </c>
      <c r="AE27" s="277">
        <f t="shared" si="18"/>
        <v>0.22021691416553135</v>
      </c>
      <c r="AF27" s="277"/>
      <c r="AG27" s="290"/>
      <c r="AH27" s="277">
        <f t="shared" si="19"/>
        <v>0.60073514882400003</v>
      </c>
      <c r="AI27" s="277">
        <f t="shared" si="20"/>
        <v>0.55578703198800006</v>
      </c>
      <c r="AJ27" s="277">
        <f t="shared" si="21"/>
        <v>0.58575244321200004</v>
      </c>
      <c r="AK27" s="277">
        <f t="shared" si="22"/>
        <v>0.50156390691599995</v>
      </c>
      <c r="AL27" s="277">
        <f t="shared" si="23"/>
        <v>0.50156390691599995</v>
      </c>
      <c r="AM27" s="277">
        <v>0</v>
      </c>
      <c r="AN27" s="282"/>
      <c r="AP27" s="277">
        <f t="shared" si="24"/>
        <v>0.12820086011077214</v>
      </c>
      <c r="AQ27" s="277">
        <f t="shared" si="25"/>
        <v>5.6286993091413003E-3</v>
      </c>
      <c r="AR27" s="277">
        <f t="shared" si="26"/>
        <v>9.0334124379351177E-2</v>
      </c>
      <c r="AS27" s="277">
        <f t="shared" si="27"/>
        <v>9.1738469403131683E-4</v>
      </c>
      <c r="AT27" s="277">
        <f t="shared" si="28"/>
        <v>1.9578541527813211E-2</v>
      </c>
      <c r="AU27" s="277">
        <f t="shared" si="29"/>
        <v>0.75534038997889075</v>
      </c>
      <c r="AV27" s="277">
        <f t="shared" si="7"/>
        <v>0.99999999999999989</v>
      </c>
      <c r="AW27" s="277">
        <f t="shared" si="8"/>
        <v>0.24465961002110917</v>
      </c>
      <c r="AX27" s="289"/>
      <c r="AY27" s="277">
        <f t="shared" si="88"/>
        <v>0.11583599996984506</v>
      </c>
      <c r="AZ27" s="277">
        <f t="shared" si="89"/>
        <v>5.1347852225756257E-3</v>
      </c>
      <c r="BA27" s="277">
        <f t="shared" si="90"/>
        <v>8.197690611469019E-2</v>
      </c>
      <c r="BB27" s="277">
        <f t="shared" si="91"/>
        <v>8.3688488434243628E-4</v>
      </c>
      <c r="BC27" s="277">
        <f t="shared" si="92"/>
        <v>1.8161249257652074E-2</v>
      </c>
      <c r="BD27" s="277">
        <f t="shared" si="93"/>
        <v>0.77805417455089443</v>
      </c>
      <c r="BE27" s="277">
        <f t="shared" si="31"/>
        <v>0.99999999999999978</v>
      </c>
      <c r="BF27" s="277">
        <f t="shared" si="32"/>
        <v>0.22194582544910541</v>
      </c>
      <c r="BG27" s="349"/>
      <c r="BH27" s="350"/>
      <c r="BJ27" s="283">
        <f t="shared" si="33"/>
        <v>78.665842640330368</v>
      </c>
      <c r="BK27" s="283">
        <f t="shared" si="34"/>
        <v>18.694001875281057</v>
      </c>
      <c r="BL27" s="283">
        <f t="shared" si="35"/>
        <v>83.824254535340501</v>
      </c>
      <c r="BM27" s="283">
        <f t="shared" si="36"/>
        <v>11.056634089016622</v>
      </c>
      <c r="BN27" s="283">
        <f t="shared" si="37"/>
        <v>84.028885983426903</v>
      </c>
      <c r="BO27" s="283">
        <f t="shared" si="38"/>
        <v>0</v>
      </c>
      <c r="BP27" s="283">
        <f t="shared" si="9"/>
        <v>276.2696191233955</v>
      </c>
      <c r="BQ27" s="342"/>
      <c r="BR27" s="283">
        <f t="shared" si="39"/>
        <v>71.078591343612018</v>
      </c>
      <c r="BS27" s="283">
        <f t="shared" si="40"/>
        <v>17.053617418166571</v>
      </c>
      <c r="BT27" s="283">
        <f t="shared" si="41"/>
        <v>76.055925607297468</v>
      </c>
      <c r="BU27" s="283">
        <f t="shared" si="42"/>
        <v>10.086422850747322</v>
      </c>
      <c r="BV27" s="283">
        <f t="shared" si="43"/>
        <v>77.942233827471128</v>
      </c>
      <c r="BW27" s="283">
        <f t="shared" si="94"/>
        <v>0</v>
      </c>
      <c r="BX27" s="285">
        <f t="shared" si="44"/>
        <v>252.21679104729452</v>
      </c>
      <c r="BY27" s="285"/>
      <c r="CA27" s="283">
        <f t="shared" si="45"/>
        <v>79.526084187733048</v>
      </c>
      <c r="CB27" s="283">
        <f t="shared" si="46"/>
        <v>18.898428047563563</v>
      </c>
      <c r="CC27" s="283">
        <f t="shared" si="47"/>
        <v>84.084364475323284</v>
      </c>
      <c r="CD27" s="283">
        <f t="shared" si="48"/>
        <v>11.177542677783519</v>
      </c>
      <c r="CE27" s="283">
        <f t="shared" si="49"/>
        <v>84.693310332811905</v>
      </c>
      <c r="CF27" s="283">
        <f t="shared" si="50"/>
        <v>0</v>
      </c>
      <c r="CG27" s="283">
        <f t="shared" si="51"/>
        <v>278.37972972121531</v>
      </c>
      <c r="CH27" s="283"/>
      <c r="CI27" s="298"/>
      <c r="CJ27" s="283">
        <f t="shared" si="52"/>
        <v>71.855863350780282</v>
      </c>
      <c r="CK27" s="283">
        <f t="shared" si="53"/>
        <v>17.240105349195176</v>
      </c>
      <c r="CL27" s="283">
        <f t="shared" si="54"/>
        <v>76.305339755776544</v>
      </c>
      <c r="CM27" s="283">
        <f t="shared" si="55"/>
        <v>10.19672180274045</v>
      </c>
      <c r="CN27" s="283">
        <f t="shared" si="56"/>
        <v>78.562354464698274</v>
      </c>
      <c r="CO27" s="283">
        <f t="shared" si="57"/>
        <v>0</v>
      </c>
      <c r="CP27" s="283">
        <f t="shared" si="95"/>
        <v>254.16038472319073</v>
      </c>
      <c r="CR27" s="277">
        <f t="shared" si="58"/>
        <v>4.101325952664174E-2</v>
      </c>
      <c r="CS27" s="277">
        <f t="shared" si="59"/>
        <v>1.6659684107497397E-3</v>
      </c>
      <c r="CT27" s="277">
        <f t="shared" si="60"/>
        <v>2.839841526523686E-2</v>
      </c>
      <c r="CU27" s="277">
        <f t="shared" si="61"/>
        <v>2.4503497107308179E-4</v>
      </c>
      <c r="CV27" s="277">
        <f t="shared" si="62"/>
        <v>5.2451729736187926E-3</v>
      </c>
      <c r="CW27" s="277">
        <v>0</v>
      </c>
      <c r="CX27" s="277">
        <f t="shared" si="10"/>
        <v>7.6567851147320218E-2</v>
      </c>
      <c r="CY27" s="277"/>
      <c r="CZ27" s="351"/>
      <c r="DA27" s="277">
        <f t="shared" si="63"/>
        <v>3.7057566736965523E-2</v>
      </c>
      <c r="DB27" s="277">
        <f t="shared" si="64"/>
        <v>1.5197809488424424E-3</v>
      </c>
      <c r="DC27" s="277">
        <f t="shared" si="65"/>
        <v>2.5766620541401775E-2</v>
      </c>
      <c r="DD27" s="277">
        <f t="shared" si="66"/>
        <v>2.2353333858799693E-4</v>
      </c>
      <c r="DE27" s="277">
        <f t="shared" si="67"/>
        <v>4.8652376333533694E-3</v>
      </c>
      <c r="DF27" s="277">
        <v>0</v>
      </c>
      <c r="DG27" s="277">
        <f t="shared" si="68"/>
        <v>6.9432739199151106E-2</v>
      </c>
      <c r="DJ27" s="277">
        <f t="shared" si="69"/>
        <v>4.1461755451366482E-2</v>
      </c>
      <c r="DK27" s="277">
        <f t="shared" si="70"/>
        <v>1.6841864224748518E-3</v>
      </c>
      <c r="DL27" s="277">
        <f t="shared" si="71"/>
        <v>2.8486536658396792E-2</v>
      </c>
      <c r="DM27" s="277">
        <f t="shared" si="72"/>
        <v>2.4771452366679694E-4</v>
      </c>
      <c r="DN27" s="277">
        <f t="shared" si="73"/>
        <v>5.2866470524384956E-3</v>
      </c>
      <c r="DO27" s="277">
        <f t="shared" si="74"/>
        <v>0</v>
      </c>
      <c r="DP27" s="277">
        <f t="shared" si="96"/>
        <v>7.7166840108343418E-2</v>
      </c>
      <c r="DQ27" s="351"/>
      <c r="DS27" s="277">
        <f t="shared" si="75"/>
        <v>3.7462805624426977E-2</v>
      </c>
      <c r="DT27" s="277">
        <f t="shared" si="76"/>
        <v>1.5364003438843642E-3</v>
      </c>
      <c r="DU27" s="277">
        <f t="shared" si="77"/>
        <v>2.5851118358898594E-2</v>
      </c>
      <c r="DV27" s="277">
        <f t="shared" si="78"/>
        <v>2.259777624780735E-4</v>
      </c>
      <c r="DW27" s="277">
        <f t="shared" si="79"/>
        <v>4.9039462270554042E-3</v>
      </c>
      <c r="DX27" s="277">
        <f t="shared" si="97"/>
        <v>0</v>
      </c>
      <c r="DY27" s="302">
        <f t="shared" si="98"/>
        <v>6.9980248316743418E-2</v>
      </c>
    </row>
    <row r="28" spans="2:129" x14ac:dyDescent="0.15">
      <c r="B28" s="358" t="s">
        <v>707</v>
      </c>
      <c r="C28" s="137">
        <v>19</v>
      </c>
      <c r="D28" s="137">
        <v>83</v>
      </c>
      <c r="E28" s="278">
        <f t="shared" si="0"/>
        <v>3.6200000000000003E-2</v>
      </c>
      <c r="F28" s="278">
        <f t="shared" si="1"/>
        <v>5.8999999999999999E-3</v>
      </c>
      <c r="G28" s="277">
        <f t="shared" si="80"/>
        <v>0.16815536000000003</v>
      </c>
      <c r="H28" s="277">
        <f t="shared" si="2"/>
        <v>0.37834956000000003</v>
      </c>
      <c r="I28" s="277">
        <f t="shared" si="81"/>
        <v>0.25223304000000002</v>
      </c>
      <c r="J28" s="277">
        <f t="shared" si="3"/>
        <v>0.39768742640000004</v>
      </c>
      <c r="K28" s="277">
        <f t="shared" si="4"/>
        <v>0.19506021759999997</v>
      </c>
      <c r="L28" s="277"/>
      <c r="N28" s="277">
        <f t="shared" si="82"/>
        <v>0.10235188223756185</v>
      </c>
      <c r="O28" s="277">
        <f t="shared" si="83"/>
        <v>4.5906703722213907E-3</v>
      </c>
      <c r="P28" s="277">
        <f t="shared" si="84"/>
        <v>7.3363226213133848E-2</v>
      </c>
      <c r="Q28" s="277">
        <f t="shared" si="85"/>
        <v>7.4820318221287849E-4</v>
      </c>
      <c r="R28" s="277">
        <f t="shared" si="86"/>
        <v>1.6610845463858367E-2</v>
      </c>
      <c r="S28" s="277">
        <f t="shared" si="87"/>
        <v>0.80233517253101172</v>
      </c>
      <c r="T28" s="277">
        <f t="shared" si="5"/>
        <v>1</v>
      </c>
      <c r="U28" s="277">
        <f t="shared" si="6"/>
        <v>0.19766482746898834</v>
      </c>
      <c r="V28" s="290"/>
      <c r="W28" s="277"/>
      <c r="X28" s="277">
        <f t="shared" si="11"/>
        <v>9.1591866314293752E-2</v>
      </c>
      <c r="Y28" s="277">
        <f t="shared" si="12"/>
        <v>4.1479042546105653E-3</v>
      </c>
      <c r="Z28" s="277">
        <f t="shared" si="13"/>
        <v>6.5537807555553829E-2</v>
      </c>
      <c r="AA28" s="277">
        <f t="shared" si="14"/>
        <v>6.7603964370724671E-4</v>
      </c>
      <c r="AB28" s="277">
        <f t="shared" si="15"/>
        <v>1.5216113990635449E-2</v>
      </c>
      <c r="AC28" s="277">
        <f t="shared" si="16"/>
        <v>0.8228302682411992</v>
      </c>
      <c r="AD28" s="277">
        <f t="shared" si="17"/>
        <v>1</v>
      </c>
      <c r="AE28" s="277">
        <f t="shared" si="18"/>
        <v>0.17716973175880082</v>
      </c>
      <c r="AF28" s="277"/>
      <c r="AG28" s="290"/>
      <c r="AH28" s="277">
        <f t="shared" si="19"/>
        <v>0.59582657510400006</v>
      </c>
      <c r="AI28" s="277">
        <f t="shared" si="20"/>
        <v>0.55124572684800011</v>
      </c>
      <c r="AJ28" s="277">
        <f t="shared" si="21"/>
        <v>0.58096629235200004</v>
      </c>
      <c r="AK28" s="277">
        <f t="shared" si="22"/>
        <v>0.49746565593600001</v>
      </c>
      <c r="AL28" s="277">
        <f t="shared" si="23"/>
        <v>0.49746565593600001</v>
      </c>
      <c r="AM28" s="277">
        <v>0</v>
      </c>
      <c r="AN28" s="282"/>
      <c r="AP28" s="277">
        <f t="shared" si="24"/>
        <v>0.10347113982891799</v>
      </c>
      <c r="AQ28" s="277">
        <f t="shared" si="25"/>
        <v>4.640871136009952E-3</v>
      </c>
      <c r="AR28" s="277">
        <f t="shared" si="26"/>
        <v>7.3619687850029217E-2</v>
      </c>
      <c r="AS28" s="277">
        <f t="shared" si="27"/>
        <v>7.5638507465355562E-4</v>
      </c>
      <c r="AT28" s="277">
        <f t="shared" si="28"/>
        <v>1.6743956987490937E-2</v>
      </c>
      <c r="AU28" s="277">
        <f t="shared" si="29"/>
        <v>0.80076795912289822</v>
      </c>
      <c r="AV28" s="277">
        <f t="shared" si="7"/>
        <v>0.99999999999999989</v>
      </c>
      <c r="AW28" s="277">
        <f t="shared" si="8"/>
        <v>0.19923204087710164</v>
      </c>
      <c r="AX28" s="289"/>
      <c r="AY28" s="277">
        <f t="shared" si="88"/>
        <v>9.2593458951748253E-2</v>
      </c>
      <c r="AZ28" s="277">
        <f t="shared" si="89"/>
        <v>4.1932631989083915E-3</v>
      </c>
      <c r="BA28" s="277">
        <f t="shared" si="90"/>
        <v>6.5777528806739191E-2</v>
      </c>
      <c r="BB28" s="277">
        <f t="shared" si="91"/>
        <v>6.8343239982208591E-4</v>
      </c>
      <c r="BC28" s="277">
        <f t="shared" si="92"/>
        <v>1.5338707161232031E-2</v>
      </c>
      <c r="BD28" s="277">
        <f t="shared" si="93"/>
        <v>0.82141360948154984</v>
      </c>
      <c r="BE28" s="277">
        <f t="shared" si="31"/>
        <v>0.99999999999999978</v>
      </c>
      <c r="BF28" s="277">
        <f t="shared" si="32"/>
        <v>0.17858639051844996</v>
      </c>
      <c r="BG28" s="349"/>
      <c r="BH28" s="350"/>
      <c r="BJ28" s="283">
        <f t="shared" si="33"/>
        <v>61.344289900380382</v>
      </c>
      <c r="BK28" s="283">
        <f t="shared" si="34"/>
        <v>14.892012522755639</v>
      </c>
      <c r="BL28" s="283">
        <f t="shared" si="35"/>
        <v>65.978354279472882</v>
      </c>
      <c r="BM28" s="283">
        <f t="shared" si="36"/>
        <v>8.8079339250995385</v>
      </c>
      <c r="BN28" s="283">
        <f t="shared" si="37"/>
        <v>69.425682774411001</v>
      </c>
      <c r="BO28" s="283">
        <f t="shared" si="38"/>
        <v>0</v>
      </c>
      <c r="BP28" s="283">
        <f t="shared" si="9"/>
        <v>220.44827340211947</v>
      </c>
      <c r="BQ28" s="342"/>
      <c r="BR28" s="283">
        <f t="shared" si="39"/>
        <v>54.89530702190595</v>
      </c>
      <c r="BS28" s="283">
        <f t="shared" si="40"/>
        <v>13.455691019906878</v>
      </c>
      <c r="BT28" s="283">
        <f t="shared" si="41"/>
        <v>58.940656086170421</v>
      </c>
      <c r="BU28" s="283">
        <f t="shared" si="42"/>
        <v>7.9584164490055427</v>
      </c>
      <c r="BV28" s="283">
        <f t="shared" si="43"/>
        <v>63.596347655609065</v>
      </c>
      <c r="BW28" s="283">
        <f t="shared" si="94"/>
        <v>0</v>
      </c>
      <c r="BX28" s="285">
        <f t="shared" si="44"/>
        <v>198.84641823259787</v>
      </c>
      <c r="BY28" s="285"/>
      <c r="CA28" s="283">
        <f t="shared" si="45"/>
        <v>62.015113539929978</v>
      </c>
      <c r="CB28" s="283">
        <f t="shared" si="46"/>
        <v>15.054862464566947</v>
      </c>
      <c r="CC28" s="283">
        <f t="shared" si="47"/>
        <v>66.209000035004649</v>
      </c>
      <c r="CD28" s="283">
        <f t="shared" si="48"/>
        <v>8.9042521040554412</v>
      </c>
      <c r="CE28" s="283">
        <f t="shared" si="49"/>
        <v>69.982027629550387</v>
      </c>
      <c r="CF28" s="283">
        <f t="shared" si="50"/>
        <v>0</v>
      </c>
      <c r="CG28" s="283">
        <f t="shared" si="51"/>
        <v>222.16525577310739</v>
      </c>
      <c r="CH28" s="283"/>
      <c r="CI28" s="298"/>
      <c r="CJ28" s="283">
        <f t="shared" si="52"/>
        <v>55.495608528540544</v>
      </c>
      <c r="CK28" s="283">
        <f t="shared" si="53"/>
        <v>13.602834228138434</v>
      </c>
      <c r="CL28" s="283">
        <f t="shared" si="54"/>
        <v>59.156246572786657</v>
      </c>
      <c r="CM28" s="283">
        <f t="shared" si="55"/>
        <v>8.0454448243611463</v>
      </c>
      <c r="CN28" s="283">
        <f t="shared" si="56"/>
        <v>64.108730640007181</v>
      </c>
      <c r="CO28" s="283">
        <f t="shared" si="57"/>
        <v>0</v>
      </c>
      <c r="CP28" s="283">
        <f t="shared" si="95"/>
        <v>200.40886479383397</v>
      </c>
      <c r="CR28" s="277">
        <f t="shared" si="58"/>
        <v>3.1721159771610524E-2</v>
      </c>
      <c r="CS28" s="277">
        <f t="shared" si="59"/>
        <v>1.3162994496836156E-3</v>
      </c>
      <c r="CT28" s="277">
        <f t="shared" si="60"/>
        <v>2.2169847761972651E-2</v>
      </c>
      <c r="CU28" s="277">
        <f t="shared" si="61"/>
        <v>1.9360474994335888E-4</v>
      </c>
      <c r="CV28" s="277">
        <f t="shared" si="62"/>
        <v>4.2982155901377583E-3</v>
      </c>
      <c r="CW28" s="277">
        <v>0</v>
      </c>
      <c r="CX28" s="277">
        <f t="shared" si="10"/>
        <v>5.9699127323347909E-2</v>
      </c>
      <c r="CY28" s="277"/>
      <c r="CZ28" s="351"/>
      <c r="DA28" s="277">
        <f t="shared" si="63"/>
        <v>2.8386387837911777E-2</v>
      </c>
      <c r="DB28" s="277">
        <f t="shared" si="64"/>
        <v>1.1893435261051469E-3</v>
      </c>
      <c r="DC28" s="277">
        <f t="shared" si="65"/>
        <v>1.9805061625002156E-2</v>
      </c>
      <c r="DD28" s="277">
        <f t="shared" si="66"/>
        <v>1.7493174218350185E-4</v>
      </c>
      <c r="DE28" s="277">
        <f t="shared" si="67"/>
        <v>3.9373154435855514E-3</v>
      </c>
      <c r="DF28" s="277">
        <v>0</v>
      </c>
      <c r="DG28" s="277">
        <f t="shared" si="68"/>
        <v>5.3493040174788134E-2</v>
      </c>
      <c r="DJ28" s="277">
        <f t="shared" si="69"/>
        <v>3.2068042975952483E-2</v>
      </c>
      <c r="DK28" s="277">
        <f t="shared" si="70"/>
        <v>1.3306936954888544E-3</v>
      </c>
      <c r="DL28" s="277">
        <f t="shared" si="71"/>
        <v>2.2247348653635167E-2</v>
      </c>
      <c r="DM28" s="277">
        <f t="shared" si="72"/>
        <v>1.9572189309069991E-4</v>
      </c>
      <c r="DN28" s="277">
        <f t="shared" si="73"/>
        <v>4.3326594736444318E-3</v>
      </c>
      <c r="DO28" s="277">
        <f t="shared" si="74"/>
        <v>0</v>
      </c>
      <c r="DP28" s="277">
        <f t="shared" si="96"/>
        <v>6.0174466691811639E-2</v>
      </c>
      <c r="DQ28" s="351"/>
      <c r="DS28" s="277">
        <f t="shared" si="75"/>
        <v>2.8696804015750303E-2</v>
      </c>
      <c r="DT28" s="277">
        <f t="shared" si="76"/>
        <v>1.2023494595694061E-3</v>
      </c>
      <c r="DU28" s="277">
        <f t="shared" si="77"/>
        <v>1.987750369057666E-2</v>
      </c>
      <c r="DV28" s="277">
        <f t="shared" si="78"/>
        <v>1.7684468873736781E-4</v>
      </c>
      <c r="DW28" s="277">
        <f t="shared" si="79"/>
        <v>3.9690376023552012E-3</v>
      </c>
      <c r="DX28" s="277">
        <f t="shared" si="97"/>
        <v>0</v>
      </c>
      <c r="DY28" s="302">
        <f t="shared" si="98"/>
        <v>5.3922539456988938E-2</v>
      </c>
    </row>
    <row r="29" spans="2:129" x14ac:dyDescent="0.15">
      <c r="B29" s="358" t="s">
        <v>707</v>
      </c>
      <c r="C29" s="137">
        <v>20</v>
      </c>
      <c r="D29" s="137">
        <v>84</v>
      </c>
      <c r="E29" s="278">
        <f t="shared" si="0"/>
        <v>3.6200000000000003E-2</v>
      </c>
      <c r="F29" s="278">
        <f t="shared" si="1"/>
        <v>5.8999999999999999E-3</v>
      </c>
      <c r="G29" s="277">
        <f t="shared" si="80"/>
        <v>0.18839391999999999</v>
      </c>
      <c r="H29" s="277">
        <f t="shared" si="2"/>
        <v>0.42388631999999998</v>
      </c>
      <c r="I29" s="277">
        <f t="shared" si="81"/>
        <v>0.28259087999999999</v>
      </c>
      <c r="J29" s="277">
        <f t="shared" si="3"/>
        <v>0.4455516208000001</v>
      </c>
      <c r="K29" s="277">
        <f t="shared" si="4"/>
        <v>0.2185369472</v>
      </c>
      <c r="L29" s="277"/>
      <c r="N29" s="277">
        <f t="shared" si="82"/>
        <v>8.0831850391025667E-2</v>
      </c>
      <c r="O29" s="277">
        <f t="shared" si="83"/>
        <v>3.7051381369997394E-3</v>
      </c>
      <c r="P29" s="277">
        <f t="shared" si="84"/>
        <v>5.7712388897973796E-2</v>
      </c>
      <c r="Q29" s="277">
        <f t="shared" si="85"/>
        <v>6.0387610520161493E-4</v>
      </c>
      <c r="R29" s="277">
        <f t="shared" si="86"/>
        <v>1.3821382517412531E-2</v>
      </c>
      <c r="S29" s="277">
        <f t="shared" si="87"/>
        <v>0.8433253639513868</v>
      </c>
      <c r="T29" s="277">
        <f t="shared" si="5"/>
        <v>1.0000000000000002</v>
      </c>
      <c r="U29" s="277">
        <f t="shared" si="6"/>
        <v>0.15667463604861334</v>
      </c>
      <c r="V29" s="290"/>
      <c r="W29" s="277"/>
      <c r="X29" s="277">
        <f t="shared" si="11"/>
        <v>7.1516225362285149E-2</v>
      </c>
      <c r="Y29" s="277">
        <f t="shared" si="12"/>
        <v>3.3156255605774343E-3</v>
      </c>
      <c r="Z29" s="277">
        <f t="shared" si="13"/>
        <v>5.0625181898691106E-2</v>
      </c>
      <c r="AA29" s="277">
        <f t="shared" si="14"/>
        <v>5.4039201125433318E-4</v>
      </c>
      <c r="AB29" s="277">
        <f t="shared" si="15"/>
        <v>1.247855021057646E-2</v>
      </c>
      <c r="AC29" s="277">
        <f t="shared" si="16"/>
        <v>0.86152402495661562</v>
      </c>
      <c r="AD29" s="277">
        <f t="shared" si="17"/>
        <v>1</v>
      </c>
      <c r="AE29" s="277">
        <f t="shared" si="18"/>
        <v>0.13847597504338446</v>
      </c>
      <c r="AF29" s="277"/>
      <c r="AG29" s="290"/>
      <c r="AH29" s="277">
        <f t="shared" si="19"/>
        <v>0.59086209258400002</v>
      </c>
      <c r="AI29" s="277">
        <f t="shared" si="20"/>
        <v>0.54665269610800005</v>
      </c>
      <c r="AJ29" s="277">
        <f t="shared" si="21"/>
        <v>0.5761256270920001</v>
      </c>
      <c r="AK29" s="277">
        <f t="shared" si="22"/>
        <v>0.49332072575600006</v>
      </c>
      <c r="AL29" s="277">
        <f t="shared" si="23"/>
        <v>0.49332072575600006</v>
      </c>
      <c r="AM29" s="277">
        <v>0</v>
      </c>
      <c r="AN29" s="282"/>
      <c r="AP29" s="277">
        <f t="shared" si="24"/>
        <v>8.1715778074578499E-2</v>
      </c>
      <c r="AQ29" s="277">
        <f t="shared" si="25"/>
        <v>3.7456552618068315E-3</v>
      </c>
      <c r="AR29" s="277">
        <f t="shared" si="26"/>
        <v>5.7935369763449165E-2</v>
      </c>
      <c r="AS29" s="277">
        <f t="shared" si="27"/>
        <v>6.1047972499061619E-4</v>
      </c>
      <c r="AT29" s="277">
        <f t="shared" si="28"/>
        <v>1.3933457334973125E-2</v>
      </c>
      <c r="AU29" s="277">
        <f t="shared" si="29"/>
        <v>0.84205925984020158</v>
      </c>
      <c r="AV29" s="277">
        <f t="shared" si="7"/>
        <v>0.99999999999999978</v>
      </c>
      <c r="AW29" s="277">
        <f t="shared" si="8"/>
        <v>0.15794074015979823</v>
      </c>
      <c r="AX29" s="289"/>
      <c r="AY29" s="277">
        <f t="shared" si="88"/>
        <v>7.2298283067448676E-2</v>
      </c>
      <c r="AZ29" s="277">
        <f t="shared" si="89"/>
        <v>3.3518832140532868E-3</v>
      </c>
      <c r="BA29" s="277">
        <f t="shared" si="90"/>
        <v>5.0828327819605362E-2</v>
      </c>
      <c r="BB29" s="277">
        <f t="shared" si="91"/>
        <v>5.4630140781531463E-4</v>
      </c>
      <c r="BC29" s="277">
        <f t="shared" si="92"/>
        <v>1.2580209467037643E-2</v>
      </c>
      <c r="BD29" s="277">
        <f t="shared" si="93"/>
        <v>0.86039499502403949</v>
      </c>
      <c r="BE29" s="277">
        <f t="shared" si="31"/>
        <v>0.99999999999999978</v>
      </c>
      <c r="BF29" s="277">
        <f t="shared" si="32"/>
        <v>0.13960500497596029</v>
      </c>
      <c r="BG29" s="349"/>
      <c r="BH29" s="350"/>
      <c r="BJ29" s="283">
        <f t="shared" si="33"/>
        <v>46.808042650658486</v>
      </c>
      <c r="BK29" s="283">
        <f t="shared" si="34"/>
        <v>11.612917407785622</v>
      </c>
      <c r="BL29" s="283">
        <f t="shared" si="35"/>
        <v>50.147785403737153</v>
      </c>
      <c r="BM29" s="283">
        <f t="shared" si="36"/>
        <v>6.868501423102944</v>
      </c>
      <c r="BN29" s="283">
        <f t="shared" si="37"/>
        <v>55.81353868290546</v>
      </c>
      <c r="BO29" s="283">
        <f t="shared" si="38"/>
        <v>0</v>
      </c>
      <c r="BP29" s="283">
        <f t="shared" si="9"/>
        <v>171.25078556818966</v>
      </c>
      <c r="BQ29" s="342"/>
      <c r="BR29" s="283">
        <f t="shared" si="39"/>
        <v>41.413558031619758</v>
      </c>
      <c r="BS29" s="283">
        <f t="shared" si="40"/>
        <v>10.392078342673503</v>
      </c>
      <c r="BT29" s="283">
        <f t="shared" si="41"/>
        <v>43.989528182047799</v>
      </c>
      <c r="BU29" s="283">
        <f t="shared" si="42"/>
        <v>6.1464318034154326</v>
      </c>
      <c r="BV29" s="283">
        <f t="shared" si="43"/>
        <v>50.390910171768567</v>
      </c>
      <c r="BW29" s="283">
        <f t="shared" si="94"/>
        <v>0</v>
      </c>
      <c r="BX29" s="285">
        <f t="shared" si="44"/>
        <v>152.33250653152507</v>
      </c>
      <c r="BY29" s="285"/>
      <c r="CA29" s="283">
        <f t="shared" si="45"/>
        <v>47.319906779856154</v>
      </c>
      <c r="CB29" s="283">
        <f t="shared" si="46"/>
        <v>11.739909170734224</v>
      </c>
      <c r="CC29" s="283">
        <f t="shared" si="47"/>
        <v>50.341539237264421</v>
      </c>
      <c r="CD29" s="283">
        <f t="shared" si="48"/>
        <v>6.9436111542674883</v>
      </c>
      <c r="CE29" s="283">
        <f t="shared" si="49"/>
        <v>56.266119469047311</v>
      </c>
      <c r="CF29" s="283">
        <f t="shared" si="50"/>
        <v>0</v>
      </c>
      <c r="CG29" s="283">
        <f t="shared" si="51"/>
        <v>172.61108581116957</v>
      </c>
      <c r="CH29" s="283"/>
      <c r="CI29" s="298"/>
      <c r="CJ29" s="283">
        <f t="shared" si="52"/>
        <v>41.866431375994352</v>
      </c>
      <c r="CK29" s="283">
        <f t="shared" si="53"/>
        <v>10.505719756204211</v>
      </c>
      <c r="CL29" s="283">
        <f t="shared" si="54"/>
        <v>44.166046919916404</v>
      </c>
      <c r="CM29" s="283">
        <f t="shared" si="55"/>
        <v>6.2136454227972253</v>
      </c>
      <c r="CN29" s="283">
        <f t="shared" si="56"/>
        <v>50.80143081511401</v>
      </c>
      <c r="CO29" s="283">
        <f t="shared" si="57"/>
        <v>0</v>
      </c>
      <c r="CP29" s="283">
        <f t="shared" si="95"/>
        <v>153.55327429002622</v>
      </c>
      <c r="CR29" s="277">
        <f t="shared" si="58"/>
        <v>2.4002785997248154E-2</v>
      </c>
      <c r="CS29" s="277">
        <f t="shared" si="59"/>
        <v>1.0179088792946444E-3</v>
      </c>
      <c r="CT29" s="277">
        <f t="shared" si="60"/>
        <v>1.6710107718116349E-2</v>
      </c>
      <c r="CU29" s="277">
        <f t="shared" si="61"/>
        <v>1.4971668801375883E-4</v>
      </c>
      <c r="CV29" s="277">
        <f t="shared" si="62"/>
        <v>3.4266823880825721E-3</v>
      </c>
      <c r="CW29" s="277">
        <v>0</v>
      </c>
      <c r="CX29" s="277">
        <f t="shared" si="10"/>
        <v>4.5307201670755484E-2</v>
      </c>
      <c r="CY29" s="277"/>
      <c r="CZ29" s="351"/>
      <c r="DA29" s="277">
        <f t="shared" si="63"/>
        <v>2.1236537879534736E-2</v>
      </c>
      <c r="DB29" s="277">
        <f t="shared" si="64"/>
        <v>9.1089848036299823E-4</v>
      </c>
      <c r="DC29" s="277">
        <f t="shared" si="65"/>
        <v>1.4658070111633562E-2</v>
      </c>
      <c r="DD29" s="277">
        <f t="shared" si="66"/>
        <v>1.3397731994558855E-4</v>
      </c>
      <c r="DE29" s="277">
        <f t="shared" si="67"/>
        <v>3.0937591215289971E-3</v>
      </c>
      <c r="DF29" s="277">
        <v>0</v>
      </c>
      <c r="DG29" s="277">
        <f t="shared" si="68"/>
        <v>4.003324291300589E-2</v>
      </c>
      <c r="DJ29" s="277">
        <f t="shared" si="69"/>
        <v>2.426526578612748E-2</v>
      </c>
      <c r="DK29" s="277">
        <f t="shared" si="70"/>
        <v>1.0290401083014056E-3</v>
      </c>
      <c r="DL29" s="277">
        <f t="shared" si="71"/>
        <v>1.6774669839912403E-2</v>
      </c>
      <c r="DM29" s="277">
        <f t="shared" si="72"/>
        <v>1.5135389815536775E-4</v>
      </c>
      <c r="DN29" s="277">
        <f t="shared" si="73"/>
        <v>3.4544686680005638E-3</v>
      </c>
      <c r="DO29" s="277">
        <f t="shared" si="74"/>
        <v>0</v>
      </c>
      <c r="DP29" s="277">
        <f t="shared" si="96"/>
        <v>4.5674798300497227E-2</v>
      </c>
      <c r="DQ29" s="351"/>
      <c r="DS29" s="277">
        <f t="shared" si="75"/>
        <v>2.1468767670684282E-2</v>
      </c>
      <c r="DT29" s="277">
        <f t="shared" si="76"/>
        <v>9.2085950908872994E-4</v>
      </c>
      <c r="DU29" s="277">
        <f t="shared" si="77"/>
        <v>1.4716889202054067E-2</v>
      </c>
      <c r="DV29" s="277">
        <f t="shared" si="78"/>
        <v>1.3544241398333765E-4</v>
      </c>
      <c r="DW29" s="277">
        <f t="shared" si="79"/>
        <v>3.1189631113080398E-3</v>
      </c>
      <c r="DX29" s="277">
        <f t="shared" si="97"/>
        <v>0</v>
      </c>
      <c r="DY29" s="302">
        <f t="shared" si="98"/>
        <v>4.0360921907118458E-2</v>
      </c>
    </row>
    <row r="30" spans="2:129" x14ac:dyDescent="0.15">
      <c r="B30" s="358" t="s">
        <v>707</v>
      </c>
      <c r="C30" s="137">
        <v>21</v>
      </c>
      <c r="D30" s="137">
        <v>85</v>
      </c>
      <c r="E30" s="278">
        <f t="shared" si="0"/>
        <v>3.6200000000000003E-2</v>
      </c>
      <c r="F30" s="278">
        <f t="shared" si="1"/>
        <v>5.8999999999999999E-3</v>
      </c>
      <c r="G30" s="277">
        <f t="shared" si="80"/>
        <v>0.21180184000000002</v>
      </c>
      <c r="H30" s="277">
        <f t="shared" si="2"/>
        <v>0.47655414000000001</v>
      </c>
      <c r="I30" s="277">
        <f t="shared" si="81"/>
        <v>0.31770276000000003</v>
      </c>
      <c r="J30" s="277">
        <f t="shared" si="3"/>
        <v>0.50091135160000011</v>
      </c>
      <c r="K30" s="277">
        <f t="shared" si="4"/>
        <v>0.24569013439999998</v>
      </c>
      <c r="L30" s="277"/>
      <c r="N30" s="277">
        <f t="shared" si="82"/>
        <v>6.2200600333544631E-2</v>
      </c>
      <c r="O30" s="277">
        <f t="shared" si="83"/>
        <v>2.9261129841551296E-3</v>
      </c>
      <c r="P30" s="277">
        <f t="shared" si="84"/>
        <v>4.3537974899408416E-2</v>
      </c>
      <c r="Q30" s="277">
        <f t="shared" si="85"/>
        <v>4.7690791730705144E-4</v>
      </c>
      <c r="R30" s="277">
        <f t="shared" si="86"/>
        <v>1.113571790374039E-2</v>
      </c>
      <c r="S30" s="277">
        <f t="shared" si="87"/>
        <v>0.87972268596184444</v>
      </c>
      <c r="T30" s="277">
        <f t="shared" si="5"/>
        <v>1</v>
      </c>
      <c r="U30" s="277">
        <f t="shared" si="6"/>
        <v>0.12027731403815561</v>
      </c>
      <c r="V30" s="290"/>
      <c r="W30" s="277"/>
      <c r="X30" s="277">
        <f t="shared" si="11"/>
        <v>5.4304176896648834E-2</v>
      </c>
      <c r="Y30" s="277">
        <f t="shared" si="12"/>
        <v>2.5888873581147226E-3</v>
      </c>
      <c r="Z30" s="277">
        <f t="shared" si="13"/>
        <v>3.7387738367956148E-2</v>
      </c>
      <c r="AA30" s="277">
        <f t="shared" si="14"/>
        <v>4.2194572963748234E-4</v>
      </c>
      <c r="AB30" s="277">
        <f t="shared" si="15"/>
        <v>9.8867595534651749E-3</v>
      </c>
      <c r="AC30" s="277">
        <f t="shared" si="16"/>
        <v>0.89541049209417767</v>
      </c>
      <c r="AD30" s="277">
        <f t="shared" si="17"/>
        <v>1</v>
      </c>
      <c r="AE30" s="277">
        <f t="shared" si="18"/>
        <v>0.10458950790582236</v>
      </c>
      <c r="AF30" s="277"/>
      <c r="AG30" s="290"/>
      <c r="AH30" s="277">
        <f t="shared" si="19"/>
        <v>0.58584170126400004</v>
      </c>
      <c r="AI30" s="277">
        <f t="shared" si="20"/>
        <v>0.54200793976799999</v>
      </c>
      <c r="AJ30" s="277">
        <f t="shared" si="21"/>
        <v>0.57123044743200002</v>
      </c>
      <c r="AK30" s="277">
        <f t="shared" si="22"/>
        <v>0.48912911637599998</v>
      </c>
      <c r="AL30" s="277">
        <f t="shared" si="23"/>
        <v>0.48912911637599998</v>
      </c>
      <c r="AM30" s="277">
        <v>0</v>
      </c>
      <c r="AN30" s="282"/>
      <c r="AP30" s="277">
        <f t="shared" si="24"/>
        <v>6.2880788060318854E-2</v>
      </c>
      <c r="AQ30" s="277">
        <f t="shared" si="25"/>
        <v>2.958111166299742E-3</v>
      </c>
      <c r="AR30" s="277">
        <f t="shared" si="26"/>
        <v>4.3721285875761566E-2</v>
      </c>
      <c r="AS30" s="277">
        <f t="shared" si="27"/>
        <v>4.8212309064001312E-4</v>
      </c>
      <c r="AT30" s="277">
        <f t="shared" si="28"/>
        <v>1.1226961599102159E-2</v>
      </c>
      <c r="AU30" s="277">
        <f t="shared" si="29"/>
        <v>0.87873073020787751</v>
      </c>
      <c r="AV30" s="277">
        <f t="shared" si="7"/>
        <v>0.99999999999999989</v>
      </c>
      <c r="AW30" s="277">
        <f t="shared" si="8"/>
        <v>0.12126926979212234</v>
      </c>
      <c r="AX30" s="289"/>
      <c r="AY30" s="277">
        <f t="shared" si="88"/>
        <v>5.4898014165736364E-2</v>
      </c>
      <c r="AZ30" s="277">
        <f t="shared" si="89"/>
        <v>2.6171978470416425E-3</v>
      </c>
      <c r="BA30" s="277">
        <f t="shared" si="90"/>
        <v>3.7550304800732015E-2</v>
      </c>
      <c r="BB30" s="277">
        <f t="shared" si="91"/>
        <v>4.2655987009794716E-4</v>
      </c>
      <c r="BC30" s="277">
        <f t="shared" si="92"/>
        <v>9.9680958278436128E-3</v>
      </c>
      <c r="BD30" s="277">
        <f t="shared" si="93"/>
        <v>0.89453982748854832</v>
      </c>
      <c r="BE30" s="277">
        <f t="shared" si="31"/>
        <v>0.99999999999999989</v>
      </c>
      <c r="BF30" s="277">
        <f t="shared" si="32"/>
        <v>0.10546017251145158</v>
      </c>
      <c r="BG30" s="349"/>
      <c r="BH30" s="350"/>
      <c r="BJ30" s="283">
        <f t="shared" si="33"/>
        <v>34.801037113604856</v>
      </c>
      <c r="BK30" s="283">
        <f t="shared" si="34"/>
        <v>8.8611007512670419</v>
      </c>
      <c r="BL30" s="283">
        <f t="shared" si="35"/>
        <v>36.551952618703801</v>
      </c>
      <c r="BM30" s="283">
        <f t="shared" si="36"/>
        <v>5.2409296461139343</v>
      </c>
      <c r="BN30" s="283">
        <f t="shared" si="37"/>
        <v>43.447615131045104</v>
      </c>
      <c r="BO30" s="283">
        <f t="shared" si="38"/>
        <v>0</v>
      </c>
      <c r="BP30" s="283">
        <f t="shared" si="9"/>
        <v>128.90263526073474</v>
      </c>
      <c r="BQ30" s="342"/>
      <c r="BR30" s="283">
        <f t="shared" si="39"/>
        <v>30.383013435078578</v>
      </c>
      <c r="BS30" s="283">
        <f t="shared" si="40"/>
        <v>7.8398858274297991</v>
      </c>
      <c r="BT30" s="283">
        <f t="shared" si="41"/>
        <v>31.388571574664493</v>
      </c>
      <c r="BU30" s="283">
        <f t="shared" si="42"/>
        <v>4.6369284368254275</v>
      </c>
      <c r="BV30" s="283">
        <f t="shared" si="43"/>
        <v>38.57462335929452</v>
      </c>
      <c r="BW30" s="283">
        <f t="shared" si="94"/>
        <v>0</v>
      </c>
      <c r="BX30" s="285">
        <f t="shared" si="44"/>
        <v>112.82302263329282</v>
      </c>
      <c r="BY30" s="285"/>
      <c r="CA30" s="283">
        <f t="shared" si="45"/>
        <v>35.181599973074924</v>
      </c>
      <c r="CB30" s="283">
        <f t="shared" si="46"/>
        <v>8.9580003301200009</v>
      </c>
      <c r="CC30" s="283">
        <f t="shared" si="47"/>
        <v>36.705849857554007</v>
      </c>
      <c r="CD30" s="283">
        <f t="shared" si="48"/>
        <v>5.2982412476589014</v>
      </c>
      <c r="CE30" s="283">
        <f t="shared" si="49"/>
        <v>43.803615614667351</v>
      </c>
      <c r="CF30" s="283">
        <f t="shared" si="50"/>
        <v>0</v>
      </c>
      <c r="CG30" s="283">
        <f t="shared" si="51"/>
        <v>129.94730702307518</v>
      </c>
      <c r="CH30" s="283"/>
      <c r="CI30" s="298"/>
      <c r="CJ30" s="283">
        <f t="shared" si="52"/>
        <v>30.715263489421087</v>
      </c>
      <c r="CK30" s="283">
        <f t="shared" si="53"/>
        <v>7.9256180243946748</v>
      </c>
      <c r="CL30" s="283">
        <f t="shared" si="54"/>
        <v>31.525052900723967</v>
      </c>
      <c r="CM30" s="283">
        <f t="shared" si="55"/>
        <v>4.6876350505196065</v>
      </c>
      <c r="CN30" s="283">
        <f t="shared" si="56"/>
        <v>38.891968605998414</v>
      </c>
      <c r="CO30" s="283">
        <f t="shared" si="57"/>
        <v>0</v>
      </c>
      <c r="CP30" s="283">
        <f t="shared" si="95"/>
        <v>113.74553807105775</v>
      </c>
      <c r="CR30" s="277">
        <f t="shared" si="58"/>
        <v>1.7694060707834726E-2</v>
      </c>
      <c r="CS30" s="277">
        <f t="shared" si="59"/>
        <v>7.701040264431958E-4</v>
      </c>
      <c r="CT30" s="277">
        <f t="shared" si="60"/>
        <v>1.2076253665068707E-2</v>
      </c>
      <c r="CU30" s="277">
        <f t="shared" si="61"/>
        <v>1.1326890511558388E-4</v>
      </c>
      <c r="CV30" s="277">
        <f t="shared" si="62"/>
        <v>2.6448094671084822E-3</v>
      </c>
      <c r="CW30" s="277">
        <v>0</v>
      </c>
      <c r="CX30" s="277">
        <f t="shared" si="10"/>
        <v>3.3298496771570693E-2</v>
      </c>
      <c r="CY30" s="277"/>
      <c r="CZ30" s="351"/>
      <c r="DA30" s="277">
        <f t="shared" si="63"/>
        <v>1.5447783422439259E-2</v>
      </c>
      <c r="DB30" s="277">
        <f t="shared" si="64"/>
        <v>6.8135187851185784E-4</v>
      </c>
      <c r="DC30" s="277">
        <f t="shared" si="65"/>
        <v>1.037034482053494E-2</v>
      </c>
      <c r="DD30" s="277">
        <f t="shared" si="66"/>
        <v>1.0021500813848438E-4</v>
      </c>
      <c r="DE30" s="277">
        <f t="shared" si="67"/>
        <v>2.3481732827702871E-3</v>
      </c>
      <c r="DF30" s="277">
        <v>0</v>
      </c>
      <c r="DG30" s="277">
        <f t="shared" si="68"/>
        <v>2.8947868412394828E-2</v>
      </c>
      <c r="DJ30" s="277">
        <f t="shared" si="69"/>
        <v>1.7887552135019181E-2</v>
      </c>
      <c r="DK30" s="277">
        <f t="shared" si="70"/>
        <v>7.7852541312302143E-4</v>
      </c>
      <c r="DL30" s="277">
        <f t="shared" si="71"/>
        <v>1.2127099159264215E-2</v>
      </c>
      <c r="DM30" s="277">
        <f t="shared" si="72"/>
        <v>1.1450754459288205E-4</v>
      </c>
      <c r="DN30" s="277">
        <f t="shared" si="73"/>
        <v>2.6664804712945448E-3</v>
      </c>
      <c r="DO30" s="277">
        <f t="shared" si="74"/>
        <v>0</v>
      </c>
      <c r="DP30" s="277">
        <f t="shared" si="96"/>
        <v>3.3574164723293845E-2</v>
      </c>
      <c r="DQ30" s="351"/>
      <c r="DS30" s="277">
        <f t="shared" si="75"/>
        <v>1.5616710934930533E-2</v>
      </c>
      <c r="DT30" s="277">
        <f t="shared" si="76"/>
        <v>6.8880272597784909E-4</v>
      </c>
      <c r="DU30" s="277">
        <f t="shared" si="77"/>
        <v>1.0415436340849392E-2</v>
      </c>
      <c r="DV30" s="277">
        <f t="shared" si="78"/>
        <v>1.0131089818148797E-4</v>
      </c>
      <c r="DW30" s="277">
        <f t="shared" si="79"/>
        <v>2.3674912064421114E-3</v>
      </c>
      <c r="DX30" s="277">
        <f t="shared" si="97"/>
        <v>0</v>
      </c>
      <c r="DY30" s="302">
        <f t="shared" si="98"/>
        <v>2.9189752106381375E-2</v>
      </c>
    </row>
    <row r="31" spans="2:129" x14ac:dyDescent="0.15">
      <c r="B31" s="358" t="s">
        <v>707</v>
      </c>
      <c r="C31" s="137">
        <v>22</v>
      </c>
      <c r="D31" s="137">
        <v>86</v>
      </c>
      <c r="E31" s="278">
        <f t="shared" si="0"/>
        <v>3.6200000000000003E-2</v>
      </c>
      <c r="F31" s="278">
        <f t="shared" si="1"/>
        <v>5.8999999999999999E-3</v>
      </c>
      <c r="G31" s="277">
        <f t="shared" si="80"/>
        <v>0.2386064</v>
      </c>
      <c r="H31" s="277">
        <f t="shared" si="2"/>
        <v>0.53686440000000002</v>
      </c>
      <c r="I31" s="277">
        <f t="shared" si="81"/>
        <v>0.35790959999999999</v>
      </c>
      <c r="J31" s="277">
        <f t="shared" si="3"/>
        <v>0.56430413600000007</v>
      </c>
      <c r="K31" s="277">
        <f t="shared" si="4"/>
        <v>0.276783424</v>
      </c>
      <c r="L31" s="277"/>
      <c r="N31" s="277">
        <f t="shared" si="82"/>
        <v>4.6407753459753037E-2</v>
      </c>
      <c r="O31" s="277">
        <f t="shared" si="83"/>
        <v>2.251661732074316E-3</v>
      </c>
      <c r="P31" s="277">
        <f t="shared" si="84"/>
        <v>3.1237501836503884E-2</v>
      </c>
      <c r="Q31" s="277">
        <f t="shared" si="85"/>
        <v>3.6698354196791329E-4</v>
      </c>
      <c r="R31" s="277">
        <f t="shared" si="86"/>
        <v>8.6378012031899619E-3</v>
      </c>
      <c r="S31" s="277">
        <f t="shared" si="87"/>
        <v>0.91109829822651089</v>
      </c>
      <c r="T31" s="277">
        <f t="shared" si="5"/>
        <v>1</v>
      </c>
      <c r="U31" s="277">
        <f t="shared" si="6"/>
        <v>8.890170177348912E-2</v>
      </c>
      <c r="V31" s="290"/>
      <c r="W31" s="277"/>
      <c r="X31" s="277">
        <f t="shared" si="11"/>
        <v>3.9894276756865625E-2</v>
      </c>
      <c r="Y31" s="277">
        <f t="shared" si="12"/>
        <v>1.965811203658688E-3</v>
      </c>
      <c r="Z31" s="277">
        <f t="shared" si="13"/>
        <v>2.6168813296493336E-2</v>
      </c>
      <c r="AA31" s="277">
        <f t="shared" si="14"/>
        <v>3.2039464369022807E-4</v>
      </c>
      <c r="AB31" s="277">
        <f t="shared" si="15"/>
        <v>7.5223477124605883E-3</v>
      </c>
      <c r="AC31" s="277">
        <f t="shared" si="16"/>
        <v>0.92412835638683144</v>
      </c>
      <c r="AD31" s="277">
        <f t="shared" si="17"/>
        <v>1</v>
      </c>
      <c r="AE31" s="277">
        <f t="shared" si="18"/>
        <v>7.5871643613168463E-2</v>
      </c>
      <c r="AF31" s="277"/>
      <c r="AG31" s="290"/>
      <c r="AH31" s="277">
        <f t="shared" si="19"/>
        <v>0.58076540114399999</v>
      </c>
      <c r="AI31" s="277">
        <f t="shared" si="20"/>
        <v>0.53731145782800005</v>
      </c>
      <c r="AJ31" s="277">
        <f t="shared" si="21"/>
        <v>0.56628075337200001</v>
      </c>
      <c r="AK31" s="277">
        <f t="shared" si="22"/>
        <v>0.48489082779600001</v>
      </c>
      <c r="AL31" s="277">
        <f t="shared" si="23"/>
        <v>0.48489082779600001</v>
      </c>
      <c r="AM31" s="277">
        <v>0</v>
      </c>
      <c r="AN31" s="282"/>
      <c r="AP31" s="277">
        <f t="shared" si="24"/>
        <v>4.6915240271153867E-2</v>
      </c>
      <c r="AQ31" s="277">
        <f t="shared" si="25"/>
        <v>2.2762845277835425E-3</v>
      </c>
      <c r="AR31" s="277">
        <f t="shared" si="26"/>
        <v>3.1379323725702471E-2</v>
      </c>
      <c r="AS31" s="277">
        <f t="shared" si="27"/>
        <v>3.7099664955588121E-4</v>
      </c>
      <c r="AT31" s="277">
        <f t="shared" si="28"/>
        <v>8.7092300565850649E-3</v>
      </c>
      <c r="AU31" s="277">
        <f t="shared" si="29"/>
        <v>0.91034892476921903</v>
      </c>
      <c r="AV31" s="277">
        <f t="shared" si="7"/>
        <v>0.99999999999999989</v>
      </c>
      <c r="AW31" s="277">
        <f t="shared" si="8"/>
        <v>8.9651075230780836E-2</v>
      </c>
      <c r="AX31" s="289"/>
      <c r="AY31" s="277">
        <f t="shared" si="88"/>
        <v>4.0330536170328557E-2</v>
      </c>
      <c r="AZ31" s="277">
        <f t="shared" si="89"/>
        <v>1.9873081127996565E-3</v>
      </c>
      <c r="BA31" s="277">
        <f t="shared" si="90"/>
        <v>2.6290957324507005E-2</v>
      </c>
      <c r="BB31" s="277">
        <f t="shared" si="91"/>
        <v>3.2389828357784451E-4</v>
      </c>
      <c r="BC31" s="277">
        <f t="shared" si="92"/>
        <v>7.5847656517370786E-3</v>
      </c>
      <c r="BD31" s="277">
        <f t="shared" si="93"/>
        <v>0.92348253445704964</v>
      </c>
      <c r="BE31" s="277">
        <f t="shared" si="31"/>
        <v>0.99999999999999978</v>
      </c>
      <c r="BF31" s="277">
        <f t="shared" si="32"/>
        <v>7.6517465542950136E-2</v>
      </c>
      <c r="BG31" s="349"/>
      <c r="BH31" s="350"/>
      <c r="BJ31" s="283">
        <f t="shared" si="33"/>
        <v>25.08694662468821</v>
      </c>
      <c r="BK31" s="283">
        <f t="shared" si="34"/>
        <v>6.5880878295580256</v>
      </c>
      <c r="BL31" s="283">
        <f t="shared" si="35"/>
        <v>25.338348338768302</v>
      </c>
      <c r="BM31" s="283">
        <f t="shared" si="36"/>
        <v>3.896548045929392</v>
      </c>
      <c r="BN31" s="283">
        <f t="shared" si="37"/>
        <v>32.561962886515893</v>
      </c>
      <c r="BO31" s="283">
        <f t="shared" si="38"/>
        <v>0</v>
      </c>
      <c r="BP31" s="283">
        <f t="shared" si="9"/>
        <v>93.471893725459836</v>
      </c>
      <c r="BQ31" s="342"/>
      <c r="BR31" s="283">
        <f t="shared" si="39"/>
        <v>21.56591338768402</v>
      </c>
      <c r="BS31" s="283">
        <f t="shared" si="40"/>
        <v>5.7517240185548308</v>
      </c>
      <c r="BT31" s="283">
        <f t="shared" si="41"/>
        <v>21.226873723425488</v>
      </c>
      <c r="BU31" s="283">
        <f t="shared" si="42"/>
        <v>3.4018776866744531</v>
      </c>
      <c r="BV31" s="283">
        <f t="shared" si="43"/>
        <v>28.357032220439564</v>
      </c>
      <c r="BW31" s="283">
        <f t="shared" si="94"/>
        <v>0</v>
      </c>
      <c r="BX31" s="285">
        <f t="shared" si="44"/>
        <v>80.30342103677836</v>
      </c>
      <c r="BY31" s="285"/>
      <c r="CA31" s="283">
        <f t="shared" si="45"/>
        <v>25.361282131176086</v>
      </c>
      <c r="CB31" s="283">
        <f t="shared" si="46"/>
        <v>6.6601311291491267</v>
      </c>
      <c r="CC31" s="283">
        <f t="shared" si="47"/>
        <v>25.453387385404756</v>
      </c>
      <c r="CD31" s="283">
        <f t="shared" si="48"/>
        <v>3.9391583124447442</v>
      </c>
      <c r="CE31" s="283">
        <f t="shared" si="49"/>
        <v>32.831228596453599</v>
      </c>
      <c r="CF31" s="283">
        <f t="shared" si="50"/>
        <v>0</v>
      </c>
      <c r="CG31" s="283">
        <f t="shared" si="51"/>
        <v>94.245187554628316</v>
      </c>
      <c r="CH31" s="283"/>
      <c r="CI31" s="298"/>
      <c r="CJ31" s="283">
        <f t="shared" si="52"/>
        <v>21.801745027962703</v>
      </c>
      <c r="CK31" s="283">
        <f t="shared" si="53"/>
        <v>5.8146213549830073</v>
      </c>
      <c r="CL31" s="283">
        <f t="shared" si="54"/>
        <v>21.325951042268379</v>
      </c>
      <c r="CM31" s="283">
        <f t="shared" si="55"/>
        <v>3.4390785406542368</v>
      </c>
      <c r="CN31" s="283">
        <f t="shared" si="56"/>
        <v>28.592329441846246</v>
      </c>
      <c r="CO31" s="283">
        <f t="shared" si="57"/>
        <v>0</v>
      </c>
      <c r="CP31" s="283">
        <f t="shared" si="95"/>
        <v>80.973725407714568</v>
      </c>
      <c r="CR31" s="277">
        <f t="shared" si="58"/>
        <v>1.2644556035722856E-2</v>
      </c>
      <c r="CS31" s="277">
        <f t="shared" si="59"/>
        <v>5.6759891047989135E-4</v>
      </c>
      <c r="CT31" s="277">
        <f t="shared" si="60"/>
        <v>8.2988974954196597E-3</v>
      </c>
      <c r="CU31" s="277">
        <f t="shared" si="61"/>
        <v>8.3483925453281391E-5</v>
      </c>
      <c r="CV31" s="277">
        <f t="shared" si="62"/>
        <v>1.964986080466859E-3</v>
      </c>
      <c r="CW31" s="277">
        <v>0</v>
      </c>
      <c r="CX31" s="277">
        <f t="shared" si="10"/>
        <v>2.3559522447542551E-2</v>
      </c>
      <c r="CY31" s="277"/>
      <c r="CZ31" s="351"/>
      <c r="DA31" s="277">
        <f t="shared" si="63"/>
        <v>1.0869852133529839E-2</v>
      </c>
      <c r="DB31" s="277">
        <f t="shared" si="64"/>
        <v>4.9554170660347143E-4</v>
      </c>
      <c r="DC31" s="277">
        <f t="shared" si="65"/>
        <v>6.9522940810390751E-3</v>
      </c>
      <c r="DD31" s="277">
        <f t="shared" si="66"/>
        <v>7.2885564311775888E-5</v>
      </c>
      <c r="DE31" s="277">
        <f t="shared" si="67"/>
        <v>1.7112350932501205E-3</v>
      </c>
      <c r="DF31" s="277">
        <v>0</v>
      </c>
      <c r="DG31" s="277">
        <f t="shared" si="68"/>
        <v>2.0101808578734285E-2</v>
      </c>
      <c r="DJ31" s="277">
        <f t="shared" si="69"/>
        <v>1.2782829167813019E-2</v>
      </c>
      <c r="DK31" s="277">
        <f t="shared" si="70"/>
        <v>5.7380582505255713E-4</v>
      </c>
      <c r="DL31" s="277">
        <f t="shared" si="71"/>
        <v>8.3365754546631983E-3</v>
      </c>
      <c r="DM31" s="277">
        <f t="shared" si="72"/>
        <v>8.439685460785151E-5</v>
      </c>
      <c r="DN31" s="277">
        <f t="shared" si="73"/>
        <v>1.9812352044468427E-3</v>
      </c>
      <c r="DO31" s="277">
        <f t="shared" si="74"/>
        <v>0</v>
      </c>
      <c r="DP31" s="277">
        <f t="shared" si="96"/>
        <v>2.3758842506583468E-2</v>
      </c>
      <c r="DQ31" s="351"/>
      <c r="DS31" s="277">
        <f t="shared" si="75"/>
        <v>1.0988718189057126E-2</v>
      </c>
      <c r="DT31" s="277">
        <f t="shared" si="76"/>
        <v>5.0096064766077598E-4</v>
      </c>
      <c r="DU31" s="277">
        <f t="shared" si="77"/>
        <v>6.9847442037623509E-3</v>
      </c>
      <c r="DV31" s="277">
        <f t="shared" si="78"/>
        <v>7.3682596270278517E-5</v>
      </c>
      <c r="DW31" s="277">
        <f t="shared" si="79"/>
        <v>1.7254343528723996E-3</v>
      </c>
      <c r="DX31" s="277">
        <f t="shared" si="97"/>
        <v>0</v>
      </c>
      <c r="DY31" s="302">
        <f t="shared" si="98"/>
        <v>2.0273539989622929E-2</v>
      </c>
    </row>
    <row r="32" spans="2:129" x14ac:dyDescent="0.15">
      <c r="B32" s="358" t="s">
        <v>707</v>
      </c>
      <c r="C32" s="137">
        <v>23</v>
      </c>
      <c r="D32" s="137">
        <v>87</v>
      </c>
      <c r="E32" s="278">
        <f t="shared" si="0"/>
        <v>3.6200000000000003E-2</v>
      </c>
      <c r="F32" s="278">
        <f t="shared" si="1"/>
        <v>5.8999999999999999E-3</v>
      </c>
      <c r="G32" s="277">
        <f t="shared" si="80"/>
        <v>0.26872224</v>
      </c>
      <c r="H32" s="277">
        <f t="shared" si="2"/>
        <v>0.60462504000000006</v>
      </c>
      <c r="I32" s="277">
        <f t="shared" si="81"/>
        <v>0.40308336</v>
      </c>
      <c r="J32" s="277">
        <f t="shared" si="3"/>
        <v>0.63552809760000017</v>
      </c>
      <c r="K32" s="277">
        <f t="shared" si="4"/>
        <v>0.31171779839999997</v>
      </c>
      <c r="L32" s="277"/>
      <c r="N32" s="277">
        <f t="shared" si="82"/>
        <v>3.3380800053978213E-2</v>
      </c>
      <c r="O32" s="277">
        <f t="shared" si="83"/>
        <v>1.6799606752430601E-3</v>
      </c>
      <c r="P32" s="277">
        <f t="shared" si="84"/>
        <v>2.1100124756482791E-2</v>
      </c>
      <c r="Q32" s="277">
        <f t="shared" si="85"/>
        <v>2.738057454125429E-4</v>
      </c>
      <c r="R32" s="277">
        <f t="shared" si="86"/>
        <v>6.4068942217312148E-3</v>
      </c>
      <c r="S32" s="277">
        <f t="shared" si="87"/>
        <v>0.9371584145471521</v>
      </c>
      <c r="T32" s="277">
        <f t="shared" si="5"/>
        <v>0.99999999999999989</v>
      </c>
      <c r="U32" s="277">
        <f t="shared" si="6"/>
        <v>6.284158545284782E-2</v>
      </c>
      <c r="V32" s="290"/>
      <c r="W32" s="277"/>
      <c r="X32" s="277">
        <f t="shared" si="11"/>
        <v>2.8193052531093398E-2</v>
      </c>
      <c r="Y32" s="277">
        <f t="shared" si="12"/>
        <v>1.4441728185985358E-3</v>
      </c>
      <c r="Z32" s="277">
        <f t="shared" si="13"/>
        <v>1.7179677357239558E-2</v>
      </c>
      <c r="AA32" s="277">
        <f t="shared" si="14"/>
        <v>2.3537623286550718E-4</v>
      </c>
      <c r="AB32" s="277">
        <f t="shared" si="15"/>
        <v>5.4582199915006267E-3</v>
      </c>
      <c r="AC32" s="277">
        <f t="shared" si="16"/>
        <v>0.94748950106870233</v>
      </c>
      <c r="AD32" s="277">
        <f t="shared" si="17"/>
        <v>1</v>
      </c>
      <c r="AE32" s="277">
        <f t="shared" si="18"/>
        <v>5.2510498931297625E-2</v>
      </c>
      <c r="AF32" s="277"/>
      <c r="AG32" s="290"/>
      <c r="AH32" s="277">
        <f t="shared" si="19"/>
        <v>0.575633192224</v>
      </c>
      <c r="AI32" s="277">
        <f t="shared" si="20"/>
        <v>0.53256325028800011</v>
      </c>
      <c r="AJ32" s="277">
        <f t="shared" si="21"/>
        <v>0.56127654491200007</v>
      </c>
      <c r="AK32" s="277">
        <f t="shared" si="22"/>
        <v>0.48060586001600003</v>
      </c>
      <c r="AL32" s="277">
        <f t="shared" si="23"/>
        <v>0.48060586001600003</v>
      </c>
      <c r="AM32" s="277">
        <v>0</v>
      </c>
      <c r="AN32" s="282"/>
      <c r="AP32" s="277">
        <f t="shared" si="24"/>
        <v>3.374583206950324E-2</v>
      </c>
      <c r="AQ32" s="277">
        <f t="shared" si="25"/>
        <v>1.6983316978157702E-3</v>
      </c>
      <c r="AR32" s="277">
        <f t="shared" si="26"/>
        <v>2.1202590923311539E-2</v>
      </c>
      <c r="AS32" s="277">
        <f t="shared" si="27"/>
        <v>2.7679991759980781E-4</v>
      </c>
      <c r="AT32" s="277">
        <f t="shared" si="28"/>
        <v>6.4603012468890924E-3</v>
      </c>
      <c r="AU32" s="277">
        <f t="shared" si="29"/>
        <v>0.93661614414488037</v>
      </c>
      <c r="AV32" s="277">
        <f t="shared" si="7"/>
        <v>0.99999999999999978</v>
      </c>
      <c r="AW32" s="277">
        <f t="shared" si="8"/>
        <v>6.338385585511945E-2</v>
      </c>
      <c r="AX32" s="289"/>
      <c r="AY32" s="277">
        <f t="shared" si="88"/>
        <v>2.8501354512249825E-2</v>
      </c>
      <c r="AZ32" s="277">
        <f t="shared" si="89"/>
        <v>1.4599654093658937E-3</v>
      </c>
      <c r="BA32" s="277">
        <f t="shared" si="90"/>
        <v>1.7265124041819901E-2</v>
      </c>
      <c r="BB32" s="277">
        <f t="shared" si="91"/>
        <v>2.3795016340493846E-4</v>
      </c>
      <c r="BC32" s="277">
        <f t="shared" si="92"/>
        <v>5.5038487023244542E-3</v>
      </c>
      <c r="BD32" s="277">
        <f t="shared" si="93"/>
        <v>0.94703175717083488</v>
      </c>
      <c r="BE32" s="277">
        <f t="shared" si="31"/>
        <v>0.99999999999999989</v>
      </c>
      <c r="BF32" s="277">
        <f t="shared" si="32"/>
        <v>5.2968242829165006E-2</v>
      </c>
      <c r="BG32" s="349"/>
      <c r="BH32" s="350"/>
      <c r="BJ32" s="283">
        <f t="shared" si="33"/>
        <v>17.434666812251045</v>
      </c>
      <c r="BK32" s="283">
        <f t="shared" si="34"/>
        <v>4.7491402971513397</v>
      </c>
      <c r="BL32" s="283">
        <f t="shared" si="35"/>
        <v>16.536617495732056</v>
      </c>
      <c r="BM32" s="283">
        <f t="shared" si="36"/>
        <v>2.8088959685212704</v>
      </c>
      <c r="BN32" s="283">
        <f t="shared" si="37"/>
        <v>23.335363820640808</v>
      </c>
      <c r="BO32" s="283">
        <f t="shared" si="38"/>
        <v>0</v>
      </c>
      <c r="BP32" s="283">
        <f t="shared" si="9"/>
        <v>64.864684394296518</v>
      </c>
      <c r="BQ32" s="342"/>
      <c r="BR32" s="283">
        <f t="shared" si="39"/>
        <v>14.725125716132277</v>
      </c>
      <c r="BS32" s="283">
        <f t="shared" si="40"/>
        <v>4.0825832591971984</v>
      </c>
      <c r="BT32" s="283">
        <f t="shared" si="41"/>
        <v>13.464079309269238</v>
      </c>
      <c r="BU32" s="283">
        <f t="shared" si="42"/>
        <v>2.414658430872211</v>
      </c>
      <c r="BV32" s="283">
        <f t="shared" si="43"/>
        <v>19.880076821425252</v>
      </c>
      <c r="BW32" s="283">
        <f t="shared" si="94"/>
        <v>0</v>
      </c>
      <c r="BX32" s="285">
        <f t="shared" si="44"/>
        <v>54.56652353689617</v>
      </c>
      <c r="BY32" s="285"/>
      <c r="CA32" s="283">
        <f t="shared" si="45"/>
        <v>17.625321666424462</v>
      </c>
      <c r="CB32" s="283">
        <f t="shared" si="46"/>
        <v>4.8010739911274269</v>
      </c>
      <c r="CC32" s="283">
        <f t="shared" si="47"/>
        <v>16.616922414620287</v>
      </c>
      <c r="CD32" s="283">
        <f t="shared" si="48"/>
        <v>2.8396123370664048</v>
      </c>
      <c r="CE32" s="283">
        <f t="shared" si="49"/>
        <v>23.529884335496511</v>
      </c>
      <c r="CF32" s="283">
        <f t="shared" si="50"/>
        <v>0</v>
      </c>
      <c r="CG32" s="283">
        <f t="shared" si="51"/>
        <v>65.412814744735101</v>
      </c>
      <c r="CH32" s="283"/>
      <c r="CI32" s="298"/>
      <c r="CJ32" s="283">
        <f t="shared" si="52"/>
        <v>14.88615068588517</v>
      </c>
      <c r="CK32" s="283">
        <f t="shared" si="53"/>
        <v>4.1272278930359212</v>
      </c>
      <c r="CL32" s="283">
        <f t="shared" si="54"/>
        <v>13.531045697169361</v>
      </c>
      <c r="CM32" s="283">
        <f t="shared" si="55"/>
        <v>2.4410636587996564</v>
      </c>
      <c r="CN32" s="283">
        <f t="shared" si="56"/>
        <v>20.046266948949022</v>
      </c>
      <c r="CO32" s="283">
        <f t="shared" si="57"/>
        <v>0</v>
      </c>
      <c r="CP32" s="283">
        <f t="shared" si="95"/>
        <v>55.031754883839128</v>
      </c>
      <c r="CR32" s="277">
        <f t="shared" si="58"/>
        <v>8.7099271886262684E-3</v>
      </c>
      <c r="CS32" s="277">
        <f t="shared" si="59"/>
        <v>4.0554800102714515E-4</v>
      </c>
      <c r="CT32" s="277">
        <f t="shared" si="60"/>
        <v>5.3682640795598034E-3</v>
      </c>
      <c r="CU32" s="277">
        <f t="shared" si="61"/>
        <v>5.9649055803952148E-5</v>
      </c>
      <c r="CV32" s="277">
        <f t="shared" si="62"/>
        <v>1.3957530014070952E-3</v>
      </c>
      <c r="CW32" s="277">
        <v>0</v>
      </c>
      <c r="CX32" s="277">
        <f t="shared" si="10"/>
        <v>1.5939141326424263E-2</v>
      </c>
      <c r="CY32" s="277"/>
      <c r="CZ32" s="351"/>
      <c r="DA32" s="277">
        <f t="shared" si="63"/>
        <v>7.356307649123409E-3</v>
      </c>
      <c r="DB32" s="277">
        <f t="shared" si="64"/>
        <v>3.4862804132938205E-4</v>
      </c>
      <c r="DC32" s="277">
        <f t="shared" si="65"/>
        <v>4.3708293633174288E-3</v>
      </c>
      <c r="DD32" s="277">
        <f t="shared" si="66"/>
        <v>5.1277119944888884E-5</v>
      </c>
      <c r="DE32" s="277">
        <f t="shared" si="67"/>
        <v>1.1890826774753043E-3</v>
      </c>
      <c r="DF32" s="277">
        <v>0</v>
      </c>
      <c r="DG32" s="277">
        <f t="shared" si="68"/>
        <v>1.3316124851190414E-2</v>
      </c>
      <c r="DJ32" s="277">
        <f t="shared" si="69"/>
        <v>8.8051736258476423E-3</v>
      </c>
      <c r="DK32" s="277">
        <f t="shared" si="70"/>
        <v>4.099828259554782E-4</v>
      </c>
      <c r="DL32" s="277">
        <f t="shared" si="71"/>
        <v>5.3943333776850641E-3</v>
      </c>
      <c r="DM32" s="277">
        <f t="shared" si="72"/>
        <v>6.0301341400135339E-5</v>
      </c>
      <c r="DN32" s="277">
        <f t="shared" si="73"/>
        <v>1.4073878143258871E-3</v>
      </c>
      <c r="DO32" s="277">
        <f t="shared" si="74"/>
        <v>0</v>
      </c>
      <c r="DP32" s="277">
        <f t="shared" si="96"/>
        <v>1.607717898521421E-2</v>
      </c>
      <c r="DQ32" s="351"/>
      <c r="DS32" s="277">
        <f t="shared" si="75"/>
        <v>7.4367517308602006E-3</v>
      </c>
      <c r="DT32" s="277">
        <f t="shared" si="76"/>
        <v>3.5244042438758376E-4</v>
      </c>
      <c r="DU32" s="277">
        <f t="shared" si="77"/>
        <v>4.392568588693772E-3</v>
      </c>
      <c r="DV32" s="277">
        <f t="shared" si="78"/>
        <v>5.1837855170333864E-5</v>
      </c>
      <c r="DW32" s="277">
        <f t="shared" si="79"/>
        <v>1.1990229711462501E-3</v>
      </c>
      <c r="DX32" s="277">
        <f t="shared" si="97"/>
        <v>0</v>
      </c>
      <c r="DY32" s="302">
        <f t="shared" si="98"/>
        <v>1.3432621570258142E-2</v>
      </c>
    </row>
    <row r="33" spans="2:129" x14ac:dyDescent="0.15">
      <c r="B33" s="358" t="s">
        <v>707</v>
      </c>
      <c r="C33" s="137">
        <v>24</v>
      </c>
      <c r="D33" s="137">
        <v>88</v>
      </c>
      <c r="E33" s="278">
        <f t="shared" si="0"/>
        <v>3.6200000000000003E-2</v>
      </c>
      <c r="F33" s="278">
        <f t="shared" si="1"/>
        <v>5.8999999999999999E-3</v>
      </c>
      <c r="G33" s="277">
        <f t="shared" si="80"/>
        <v>0.30137239999999998</v>
      </c>
      <c r="H33" s="277">
        <f t="shared" si="2"/>
        <v>0.67808789999999997</v>
      </c>
      <c r="I33" s="277">
        <f t="shared" si="81"/>
        <v>0.45205860000000003</v>
      </c>
      <c r="J33" s="277">
        <f t="shared" si="3"/>
        <v>0.71274572600000008</v>
      </c>
      <c r="K33" s="277">
        <f t="shared" si="4"/>
        <v>0.34959198399999997</v>
      </c>
      <c r="L33" s="277"/>
      <c r="N33" s="277">
        <f t="shared" si="82"/>
        <v>2.3005305008208583E-2</v>
      </c>
      <c r="O33" s="277">
        <f t="shared" si="83"/>
        <v>1.2083849619540113E-3</v>
      </c>
      <c r="P33" s="277">
        <f t="shared" si="84"/>
        <v>1.3259229957996324E-2</v>
      </c>
      <c r="Q33" s="277">
        <f t="shared" si="85"/>
        <v>1.9694672031847146E-4</v>
      </c>
      <c r="R33" s="277">
        <f t="shared" si="86"/>
        <v>4.5095457612700394E-3</v>
      </c>
      <c r="S33" s="277">
        <f t="shared" si="87"/>
        <v>0.95782058759025257</v>
      </c>
      <c r="T33" s="277">
        <f t="shared" si="5"/>
        <v>1</v>
      </c>
      <c r="U33" s="277">
        <f t="shared" si="6"/>
        <v>4.217941240974743E-2</v>
      </c>
      <c r="V33" s="290"/>
      <c r="W33" s="277"/>
      <c r="X33" s="277">
        <f t="shared" si="11"/>
        <v>1.9054461346257871E-2</v>
      </c>
      <c r="Y33" s="277">
        <f t="shared" si="12"/>
        <v>1.0205885016255811E-3</v>
      </c>
      <c r="Z33" s="277">
        <f t="shared" si="13"/>
        <v>1.0456752362406903E-2</v>
      </c>
      <c r="AA33" s="277">
        <f t="shared" si="14"/>
        <v>1.6633900993345106E-4</v>
      </c>
      <c r="AB33" s="277">
        <f t="shared" si="15"/>
        <v>3.7495821300403296E-3</v>
      </c>
      <c r="AC33" s="277">
        <f t="shared" si="16"/>
        <v>0.96555227664973586</v>
      </c>
      <c r="AD33" s="277">
        <f t="shared" si="17"/>
        <v>1</v>
      </c>
      <c r="AE33" s="277">
        <f t="shared" si="18"/>
        <v>3.4447723350264137E-2</v>
      </c>
      <c r="AF33" s="277"/>
      <c r="AG33" s="290"/>
      <c r="AH33" s="277">
        <f t="shared" si="19"/>
        <v>0.57044507450399995</v>
      </c>
      <c r="AI33" s="277">
        <f t="shared" si="20"/>
        <v>0.52776331714800007</v>
      </c>
      <c r="AJ33" s="277">
        <f t="shared" si="21"/>
        <v>0.55621782205199999</v>
      </c>
      <c r="AK33" s="277">
        <f t="shared" si="22"/>
        <v>0.47627421303599993</v>
      </c>
      <c r="AL33" s="277">
        <f t="shared" si="23"/>
        <v>0.47627421303599993</v>
      </c>
      <c r="AM33" s="277">
        <v>0</v>
      </c>
      <c r="AN33" s="282"/>
      <c r="AP33" s="277">
        <f t="shared" si="24"/>
        <v>2.3256876954996408E-2</v>
      </c>
      <c r="AQ33" s="277">
        <f t="shared" si="25"/>
        <v>1.2215991209160173E-3</v>
      </c>
      <c r="AR33" s="277">
        <f t="shared" si="26"/>
        <v>1.3327657160328264E-2</v>
      </c>
      <c r="AS33" s="277">
        <f t="shared" si="27"/>
        <v>1.9910040921006911E-4</v>
      </c>
      <c r="AT33" s="277">
        <f t="shared" si="28"/>
        <v>4.5473961577598152E-3</v>
      </c>
      <c r="AU33" s="277">
        <f t="shared" si="29"/>
        <v>0.95744737019678927</v>
      </c>
      <c r="AV33" s="277">
        <f t="shared" si="7"/>
        <v>0.99999999999999989</v>
      </c>
      <c r="AW33" s="277">
        <f t="shared" si="8"/>
        <v>4.2552629803210569E-2</v>
      </c>
      <c r="AX33" s="289"/>
      <c r="AY33" s="277">
        <f t="shared" si="88"/>
        <v>1.9262829282877755E-2</v>
      </c>
      <c r="AZ33" s="277">
        <f t="shared" si="89"/>
        <v>1.0317490333434437E-3</v>
      </c>
      <c r="BA33" s="277">
        <f t="shared" si="90"/>
        <v>1.0511839910925393E-2</v>
      </c>
      <c r="BB33" s="277">
        <f t="shared" si="91"/>
        <v>1.6815799162227395E-4</v>
      </c>
      <c r="BC33" s="277">
        <f t="shared" si="92"/>
        <v>3.7811257570975706E-3</v>
      </c>
      <c r="BD33" s="277">
        <f t="shared" si="93"/>
        <v>0.96524429802413336</v>
      </c>
      <c r="BE33" s="277">
        <f t="shared" si="31"/>
        <v>0.99999999999999978</v>
      </c>
      <c r="BF33" s="277">
        <f t="shared" si="32"/>
        <v>3.4755701975866436E-2</v>
      </c>
      <c r="BG33" s="349"/>
      <c r="BH33" s="350"/>
      <c r="BJ33" s="283">
        <f t="shared" si="33"/>
        <v>11.609260502428519</v>
      </c>
      <c r="BK33" s="283">
        <f t="shared" si="34"/>
        <v>3.3005084263217941</v>
      </c>
      <c r="BL33" s="283">
        <f t="shared" si="35"/>
        <v>10.040136350537603</v>
      </c>
      <c r="BM33" s="283">
        <f t="shared" si="36"/>
        <v>1.9520974813750258</v>
      </c>
      <c r="BN33" s="283">
        <f t="shared" si="37"/>
        <v>15.869362147062514</v>
      </c>
      <c r="BO33" s="283">
        <f t="shared" si="38"/>
        <v>0</v>
      </c>
      <c r="BP33" s="283">
        <f t="shared" si="9"/>
        <v>42.771364907725456</v>
      </c>
      <c r="BQ33" s="342"/>
      <c r="BR33" s="283">
        <f t="shared" si="39"/>
        <v>9.6155302189313527</v>
      </c>
      <c r="BS33" s="283">
        <f t="shared" si="40"/>
        <v>2.7875727152176868</v>
      </c>
      <c r="BT33" s="283">
        <f t="shared" si="41"/>
        <v>7.9180480189994906</v>
      </c>
      <c r="BU33" s="283">
        <f t="shared" si="42"/>
        <v>1.6487198254453539</v>
      </c>
      <c r="BV33" s="283">
        <f t="shared" si="43"/>
        <v>13.195004524137675</v>
      </c>
      <c r="BW33" s="283">
        <f t="shared" si="94"/>
        <v>0</v>
      </c>
      <c r="BX33" s="285">
        <f t="shared" si="44"/>
        <v>35.164875302731559</v>
      </c>
      <c r="BY33" s="285"/>
      <c r="CA33" s="283">
        <f t="shared" si="45"/>
        <v>11.736212275696504</v>
      </c>
      <c r="CB33" s="283">
        <f t="shared" si="46"/>
        <v>3.3366007680622372</v>
      </c>
      <c r="CC33" s="283">
        <f t="shared" si="47"/>
        <v>10.091950705041967</v>
      </c>
      <c r="CD33" s="283">
        <f t="shared" si="48"/>
        <v>1.97344442563566</v>
      </c>
      <c r="CE33" s="283">
        <f t="shared" si="49"/>
        <v>16.002559963672983</v>
      </c>
      <c r="CF33" s="283">
        <f t="shared" si="50"/>
        <v>0</v>
      </c>
      <c r="CG33" s="283">
        <f t="shared" si="51"/>
        <v>43.140768138109351</v>
      </c>
      <c r="CH33" s="283"/>
      <c r="CI33" s="298"/>
      <c r="CJ33" s="283">
        <f t="shared" si="52"/>
        <v>9.7206797770750342</v>
      </c>
      <c r="CK33" s="283">
        <f t="shared" si="53"/>
        <v>2.8180559057048251</v>
      </c>
      <c r="CL33" s="283">
        <f t="shared" si="54"/>
        <v>7.9597613387092032</v>
      </c>
      <c r="CM33" s="283">
        <f t="shared" si="55"/>
        <v>1.6667492171898652</v>
      </c>
      <c r="CN33" s="283">
        <f t="shared" si="56"/>
        <v>13.306008440652375</v>
      </c>
      <c r="CO33" s="283">
        <f t="shared" si="57"/>
        <v>0</v>
      </c>
      <c r="CP33" s="283">
        <f t="shared" si="95"/>
        <v>35.471254679331302</v>
      </c>
      <c r="CR33" s="277">
        <f t="shared" si="58"/>
        <v>5.7474266199008736E-3</v>
      </c>
      <c r="CS33" s="277">
        <f t="shared" si="59"/>
        <v>2.7930333260572574E-4</v>
      </c>
      <c r="CT33" s="277">
        <f t="shared" si="60"/>
        <v>3.2299426256973871E-3</v>
      </c>
      <c r="CU33" s="277">
        <f t="shared" si="61"/>
        <v>4.1080661304291817E-5</v>
      </c>
      <c r="CV33" s="277">
        <f t="shared" si="62"/>
        <v>9.4063573008666332E-4</v>
      </c>
      <c r="CW33" s="277">
        <v>0</v>
      </c>
      <c r="CX33" s="277">
        <f t="shared" si="10"/>
        <v>1.0238388969594942E-2</v>
      </c>
      <c r="CY33" s="277"/>
      <c r="CZ33" s="351"/>
      <c r="DA33" s="277">
        <f t="shared" si="63"/>
        <v>4.7603854124202523E-3</v>
      </c>
      <c r="DB33" s="277">
        <f t="shared" si="64"/>
        <v>2.3589648886573739E-4</v>
      </c>
      <c r="DC33" s="277">
        <f t="shared" si="65"/>
        <v>2.5472603076267782E-3</v>
      </c>
      <c r="DD33" s="277">
        <f t="shared" si="66"/>
        <v>3.4696269720651163E-5</v>
      </c>
      <c r="DE33" s="277">
        <f t="shared" si="67"/>
        <v>7.8211667230472287E-4</v>
      </c>
      <c r="DF33" s="277">
        <v>0</v>
      </c>
      <c r="DG33" s="277">
        <f t="shared" si="68"/>
        <v>8.3603551509381421E-3</v>
      </c>
      <c r="DJ33" s="277">
        <f t="shared" si="69"/>
        <v>5.8102769626054238E-3</v>
      </c>
      <c r="DK33" s="277">
        <f t="shared" si="70"/>
        <v>2.8235762304451274E-4</v>
      </c>
      <c r="DL33" s="277">
        <f t="shared" si="71"/>
        <v>3.2466114622941812E-3</v>
      </c>
      <c r="DM33" s="277">
        <f t="shared" si="72"/>
        <v>4.1529894293637721E-5</v>
      </c>
      <c r="DN33" s="277">
        <f t="shared" si="73"/>
        <v>9.48530856829141E-4</v>
      </c>
      <c r="DO33" s="277">
        <f t="shared" si="74"/>
        <v>0</v>
      </c>
      <c r="DP33" s="277">
        <f t="shared" si="96"/>
        <v>1.0329306799066896E-2</v>
      </c>
      <c r="DQ33" s="351"/>
      <c r="DS33" s="277">
        <f t="shared" si="75"/>
        <v>4.8124420761000266E-3</v>
      </c>
      <c r="DT33" s="277">
        <f t="shared" si="76"/>
        <v>2.3847610860662719E-4</v>
      </c>
      <c r="DU33" s="277">
        <f t="shared" si="77"/>
        <v>2.5606796103818177E-3</v>
      </c>
      <c r="DV33" s="277">
        <f t="shared" si="78"/>
        <v>3.5075686907981869E-5</v>
      </c>
      <c r="DW33" s="277">
        <f t="shared" si="79"/>
        <v>7.8869628458438923E-4</v>
      </c>
      <c r="DX33" s="277">
        <f t="shared" si="97"/>
        <v>0</v>
      </c>
      <c r="DY33" s="302">
        <f t="shared" si="98"/>
        <v>8.4353697665808421E-3</v>
      </c>
    </row>
    <row r="34" spans="2:129" x14ac:dyDescent="0.15">
      <c r="B34" s="358" t="s">
        <v>707</v>
      </c>
      <c r="C34" s="137">
        <v>25</v>
      </c>
      <c r="D34" s="137">
        <v>89</v>
      </c>
      <c r="E34" s="278">
        <f t="shared" si="0"/>
        <v>3.6200000000000003E-2</v>
      </c>
      <c r="F34" s="278">
        <f t="shared" si="1"/>
        <v>5.8999999999999999E-3</v>
      </c>
      <c r="G34" s="277">
        <f>VLOOKUP(D34,prob_dead_noevent,4)</f>
        <v>0.33446103999999999</v>
      </c>
      <c r="H34" s="277">
        <f t="shared" si="2"/>
        <v>0.75253733999999994</v>
      </c>
      <c r="I34" s="277">
        <f t="shared" si="81"/>
        <v>0.50169156000000004</v>
      </c>
      <c r="J34" s="277">
        <f t="shared" si="3"/>
        <v>0.79100035960000004</v>
      </c>
      <c r="K34" s="277">
        <f t="shared" si="4"/>
        <v>0.38797480639999993</v>
      </c>
      <c r="L34" s="277"/>
      <c r="N34" s="277">
        <f t="shared" si="82"/>
        <v>1.5103617684307163E-2</v>
      </c>
      <c r="O34" s="277">
        <f t="shared" si="83"/>
        <v>8.3279204129715076E-4</v>
      </c>
      <c r="P34" s="277">
        <f t="shared" si="84"/>
        <v>7.6542747668174819E-3</v>
      </c>
      <c r="Q34" s="277">
        <f t="shared" si="85"/>
        <v>1.3573129954843065E-4</v>
      </c>
      <c r="R34" s="277">
        <f t="shared" si="86"/>
        <v>2.9896184988106199E-3</v>
      </c>
      <c r="S34" s="277">
        <f t="shared" si="87"/>
        <v>0.97328396570921916</v>
      </c>
      <c r="T34" s="277">
        <f t="shared" si="5"/>
        <v>1</v>
      </c>
      <c r="U34" s="277">
        <f t="shared" si="6"/>
        <v>2.671603429078085E-2</v>
      </c>
      <c r="V34" s="290"/>
      <c r="W34" s="277"/>
      <c r="X34" s="277">
        <f t="shared" si="11"/>
        <v>1.2259900692824614E-2</v>
      </c>
      <c r="Y34" s="277">
        <f t="shared" si="12"/>
        <v>6.8977150073453505E-4</v>
      </c>
      <c r="Z34" s="277">
        <f t="shared" si="13"/>
        <v>5.8372747094839438E-3</v>
      </c>
      <c r="AA34" s="277">
        <f t="shared" si="14"/>
        <v>1.1242132194292146E-4</v>
      </c>
      <c r="AB34" s="277">
        <f t="shared" si="15"/>
        <v>2.4238540660659891E-3</v>
      </c>
      <c r="AC34" s="277">
        <f t="shared" si="16"/>
        <v>0.9786767777089479</v>
      </c>
      <c r="AD34" s="277">
        <f t="shared" si="17"/>
        <v>0.99999999999999989</v>
      </c>
      <c r="AE34" s="277">
        <f t="shared" si="18"/>
        <v>2.1323222291052005E-2</v>
      </c>
      <c r="AF34" s="277"/>
      <c r="AG34" s="290"/>
      <c r="AH34" s="277">
        <f t="shared" si="19"/>
        <v>0.56520104798400006</v>
      </c>
      <c r="AI34" s="277">
        <f t="shared" si="20"/>
        <v>0.52291165840800014</v>
      </c>
      <c r="AJ34" s="277">
        <f t="shared" si="21"/>
        <v>0.55110458479200009</v>
      </c>
      <c r="AK34" s="277">
        <f t="shared" si="22"/>
        <v>0.47189588685600004</v>
      </c>
      <c r="AL34" s="277">
        <f t="shared" si="23"/>
        <v>0.47189588685600004</v>
      </c>
      <c r="AM34" s="277">
        <v>0</v>
      </c>
      <c r="AN34" s="282"/>
      <c r="AP34" s="277">
        <f t="shared" si="24"/>
        <v>1.52687816107591E-2</v>
      </c>
      <c r="AQ34" s="277">
        <f t="shared" si="25"/>
        <v>8.4189894577087004E-4</v>
      </c>
      <c r="AR34" s="277">
        <f t="shared" si="26"/>
        <v>7.6960226615225219E-3</v>
      </c>
      <c r="AS34" s="277">
        <f t="shared" si="27"/>
        <v>1.372155740344788E-4</v>
      </c>
      <c r="AT34" s="277">
        <f t="shared" si="28"/>
        <v>3.014855356435326E-3</v>
      </c>
      <c r="AU34" s="277">
        <f t="shared" si="29"/>
        <v>0.97304122585147756</v>
      </c>
      <c r="AV34" s="277">
        <f t="shared" si="7"/>
        <v>0.99999999999999989</v>
      </c>
      <c r="AW34" s="277">
        <f t="shared" si="8"/>
        <v>2.6958774148522296E-2</v>
      </c>
      <c r="AX34" s="289"/>
      <c r="AY34" s="277">
        <f t="shared" si="88"/>
        <v>1.239396746931894E-2</v>
      </c>
      <c r="AZ34" s="277">
        <f t="shared" si="89"/>
        <v>6.9731442004017483E-4</v>
      </c>
      <c r="BA34" s="277">
        <f t="shared" si="90"/>
        <v>5.8696771303810569E-3</v>
      </c>
      <c r="BB34" s="277">
        <f t="shared" si="91"/>
        <v>1.1365069276897874E-4</v>
      </c>
      <c r="BC34" s="277">
        <f t="shared" si="92"/>
        <v>2.4443503976320697E-3</v>
      </c>
      <c r="BD34" s="277">
        <f t="shared" si="93"/>
        <v>0.97848103988985868</v>
      </c>
      <c r="BE34" s="277">
        <f t="shared" si="31"/>
        <v>0.99999999999999989</v>
      </c>
      <c r="BF34" s="277">
        <f t="shared" si="32"/>
        <v>2.1518960110141223E-2</v>
      </c>
      <c r="BG34" s="349"/>
      <c r="BH34" s="350"/>
      <c r="BJ34" s="283">
        <f t="shared" si="33"/>
        <v>7.3640579086320681</v>
      </c>
      <c r="BK34" s="283">
        <f t="shared" si="34"/>
        <v>2.1977169121870332</v>
      </c>
      <c r="BL34" s="283">
        <f t="shared" si="35"/>
        <v>5.5999610506873232</v>
      </c>
      <c r="BM34" s="283">
        <f t="shared" si="36"/>
        <v>1.2998475067784367</v>
      </c>
      <c r="BN34" s="283">
        <f t="shared" si="37"/>
        <v>10.16487623305588</v>
      </c>
      <c r="BO34" s="283">
        <f t="shared" si="38"/>
        <v>0</v>
      </c>
      <c r="BP34" s="283">
        <f t="shared" si="9"/>
        <v>26.626459611340742</v>
      </c>
      <c r="BQ34" s="342"/>
      <c r="BR34" s="283">
        <f t="shared" si="39"/>
        <v>5.9775492562847106</v>
      </c>
      <c r="BS34" s="283">
        <f t="shared" si="40"/>
        <v>1.8202893610122985</v>
      </c>
      <c r="BT34" s="283">
        <f t="shared" si="41"/>
        <v>4.2706215822016507</v>
      </c>
      <c r="BU34" s="283">
        <f t="shared" si="42"/>
        <v>1.0766166353848341</v>
      </c>
      <c r="BV34" s="283">
        <f t="shared" si="43"/>
        <v>8.2412443588879327</v>
      </c>
      <c r="BW34" s="283">
        <f t="shared" si="94"/>
        <v>0</v>
      </c>
      <c r="BX34" s="285">
        <f t="shared" si="44"/>
        <v>21.386321193771426</v>
      </c>
      <c r="BY34" s="285"/>
      <c r="CA34" s="283">
        <f t="shared" si="45"/>
        <v>7.4445867424672123</v>
      </c>
      <c r="CB34" s="283">
        <f t="shared" si="46"/>
        <v>2.2217498003356644</v>
      </c>
      <c r="CC34" s="283">
        <f t="shared" si="47"/>
        <v>5.6305043211366579</v>
      </c>
      <c r="CD34" s="283">
        <f t="shared" si="48"/>
        <v>1.3140618441971699</v>
      </c>
      <c r="CE34" s="283">
        <f t="shared" si="49"/>
        <v>10.250683012204606</v>
      </c>
      <c r="CF34" s="283">
        <f t="shared" si="50"/>
        <v>0</v>
      </c>
      <c r="CG34" s="283">
        <f t="shared" si="51"/>
        <v>26.86158572034131</v>
      </c>
      <c r="CH34" s="283"/>
      <c r="CI34" s="298"/>
      <c r="CJ34" s="283">
        <f t="shared" si="52"/>
        <v>6.0429160794103796</v>
      </c>
      <c r="CK34" s="283">
        <f t="shared" si="53"/>
        <v>1.8401949322752591</v>
      </c>
      <c r="CL34" s="283">
        <f t="shared" si="54"/>
        <v>4.2943275896941486</v>
      </c>
      <c r="CM34" s="283">
        <f t="shared" si="55"/>
        <v>1.0883898565097558</v>
      </c>
      <c r="CN34" s="283">
        <f t="shared" si="56"/>
        <v>8.3109330745831862</v>
      </c>
      <c r="CO34" s="283">
        <f t="shared" si="57"/>
        <v>0</v>
      </c>
      <c r="CP34" s="283">
        <f t="shared" si="95"/>
        <v>21.57676153247273</v>
      </c>
      <c r="CR34" s="277">
        <f t="shared" si="58"/>
        <v>3.6122283556512887E-3</v>
      </c>
      <c r="CS34" s="277">
        <f t="shared" si="59"/>
        <v>1.8427064071765707E-4</v>
      </c>
      <c r="CT34" s="277">
        <f t="shared" si="60"/>
        <v>1.7849634487044682E-3</v>
      </c>
      <c r="CU34" s="277">
        <f t="shared" si="61"/>
        <v>2.7103005571125543E-5</v>
      </c>
      <c r="CV34" s="277">
        <f t="shared" si="62"/>
        <v>5.9697097941578702E-4</v>
      </c>
      <c r="CW34" s="277">
        <v>0</v>
      </c>
      <c r="CX34" s="277">
        <f t="shared" si="10"/>
        <v>6.205536430060327E-3</v>
      </c>
      <c r="CY34" s="277"/>
      <c r="CZ34" s="351"/>
      <c r="DA34" s="277">
        <f t="shared" si="63"/>
        <v>2.9321161224905193E-3</v>
      </c>
      <c r="DB34" s="277">
        <f t="shared" si="64"/>
        <v>1.5262470110924138E-4</v>
      </c>
      <c r="DC34" s="277">
        <f t="shared" si="65"/>
        <v>1.3612422226655983E-3</v>
      </c>
      <c r="DD34" s="277">
        <f t="shared" si="66"/>
        <v>2.2448438385761617E-5</v>
      </c>
      <c r="DE34" s="277">
        <f t="shared" si="67"/>
        <v>4.8399838854222012E-4</v>
      </c>
      <c r="DF34" s="277">
        <v>0</v>
      </c>
      <c r="DG34" s="277">
        <f t="shared" si="68"/>
        <v>4.9524298731933409E-3</v>
      </c>
      <c r="DJ34" s="277">
        <f t="shared" si="69"/>
        <v>3.6517294759080784E-3</v>
      </c>
      <c r="DK34" s="277">
        <f t="shared" si="70"/>
        <v>1.8628571175473483E-4</v>
      </c>
      <c r="DL34" s="277">
        <f t="shared" si="71"/>
        <v>1.7946989845166797E-3</v>
      </c>
      <c r="DM34" s="277">
        <f t="shared" si="72"/>
        <v>2.7399387465340655E-5</v>
      </c>
      <c r="DN34" s="277">
        <f t="shared" si="73"/>
        <v>6.02010308554134E-4</v>
      </c>
      <c r="DO34" s="277">
        <f t="shared" si="74"/>
        <v>0</v>
      </c>
      <c r="DP34" s="277">
        <f t="shared" si="96"/>
        <v>6.2621238681989681E-3</v>
      </c>
      <c r="DQ34" s="351"/>
      <c r="DS34" s="277">
        <f t="shared" si="75"/>
        <v>2.9641799512847779E-3</v>
      </c>
      <c r="DT34" s="277">
        <f t="shared" si="76"/>
        <v>1.5429371150368137E-4</v>
      </c>
      <c r="DU34" s="277">
        <f t="shared" si="77"/>
        <v>1.3687984103793731E-3</v>
      </c>
      <c r="DV34" s="277">
        <f t="shared" si="78"/>
        <v>2.2693920779715418E-5</v>
      </c>
      <c r="DW34" s="277">
        <f t="shared" si="79"/>
        <v>4.8809112316180509E-4</v>
      </c>
      <c r="DX34" s="277">
        <f t="shared" si="97"/>
        <v>0</v>
      </c>
      <c r="DY34" s="302">
        <f t="shared" si="98"/>
        <v>4.9980571171093528E-3</v>
      </c>
    </row>
    <row r="35" spans="2:129" x14ac:dyDescent="0.15">
      <c r="B35" s="358" t="s">
        <v>707</v>
      </c>
      <c r="C35" s="137">
        <v>26</v>
      </c>
      <c r="D35" s="137">
        <v>90</v>
      </c>
      <c r="E35" s="278">
        <f t="shared" si="0"/>
        <v>3.6200000000000003E-2</v>
      </c>
      <c r="F35" s="278">
        <f t="shared" si="1"/>
        <v>5.8999999999999999E-3</v>
      </c>
      <c r="G35" s="277">
        <f t="shared" si="80"/>
        <v>0.37426680000000001</v>
      </c>
      <c r="H35" s="277">
        <f t="shared" si="2"/>
        <v>0.83217052000000002</v>
      </c>
      <c r="I35" s="277">
        <f t="shared" si="81"/>
        <v>0.56140020000000002</v>
      </c>
      <c r="J35" s="277">
        <f t="shared" si="3"/>
        <v>0.86039256880000003</v>
      </c>
      <c r="K35" s="277">
        <f t="shared" si="4"/>
        <v>0.43414948799999997</v>
      </c>
      <c r="L35" s="277"/>
      <c r="N35" s="277">
        <f t="shared" si="82"/>
        <v>9.4161837013420659E-3</v>
      </c>
      <c r="O35" s="277">
        <f t="shared" si="83"/>
        <v>5.4675096017191933E-4</v>
      </c>
      <c r="P35" s="277">
        <f t="shared" si="84"/>
        <v>4.0202746521504056E-3</v>
      </c>
      <c r="Q35" s="277">
        <f t="shared" si="85"/>
        <v>8.9111344337412256E-5</v>
      </c>
      <c r="R35" s="277">
        <f t="shared" si="86"/>
        <v>1.8580896333213579E-3</v>
      </c>
      <c r="S35" s="277">
        <f t="shared" si="87"/>
        <v>0.98406958970867664</v>
      </c>
      <c r="T35" s="277">
        <f t="shared" si="5"/>
        <v>0.99999999999999978</v>
      </c>
      <c r="U35" s="277">
        <f t="shared" si="6"/>
        <v>1.5930410291323163E-2</v>
      </c>
      <c r="V35" s="290"/>
      <c r="W35" s="277"/>
      <c r="X35" s="277">
        <f t="shared" si="11"/>
        <v>7.45589056337209E-3</v>
      </c>
      <c r="Y35" s="277">
        <f t="shared" si="12"/>
        <v>4.438084050802511E-4</v>
      </c>
      <c r="Z35" s="277">
        <f t="shared" si="13"/>
        <v>2.9376636199318984E-3</v>
      </c>
      <c r="AA35" s="277">
        <f t="shared" si="14"/>
        <v>7.2333414087665226E-5</v>
      </c>
      <c r="AB35" s="277">
        <f t="shared" si="15"/>
        <v>1.4609656047759327E-3</v>
      </c>
      <c r="AC35" s="277">
        <f t="shared" si="16"/>
        <v>0.98762933839275202</v>
      </c>
      <c r="AD35" s="277">
        <f t="shared" si="17"/>
        <v>0.99999999999999978</v>
      </c>
      <c r="AE35" s="277">
        <f t="shared" si="18"/>
        <v>1.2370661607247839E-2</v>
      </c>
      <c r="AF35" s="277"/>
      <c r="AG35" s="290"/>
      <c r="AH35" s="277">
        <f t="shared" si="19"/>
        <v>0.559901112664</v>
      </c>
      <c r="AI35" s="277">
        <f t="shared" si="20"/>
        <v>0.51800827406799999</v>
      </c>
      <c r="AJ35" s="277">
        <f t="shared" si="21"/>
        <v>0.54593683313199992</v>
      </c>
      <c r="AK35" s="277">
        <f t="shared" si="22"/>
        <v>0.46747088147599997</v>
      </c>
      <c r="AL35" s="277">
        <f t="shared" si="23"/>
        <v>0.46747088147599997</v>
      </c>
      <c r="AM35" s="277">
        <v>0</v>
      </c>
      <c r="AN35" s="282"/>
      <c r="AP35" s="277">
        <f t="shared" si="24"/>
        <v>9.5191533278787786E-3</v>
      </c>
      <c r="AQ35" s="277">
        <f t="shared" si="25"/>
        <v>5.5272989430947951E-4</v>
      </c>
      <c r="AR35" s="277">
        <f t="shared" si="26"/>
        <v>4.0433315992395909E-3</v>
      </c>
      <c r="AS35" s="277">
        <f t="shared" si="27"/>
        <v>9.0085811503478689E-5</v>
      </c>
      <c r="AT35" s="277">
        <f t="shared" si="28"/>
        <v>1.8738454388288134E-3</v>
      </c>
      <c r="AU35" s="277">
        <f t="shared" si="29"/>
        <v>0.98392085392823969</v>
      </c>
      <c r="AV35" s="277">
        <f t="shared" si="7"/>
        <v>0.99999999999999978</v>
      </c>
      <c r="AW35" s="277">
        <f t="shared" si="8"/>
        <v>1.6079146071760142E-2</v>
      </c>
      <c r="AX35" s="289"/>
      <c r="AY35" s="277">
        <f t="shared" si="88"/>
        <v>7.5374236229596592E-3</v>
      </c>
      <c r="AZ35" s="277">
        <f t="shared" si="89"/>
        <v>4.4866162238934567E-4</v>
      </c>
      <c r="BA35" s="277">
        <f t="shared" si="90"/>
        <v>2.9547502003710851E-3</v>
      </c>
      <c r="BB35" s="277">
        <f t="shared" si="91"/>
        <v>7.3124408068981736E-5</v>
      </c>
      <c r="BC35" s="277">
        <f t="shared" si="92"/>
        <v>1.4733692442652651E-3</v>
      </c>
      <c r="BD35" s="277">
        <f t="shared" si="93"/>
        <v>0.9875126709019455</v>
      </c>
      <c r="BE35" s="277">
        <f t="shared" si="31"/>
        <v>0.99999999999999989</v>
      </c>
      <c r="BF35" s="277">
        <f t="shared" si="32"/>
        <v>1.2487329098054337E-2</v>
      </c>
      <c r="BG35" s="349"/>
      <c r="BH35" s="350"/>
      <c r="BJ35" s="283">
        <f t="shared" si="33"/>
        <v>4.4357880231278761</v>
      </c>
      <c r="BK35" s="283">
        <f t="shared" si="34"/>
        <v>1.3940693814855689</v>
      </c>
      <c r="BL35" s="283">
        <f t="shared" si="35"/>
        <v>2.8418184673584332</v>
      </c>
      <c r="BM35" s="283">
        <f t="shared" si="36"/>
        <v>0.82452730820408771</v>
      </c>
      <c r="BN35" s="283">
        <f t="shared" si="37"/>
        <v>6.1039734151883893</v>
      </c>
      <c r="BO35" s="283">
        <f t="shared" si="38"/>
        <v>0</v>
      </c>
      <c r="BP35" s="283">
        <f t="shared" si="9"/>
        <v>15.600176595364356</v>
      </c>
      <c r="BQ35" s="342"/>
      <c r="BR35" s="283">
        <f t="shared" si="39"/>
        <v>3.5123305907938365</v>
      </c>
      <c r="BS35" s="283">
        <f t="shared" si="40"/>
        <v>1.1315932734233878</v>
      </c>
      <c r="BT35" s="283">
        <f t="shared" si="41"/>
        <v>2.0765513424671287</v>
      </c>
      <c r="BU35" s="283">
        <f t="shared" si="42"/>
        <v>0.66928487786122193</v>
      </c>
      <c r="BV35" s="283">
        <f t="shared" si="43"/>
        <v>4.7993891425552127</v>
      </c>
      <c r="BW35" s="283">
        <f t="shared" si="94"/>
        <v>0</v>
      </c>
      <c r="BX35" s="285">
        <f t="shared" si="44"/>
        <v>12.189149227100788</v>
      </c>
      <c r="BY35" s="285"/>
      <c r="CA35" s="283">
        <f t="shared" si="45"/>
        <v>4.4842950882642967</v>
      </c>
      <c r="CB35" s="283">
        <f t="shared" si="46"/>
        <v>1.409314071705172</v>
      </c>
      <c r="CC35" s="283">
        <f t="shared" si="47"/>
        <v>2.8581167712576221</v>
      </c>
      <c r="CD35" s="283">
        <f t="shared" si="48"/>
        <v>0.83354383461095849</v>
      </c>
      <c r="CE35" s="283">
        <f t="shared" si="49"/>
        <v>6.1557324994799671</v>
      </c>
      <c r="CF35" s="283">
        <f t="shared" si="50"/>
        <v>0</v>
      </c>
      <c r="CG35" s="283">
        <f t="shared" si="51"/>
        <v>15.741002265318016</v>
      </c>
      <c r="CH35" s="283"/>
      <c r="CI35" s="298"/>
      <c r="CJ35" s="283">
        <f t="shared" si="52"/>
        <v>3.5507392901861352</v>
      </c>
      <c r="CK35" s="283">
        <f t="shared" si="53"/>
        <v>1.1439676854412051</v>
      </c>
      <c r="CL35" s="283">
        <f t="shared" si="54"/>
        <v>2.0886293630098578</v>
      </c>
      <c r="CM35" s="283">
        <f t="shared" si="55"/>
        <v>0.67660376798761313</v>
      </c>
      <c r="CN35" s="283">
        <f t="shared" si="56"/>
        <v>4.8401360927220516</v>
      </c>
      <c r="CO35" s="283">
        <f t="shared" si="57"/>
        <v>0</v>
      </c>
      <c r="CP35" s="283">
        <f t="shared" si="95"/>
        <v>12.300076199346863</v>
      </c>
      <c r="CR35" s="277">
        <f t="shared" si="58"/>
        <v>2.1554460571878227E-3</v>
      </c>
      <c r="CS35" s="277">
        <f t="shared" si="59"/>
        <v>1.1579162705532896E-4</v>
      </c>
      <c r="CT35" s="277">
        <f t="shared" si="60"/>
        <v>8.973234661292307E-4</v>
      </c>
      <c r="CU35" s="277">
        <f t="shared" si="61"/>
        <v>1.7030933961850361E-5</v>
      </c>
      <c r="CV35" s="277">
        <f t="shared" si="62"/>
        <v>3.5511754508465038E-4</v>
      </c>
      <c r="CW35" s="277">
        <v>0</v>
      </c>
      <c r="CX35" s="277">
        <f t="shared" si="10"/>
        <v>3.5407096294188833E-3</v>
      </c>
      <c r="CY35" s="277"/>
      <c r="CZ35" s="351"/>
      <c r="DA35" s="277">
        <f t="shared" si="63"/>
        <v>1.7067179684858674E-3</v>
      </c>
      <c r="DB35" s="277">
        <f t="shared" si="64"/>
        <v>9.3990319301705559E-5</v>
      </c>
      <c r="DC35" s="277">
        <f t="shared" si="65"/>
        <v>6.5568517821264899E-4</v>
      </c>
      <c r="DD35" s="277">
        <f t="shared" si="66"/>
        <v>1.3824340859427516E-5</v>
      </c>
      <c r="DE35" s="277">
        <f t="shared" si="67"/>
        <v>2.7921931736616686E-4</v>
      </c>
      <c r="DF35" s="277">
        <v>0</v>
      </c>
      <c r="DG35" s="277">
        <f t="shared" si="68"/>
        <v>2.7494371242258162E-3</v>
      </c>
      <c r="DJ35" s="277">
        <f t="shared" si="69"/>
        <v>2.1790166971167174E-3</v>
      </c>
      <c r="DK35" s="277">
        <f t="shared" si="70"/>
        <v>1.1705785347700191E-4</v>
      </c>
      <c r="DL35" s="277">
        <f t="shared" si="71"/>
        <v>9.024697661884466E-4</v>
      </c>
      <c r="DM35" s="277">
        <f t="shared" si="72"/>
        <v>1.7217173840472655E-5</v>
      </c>
      <c r="DN35" s="277">
        <f t="shared" si="73"/>
        <v>3.5812879000647765E-4</v>
      </c>
      <c r="DO35" s="277">
        <f t="shared" si="74"/>
        <v>0</v>
      </c>
      <c r="DP35" s="277">
        <f t="shared" si="96"/>
        <v>3.573890280629116E-3</v>
      </c>
      <c r="DQ35" s="351"/>
      <c r="DS35" s="277">
        <f t="shared" si="75"/>
        <v>1.725381592454189E-3</v>
      </c>
      <c r="DT35" s="277">
        <f t="shared" si="76"/>
        <v>9.501813995426819E-5</v>
      </c>
      <c r="DU35" s="277">
        <f t="shared" si="77"/>
        <v>6.5949889516250608E-4</v>
      </c>
      <c r="DV35" s="277">
        <f t="shared" si="78"/>
        <v>1.3975515396858066E-5</v>
      </c>
      <c r="DW35" s="277">
        <f t="shared" si="79"/>
        <v>2.8158989730298783E-4</v>
      </c>
      <c r="DX35" s="277">
        <f t="shared" si="97"/>
        <v>0</v>
      </c>
      <c r="DY35" s="302">
        <f t="shared" si="98"/>
        <v>2.7754640402708093E-3</v>
      </c>
    </row>
    <row r="36" spans="2:129" x14ac:dyDescent="0.15">
      <c r="B36" s="358" t="s">
        <v>707</v>
      </c>
      <c r="C36" s="137">
        <v>27</v>
      </c>
      <c r="D36" s="137">
        <v>91</v>
      </c>
      <c r="E36" s="278">
        <f t="shared" si="0"/>
        <v>3.6200000000000003E-2</v>
      </c>
      <c r="F36" s="278">
        <f t="shared" si="1"/>
        <v>5.8999999999999999E-3</v>
      </c>
      <c r="G36" s="277">
        <f t="shared" si="80"/>
        <v>0.41075592000000005</v>
      </c>
      <c r="H36" s="277">
        <f t="shared" si="2"/>
        <v>0.88762960000000002</v>
      </c>
      <c r="I36" s="277">
        <f t="shared" si="81"/>
        <v>0.61613388000000002</v>
      </c>
      <c r="J36" s="277">
        <f t="shared" si="3"/>
        <v>0.91868622400000011</v>
      </c>
      <c r="K36" s="277">
        <f t="shared" si="4"/>
        <v>0.47647686720000004</v>
      </c>
      <c r="L36" s="277"/>
      <c r="N36" s="277">
        <f t="shared" si="82"/>
        <v>5.4955974254021142E-3</v>
      </c>
      <c r="O36" s="277">
        <f t="shared" si="83"/>
        <v>3.4086584998858281E-4</v>
      </c>
      <c r="P36" s="277">
        <f t="shared" si="84"/>
        <v>1.8550525877133915E-3</v>
      </c>
      <c r="Q36" s="277">
        <f t="shared" si="85"/>
        <v>5.5555483837918189E-5</v>
      </c>
      <c r="R36" s="277">
        <f t="shared" si="86"/>
        <v>1.0638415762305074E-3</v>
      </c>
      <c r="S36" s="277">
        <f t="shared" si="87"/>
        <v>0.9911890870768274</v>
      </c>
      <c r="T36" s="277">
        <f t="shared" si="5"/>
        <v>0.99999999999999989</v>
      </c>
      <c r="U36" s="277">
        <f t="shared" si="6"/>
        <v>8.8109129231725147E-3</v>
      </c>
      <c r="V36" s="290"/>
      <c r="W36" s="277"/>
      <c r="X36" s="277">
        <f t="shared" si="11"/>
        <v>4.251240511387061E-3</v>
      </c>
      <c r="Y36" s="277">
        <f t="shared" si="12"/>
        <v>2.6990323839406967E-4</v>
      </c>
      <c r="Z36" s="277">
        <f t="shared" si="13"/>
        <v>1.3027238294322238E-3</v>
      </c>
      <c r="AA36" s="277">
        <f t="shared" si="14"/>
        <v>4.3989754323895327E-5</v>
      </c>
      <c r="AB36" s="277">
        <f t="shared" si="15"/>
        <v>8.1265233859498026E-4</v>
      </c>
      <c r="AC36" s="277">
        <f t="shared" si="16"/>
        <v>0.9933194903278677</v>
      </c>
      <c r="AD36" s="277">
        <f t="shared" si="17"/>
        <v>0.99999999999999978</v>
      </c>
      <c r="AE36" s="277">
        <f t="shared" si="18"/>
        <v>6.6805096721322295E-3</v>
      </c>
      <c r="AF36" s="277"/>
      <c r="AG36" s="290"/>
      <c r="AH36" s="277">
        <f t="shared" si="19"/>
        <v>0.55454526854399999</v>
      </c>
      <c r="AI36" s="277">
        <f t="shared" si="20"/>
        <v>0.51305316412800006</v>
      </c>
      <c r="AJ36" s="277">
        <f t="shared" si="21"/>
        <v>0.54071456707200005</v>
      </c>
      <c r="AK36" s="277">
        <f t="shared" si="22"/>
        <v>0.462999196896</v>
      </c>
      <c r="AL36" s="277">
        <f t="shared" si="23"/>
        <v>0.462999196896</v>
      </c>
      <c r="AM36" s="277">
        <v>0</v>
      </c>
      <c r="AN36" s="282"/>
      <c r="AP36" s="277">
        <f t="shared" si="24"/>
        <v>5.5556939180405407E-3</v>
      </c>
      <c r="AQ36" s="277">
        <f t="shared" si="25"/>
        <v>3.4459335046921184E-4</v>
      </c>
      <c r="AR36" s="277">
        <f t="shared" si="26"/>
        <v>1.8661688015025797E-3</v>
      </c>
      <c r="AS36" s="277">
        <f t="shared" si="27"/>
        <v>5.616300463448479E-5</v>
      </c>
      <c r="AT36" s="277">
        <f t="shared" si="28"/>
        <v>1.072893049701717E-3</v>
      </c>
      <c r="AU36" s="277">
        <f t="shared" si="29"/>
        <v>0.99110448787565131</v>
      </c>
      <c r="AV36" s="277">
        <f t="shared" si="7"/>
        <v>0.99999999999999989</v>
      </c>
      <c r="AW36" s="277">
        <f t="shared" si="8"/>
        <v>8.8955121243485345E-3</v>
      </c>
      <c r="AX36" s="289"/>
      <c r="AY36" s="277">
        <f t="shared" si="88"/>
        <v>4.297729477794214E-3</v>
      </c>
      <c r="AZ36" s="277">
        <f t="shared" si="89"/>
        <v>2.7285473515113973E-4</v>
      </c>
      <c r="BA36" s="277">
        <f t="shared" si="90"/>
        <v>1.3106249356149952E-3</v>
      </c>
      <c r="BB36" s="277">
        <f t="shared" si="91"/>
        <v>4.4470799375461989E-5</v>
      </c>
      <c r="BC36" s="277">
        <f t="shared" si="92"/>
        <v>8.1957210310962063E-4</v>
      </c>
      <c r="BD36" s="277">
        <f t="shared" si="93"/>
        <v>0.99325474794895441</v>
      </c>
      <c r="BE36" s="277">
        <f t="shared" si="31"/>
        <v>0.99999999999999989</v>
      </c>
      <c r="BF36" s="277">
        <f t="shared" si="32"/>
        <v>6.745252051045432E-3</v>
      </c>
      <c r="BG36" s="349"/>
      <c r="BH36" s="350"/>
      <c r="BJ36" s="283">
        <f t="shared" si="33"/>
        <v>2.5013267231495617</v>
      </c>
      <c r="BK36" s="283">
        <f t="shared" si="34"/>
        <v>0.83972672981759067</v>
      </c>
      <c r="BL36" s="283">
        <f t="shared" si="35"/>
        <v>1.2669412730201206</v>
      </c>
      <c r="BM36" s="283">
        <f t="shared" si="36"/>
        <v>0.49665936958295265</v>
      </c>
      <c r="BN36" s="283">
        <f t="shared" si="37"/>
        <v>3.3766230627266034</v>
      </c>
      <c r="BO36" s="283">
        <f t="shared" si="38"/>
        <v>0</v>
      </c>
      <c r="BP36" s="283">
        <f t="shared" si="9"/>
        <v>8.4812771582968285</v>
      </c>
      <c r="BQ36" s="342"/>
      <c r="BR36" s="283">
        <f t="shared" si="39"/>
        <v>1.9349564159333215</v>
      </c>
      <c r="BS36" s="283">
        <f t="shared" si="40"/>
        <v>0.66490956413328317</v>
      </c>
      <c r="BT36" s="283">
        <f t="shared" si="41"/>
        <v>0.88971848980785284</v>
      </c>
      <c r="BU36" s="283">
        <f t="shared" si="42"/>
        <v>0.39326313338131696</v>
      </c>
      <c r="BV36" s="283">
        <f t="shared" si="43"/>
        <v>2.5793508072897122</v>
      </c>
      <c r="BW36" s="283">
        <f t="shared" si="94"/>
        <v>0</v>
      </c>
      <c r="BX36" s="285">
        <f t="shared" si="44"/>
        <v>6.4621984105454864</v>
      </c>
      <c r="BY36" s="285"/>
      <c r="CA36" s="283">
        <f t="shared" si="45"/>
        <v>2.5286797025197814</v>
      </c>
      <c r="CB36" s="283">
        <f t="shared" si="46"/>
        <v>0.8489094678040946</v>
      </c>
      <c r="CC36" s="283">
        <f t="shared" si="47"/>
        <v>1.274533289625212</v>
      </c>
      <c r="CD36" s="283">
        <f t="shared" si="48"/>
        <v>0.50209053271909942</v>
      </c>
      <c r="CE36" s="283">
        <f t="shared" si="49"/>
        <v>3.4053523535885377</v>
      </c>
      <c r="CF36" s="283">
        <f t="shared" si="50"/>
        <v>0</v>
      </c>
      <c r="CG36" s="283">
        <f t="shared" si="51"/>
        <v>8.5595653462567256</v>
      </c>
      <c r="CH36" s="283"/>
      <c r="CI36" s="298"/>
      <c r="CJ36" s="283">
        <f t="shared" si="52"/>
        <v>1.9561159159848205</v>
      </c>
      <c r="CK36" s="283">
        <f t="shared" si="53"/>
        <v>0.67218060850444761</v>
      </c>
      <c r="CL36" s="283">
        <f t="shared" si="54"/>
        <v>0.89511469129117915</v>
      </c>
      <c r="CM36" s="283">
        <f t="shared" si="55"/>
        <v>0.39756361850982608</v>
      </c>
      <c r="CN36" s="283">
        <f t="shared" si="56"/>
        <v>2.601314074162175</v>
      </c>
      <c r="CO36" s="283">
        <f t="shared" si="57"/>
        <v>0</v>
      </c>
      <c r="CP36" s="283">
        <f t="shared" si="95"/>
        <v>6.522288908452448</v>
      </c>
      <c r="CR36" s="277">
        <f t="shared" si="58"/>
        <v>1.2038225414297574E-3</v>
      </c>
      <c r="CS36" s="277">
        <f t="shared" si="59"/>
        <v>6.908065060113351E-5</v>
      </c>
      <c r="CT36" s="277">
        <f t="shared" si="60"/>
        <v>3.962185926590426E-4</v>
      </c>
      <c r="CU36" s="277">
        <f t="shared" si="61"/>
        <v>1.0160561936549953E-5</v>
      </c>
      <c r="CV36" s="277">
        <f t="shared" si="62"/>
        <v>1.945663592365187E-4</v>
      </c>
      <c r="CW36" s="277">
        <v>0</v>
      </c>
      <c r="CX36" s="277">
        <f t="shared" si="10"/>
        <v>1.8738487058630022E-3</v>
      </c>
      <c r="CY36" s="277"/>
      <c r="CZ36" s="351"/>
      <c r="DA36" s="277">
        <f t="shared" si="63"/>
        <v>9.3124345917180182E-4</v>
      </c>
      <c r="DB36" s="277">
        <f t="shared" si="64"/>
        <v>5.4699205884777488E-5</v>
      </c>
      <c r="DC36" s="277">
        <f t="shared" si="65"/>
        <v>2.7824731532666525E-4</v>
      </c>
      <c r="DD36" s="277">
        <f t="shared" si="66"/>
        <v>8.0453016066884006E-6</v>
      </c>
      <c r="DE36" s="277">
        <f t="shared" si="67"/>
        <v>1.4862627140942695E-4</v>
      </c>
      <c r="DF36" s="277">
        <v>0</v>
      </c>
      <c r="DG36" s="277">
        <f t="shared" si="68"/>
        <v>1.42086155339936E-3</v>
      </c>
      <c r="DJ36" s="277">
        <f t="shared" si="69"/>
        <v>1.216986808551036E-3</v>
      </c>
      <c r="DK36" s="277">
        <f t="shared" si="70"/>
        <v>6.983607435017295E-5</v>
      </c>
      <c r="DL36" s="277">
        <f t="shared" si="71"/>
        <v>3.9859289224085571E-4</v>
      </c>
      <c r="DM36" s="277">
        <f t="shared" si="72"/>
        <v>1.0271671628246024E-5</v>
      </c>
      <c r="DN36" s="277">
        <f t="shared" si="73"/>
        <v>1.9622178639632133E-4</v>
      </c>
      <c r="DO36" s="277">
        <f t="shared" si="74"/>
        <v>0</v>
      </c>
      <c r="DP36" s="277">
        <f t="shared" si="96"/>
        <v>1.891909233166632E-3</v>
      </c>
      <c r="DQ36" s="351"/>
      <c r="DS36" s="277">
        <f t="shared" si="75"/>
        <v>9.4142696814391452E-4</v>
      </c>
      <c r="DT36" s="277">
        <f t="shared" si="76"/>
        <v>5.529736294930115E-5</v>
      </c>
      <c r="DU36" s="277">
        <f t="shared" si="77"/>
        <v>2.7993490369635464E-4</v>
      </c>
      <c r="DV36" s="277">
        <f t="shared" si="78"/>
        <v>8.1332801049942307E-6</v>
      </c>
      <c r="DW36" s="277">
        <f t="shared" si="79"/>
        <v>1.498918295700303E-4</v>
      </c>
      <c r="DX36" s="277">
        <f t="shared" si="97"/>
        <v>0</v>
      </c>
      <c r="DY36" s="302">
        <f t="shared" si="98"/>
        <v>1.434684344464595E-3</v>
      </c>
    </row>
    <row r="37" spans="2:129" x14ac:dyDescent="0.15">
      <c r="B37" s="358" t="s">
        <v>707</v>
      </c>
      <c r="C37" s="137">
        <v>28</v>
      </c>
      <c r="D37" s="137">
        <v>92</v>
      </c>
      <c r="E37" s="278">
        <f t="shared" si="0"/>
        <v>3.6200000000000003E-2</v>
      </c>
      <c r="F37" s="278">
        <f t="shared" si="1"/>
        <v>5.8999999999999999E-3</v>
      </c>
      <c r="G37" s="277">
        <f t="shared" si="80"/>
        <v>0.45791776000000006</v>
      </c>
      <c r="H37" s="277">
        <f t="shared" si="2"/>
        <v>0.95964184000000008</v>
      </c>
      <c r="I37" s="277">
        <f t="shared" si="81"/>
        <v>0.68687664000000004</v>
      </c>
      <c r="J37" s="277">
        <f t="shared" si="3"/>
        <v>0.9943790896000001</v>
      </c>
      <c r="K37" s="277">
        <f t="shared" si="4"/>
        <v>0.53118460160000003</v>
      </c>
      <c r="L37" s="277"/>
      <c r="N37" s="277">
        <f t="shared" si="82"/>
        <v>3.0068835973720079E-3</v>
      </c>
      <c r="O37" s="277">
        <f t="shared" si="83"/>
        <v>1.9894062679955656E-4</v>
      </c>
      <c r="P37" s="277">
        <f t="shared" si="84"/>
        <v>7.5039507115105624E-4</v>
      </c>
      <c r="Q37" s="277">
        <f t="shared" si="85"/>
        <v>3.2424024809872472E-5</v>
      </c>
      <c r="R37" s="277">
        <f t="shared" si="86"/>
        <v>5.6146310095945326E-4</v>
      </c>
      <c r="S37" s="277">
        <f t="shared" si="87"/>
        <v>0.99544989357890801</v>
      </c>
      <c r="T37" s="277">
        <f t="shared" si="5"/>
        <v>1</v>
      </c>
      <c r="U37" s="277">
        <f t="shared" si="6"/>
        <v>4.5501064210919468E-3</v>
      </c>
      <c r="V37" s="290"/>
      <c r="W37" s="277"/>
      <c r="X37" s="277">
        <f t="shared" si="11"/>
        <v>2.2551359969026612E-3</v>
      </c>
      <c r="Y37" s="277">
        <f t="shared" si="12"/>
        <v>1.5389490651221161E-4</v>
      </c>
      <c r="Z37" s="277">
        <f t="shared" si="13"/>
        <v>4.9669508740209534E-4</v>
      </c>
      <c r="AA37" s="277">
        <f t="shared" si="14"/>
        <v>2.508231901718366E-5</v>
      </c>
      <c r="AB37" s="277">
        <f t="shared" si="15"/>
        <v>4.1243395043046125E-4</v>
      </c>
      <c r="AC37" s="277">
        <f t="shared" si="16"/>
        <v>0.99665675773973539</v>
      </c>
      <c r="AD37" s="277">
        <f t="shared" si="17"/>
        <v>1</v>
      </c>
      <c r="AE37" s="277">
        <f t="shared" si="18"/>
        <v>3.343242260264613E-3</v>
      </c>
      <c r="AF37" s="277"/>
      <c r="AG37" s="290"/>
      <c r="AH37" s="277">
        <f t="shared" si="19"/>
        <v>0.54913351562400003</v>
      </c>
      <c r="AI37" s="277">
        <f t="shared" si="20"/>
        <v>0.50804632858800014</v>
      </c>
      <c r="AJ37" s="277">
        <f t="shared" si="21"/>
        <v>0.53543778661200003</v>
      </c>
      <c r="AK37" s="277">
        <f t="shared" si="22"/>
        <v>0.45848083311600002</v>
      </c>
      <c r="AL37" s="277">
        <f t="shared" si="23"/>
        <v>0.45848083311600002</v>
      </c>
      <c r="AM37" s="277">
        <v>0</v>
      </c>
      <c r="AN37" s="282"/>
      <c r="AP37" s="277">
        <f t="shared" si="24"/>
        <v>3.0397650375478865E-3</v>
      </c>
      <c r="AQ37" s="277">
        <f t="shared" si="25"/>
        <v>2.0111611983306759E-4</v>
      </c>
      <c r="AR37" s="277">
        <f t="shared" si="26"/>
        <v>7.5508106972741091E-4</v>
      </c>
      <c r="AS37" s="277">
        <f t="shared" si="27"/>
        <v>3.2778594116439188E-5</v>
      </c>
      <c r="AT37" s="277">
        <f t="shared" si="28"/>
        <v>5.6625115651752435E-4</v>
      </c>
      <c r="AU37" s="277">
        <f t="shared" si="29"/>
        <v>0.99540500802225751</v>
      </c>
      <c r="AV37" s="277">
        <f t="shared" si="7"/>
        <v>0.99999999999999989</v>
      </c>
      <c r="AW37" s="277">
        <f t="shared" si="8"/>
        <v>4.5949919777423277E-3</v>
      </c>
      <c r="AX37" s="289"/>
      <c r="AY37" s="277">
        <f t="shared" si="88"/>
        <v>2.2797967850473814E-3</v>
      </c>
      <c r="AZ37" s="277">
        <f t="shared" si="89"/>
        <v>1.5557780709615055E-4</v>
      </c>
      <c r="BA37" s="277">
        <f t="shared" si="90"/>
        <v>4.9981563394782709E-4</v>
      </c>
      <c r="BB37" s="277">
        <f t="shared" si="91"/>
        <v>2.5356603918985857E-5</v>
      </c>
      <c r="BC37" s="277">
        <f t="shared" si="92"/>
        <v>4.159513317976574E-4</v>
      </c>
      <c r="BD37" s="277">
        <f t="shared" si="93"/>
        <v>0.99662350183819193</v>
      </c>
      <c r="BE37" s="277">
        <f t="shared" si="31"/>
        <v>0.99999999999999989</v>
      </c>
      <c r="BF37" s="277">
        <f t="shared" si="32"/>
        <v>3.3764981618080022E-3</v>
      </c>
      <c r="BG37" s="349"/>
      <c r="BH37" s="350"/>
      <c r="BJ37" s="283">
        <f t="shared" si="33"/>
        <v>1.3223054190503201</v>
      </c>
      <c r="BK37" s="283">
        <f t="shared" si="34"/>
        <v>0.4735192255545661</v>
      </c>
      <c r="BL37" s="283">
        <f t="shared" si="35"/>
        <v>0.4951649339087778</v>
      </c>
      <c r="BM37" s="283">
        <f t="shared" si="36"/>
        <v>0.28006463495621381</v>
      </c>
      <c r="BN37" s="283">
        <f t="shared" si="37"/>
        <v>1.7218150259447549</v>
      </c>
      <c r="BO37" s="283">
        <f t="shared" si="38"/>
        <v>0</v>
      </c>
      <c r="BP37" s="283">
        <f t="shared" si="9"/>
        <v>4.2928692394146326</v>
      </c>
      <c r="BQ37" s="342"/>
      <c r="BR37" s="283">
        <f t="shared" si="39"/>
        <v>0.99171732221561892</v>
      </c>
      <c r="BS37" s="283">
        <f t="shared" si="40"/>
        <v>0.36630123329146574</v>
      </c>
      <c r="BT37" s="283">
        <f t="shared" si="41"/>
        <v>0.32775533793020301</v>
      </c>
      <c r="BU37" s="283">
        <f t="shared" si="42"/>
        <v>0.21665017099493364</v>
      </c>
      <c r="BV37" s="283">
        <f t="shared" si="43"/>
        <v>1.2647936647081739</v>
      </c>
      <c r="BW37" s="283">
        <f t="shared" si="94"/>
        <v>0</v>
      </c>
      <c r="BX37" s="285">
        <f t="shared" si="44"/>
        <v>3.1672177291403951</v>
      </c>
      <c r="BY37" s="285"/>
      <c r="CA37" s="283">
        <f t="shared" si="45"/>
        <v>1.3367653424636323</v>
      </c>
      <c r="CB37" s="283">
        <f t="shared" si="46"/>
        <v>0.47869734222686056</v>
      </c>
      <c r="CC37" s="283">
        <f t="shared" si="47"/>
        <v>0.49825709464458601</v>
      </c>
      <c r="CD37" s="283">
        <f t="shared" si="48"/>
        <v>0.28312725053193499</v>
      </c>
      <c r="CE37" s="283">
        <f t="shared" si="49"/>
        <v>1.736498352401751</v>
      </c>
      <c r="CF37" s="283">
        <f t="shared" si="50"/>
        <v>0</v>
      </c>
      <c r="CG37" s="283">
        <f t="shared" si="51"/>
        <v>4.3333453822687655</v>
      </c>
      <c r="CH37" s="283"/>
      <c r="CI37" s="298"/>
      <c r="CJ37" s="283">
        <f t="shared" si="52"/>
        <v>1.0025621363714829</v>
      </c>
      <c r="CK37" s="283">
        <f t="shared" si="53"/>
        <v>0.37030687956901065</v>
      </c>
      <c r="CL37" s="283">
        <f t="shared" si="54"/>
        <v>0.32981450020815656</v>
      </c>
      <c r="CM37" s="283">
        <f t="shared" si="55"/>
        <v>0.21901932477357999</v>
      </c>
      <c r="CN37" s="283">
        <f t="shared" si="56"/>
        <v>1.2755802686357824</v>
      </c>
      <c r="CO37" s="283">
        <f t="shared" si="57"/>
        <v>0</v>
      </c>
      <c r="CP37" s="283">
        <f t="shared" si="95"/>
        <v>3.1972831095580121</v>
      </c>
      <c r="CR37" s="277">
        <f t="shared" si="58"/>
        <v>6.3018022784625005E-4</v>
      </c>
      <c r="CS37" s="277">
        <f t="shared" si="59"/>
        <v>3.8574206849340276E-5</v>
      </c>
      <c r="CT37" s="277">
        <f t="shared" si="60"/>
        <v>1.5334485009616024E-4</v>
      </c>
      <c r="CU37" s="277">
        <f t="shared" si="61"/>
        <v>5.6735947683674554E-6</v>
      </c>
      <c r="CV37" s="277">
        <f t="shared" si="62"/>
        <v>9.8245487132275956E-5</v>
      </c>
      <c r="CW37" s="277">
        <v>0</v>
      </c>
      <c r="CX37" s="277">
        <f t="shared" si="10"/>
        <v>9.2601836669239403E-4</v>
      </c>
      <c r="CY37" s="277"/>
      <c r="CZ37" s="351"/>
      <c r="DA37" s="277">
        <f t="shared" si="63"/>
        <v>4.7262957488426423E-4</v>
      </c>
      <c r="DB37" s="277">
        <f t="shared" si="64"/>
        <v>2.9839927883826123E-5</v>
      </c>
      <c r="DC37" s="277">
        <f t="shared" si="65"/>
        <v>1.0150071162426546E-4</v>
      </c>
      <c r="DD37" s="277">
        <f t="shared" si="66"/>
        <v>4.3889342790993408E-6</v>
      </c>
      <c r="DE37" s="277">
        <f t="shared" si="67"/>
        <v>7.2168187545517464E-5</v>
      </c>
      <c r="DF37" s="277">
        <v>0</v>
      </c>
      <c r="DG37" s="277">
        <f t="shared" si="68"/>
        <v>6.8052733621697256E-4</v>
      </c>
      <c r="DJ37" s="277">
        <f t="shared" si="69"/>
        <v>6.3707149343433529E-4</v>
      </c>
      <c r="DK37" s="277">
        <f t="shared" si="70"/>
        <v>3.899603078557681E-5</v>
      </c>
      <c r="DL37" s="277">
        <f t="shared" si="71"/>
        <v>1.5430244400484582E-4</v>
      </c>
      <c r="DM37" s="277">
        <f t="shared" si="72"/>
        <v>5.735637731095145E-6</v>
      </c>
      <c r="DN37" s="277">
        <f t="shared" si="73"/>
        <v>9.9083306839243805E-5</v>
      </c>
      <c r="DO37" s="277">
        <f t="shared" si="74"/>
        <v>0</v>
      </c>
      <c r="DP37" s="277">
        <f t="shared" si="96"/>
        <v>9.3518891279509688E-4</v>
      </c>
      <c r="DQ37" s="351"/>
      <c r="DS37" s="277">
        <f t="shared" si="75"/>
        <v>4.7779796288088979E-4</v>
      </c>
      <c r="DT37" s="277">
        <f t="shared" si="76"/>
        <v>3.0166239086701455E-5</v>
      </c>
      <c r="DU37" s="277">
        <f t="shared" si="77"/>
        <v>1.0213840203651632E-4</v>
      </c>
      <c r="DV37" s="277">
        <f t="shared" si="78"/>
        <v>4.436928980344243E-6</v>
      </c>
      <c r="DW37" s="277">
        <f t="shared" si="79"/>
        <v>7.278366315782333E-5</v>
      </c>
      <c r="DX37" s="277">
        <f t="shared" si="97"/>
        <v>0</v>
      </c>
      <c r="DY37" s="302">
        <f t="shared" si="98"/>
        <v>6.8732319614227516E-4</v>
      </c>
    </row>
    <row r="38" spans="2:129" x14ac:dyDescent="0.15">
      <c r="B38" s="358" t="s">
        <v>707</v>
      </c>
      <c r="C38" s="137">
        <v>29</v>
      </c>
      <c r="D38" s="137">
        <v>93</v>
      </c>
      <c r="E38" s="278">
        <f t="shared" si="0"/>
        <v>3.6200000000000003E-2</v>
      </c>
      <c r="F38" s="278">
        <f t="shared" si="1"/>
        <v>5.8999999999999999E-3</v>
      </c>
      <c r="G38" s="277">
        <f t="shared" si="80"/>
        <v>0.50112767999999996</v>
      </c>
      <c r="H38" s="277">
        <f t="shared" si="2"/>
        <v>1</v>
      </c>
      <c r="I38" s="277">
        <f t="shared" si="81"/>
        <v>0.75169151999999984</v>
      </c>
      <c r="J38" s="277">
        <f t="shared" si="3"/>
        <v>1</v>
      </c>
      <c r="K38" s="277">
        <f t="shared" si="4"/>
        <v>0.58130810879999995</v>
      </c>
      <c r="L38" s="277"/>
      <c r="N38" s="277">
        <f t="shared" si="82"/>
        <v>1.5033883964333144E-3</v>
      </c>
      <c r="O38" s="277">
        <f t="shared" si="83"/>
        <v>1.0884918622486669E-4</v>
      </c>
      <c r="P38" s="277">
        <f t="shared" si="84"/>
        <v>2.4299510365313452E-4</v>
      </c>
      <c r="Q38" s="277">
        <f t="shared" si="85"/>
        <v>1.7740613224494847E-5</v>
      </c>
      <c r="R38" s="277">
        <f t="shared" si="86"/>
        <v>2.6340479990146919E-4</v>
      </c>
      <c r="S38" s="277">
        <f t="shared" si="87"/>
        <v>0.99786362190056266</v>
      </c>
      <c r="T38" s="277">
        <f t="shared" si="5"/>
        <v>0.99999999999999989</v>
      </c>
      <c r="U38" s="277">
        <f t="shared" si="6"/>
        <v>2.1363780994372796E-3</v>
      </c>
      <c r="V38" s="290"/>
      <c r="W38" s="277"/>
      <c r="X38" s="277">
        <f t="shared" si="11"/>
        <v>1.0950473010666196E-3</v>
      </c>
      <c r="Y38" s="277">
        <f t="shared" si="12"/>
        <v>8.1635923087876333E-5</v>
      </c>
      <c r="Z38" s="277">
        <f t="shared" si="13"/>
        <v>1.5166642424434344E-4</v>
      </c>
      <c r="AA38" s="277">
        <f t="shared" si="14"/>
        <v>1.3305302381725701E-5</v>
      </c>
      <c r="AB38" s="277">
        <f t="shared" si="15"/>
        <v>1.8684512686168646E-4</v>
      </c>
      <c r="AC38" s="277">
        <f t="shared" si="16"/>
        <v>0.99847149992235762</v>
      </c>
      <c r="AD38" s="277">
        <f t="shared" si="17"/>
        <v>0.99999999999999989</v>
      </c>
      <c r="AE38" s="277">
        <f t="shared" si="18"/>
        <v>1.5285000776422515E-3</v>
      </c>
      <c r="AF38" s="277"/>
      <c r="AG38" s="290"/>
      <c r="AH38" s="277">
        <f t="shared" si="19"/>
        <v>0.54366585390400002</v>
      </c>
      <c r="AI38" s="277">
        <f t="shared" si="20"/>
        <v>0.50298776744800011</v>
      </c>
      <c r="AJ38" s="277">
        <f t="shared" si="21"/>
        <v>0.53010649175200009</v>
      </c>
      <c r="AK38" s="277">
        <f t="shared" si="22"/>
        <v>0.45391579013600009</v>
      </c>
      <c r="AL38" s="277">
        <f t="shared" si="23"/>
        <v>0.45391579013600009</v>
      </c>
      <c r="AM38" s="277">
        <v>0</v>
      </c>
      <c r="AN38" s="282"/>
      <c r="AP38" s="277">
        <f t="shared" si="24"/>
        <v>1.5198285325468761E-3</v>
      </c>
      <c r="AQ38" s="277">
        <f t="shared" si="25"/>
        <v>1.100394943592335E-4</v>
      </c>
      <c r="AR38" s="277">
        <f t="shared" si="26"/>
        <v>2.4455019816824327E-4</v>
      </c>
      <c r="AS38" s="277">
        <f t="shared" si="27"/>
        <v>1.7934613721532529E-5</v>
      </c>
      <c r="AT38" s="277">
        <f t="shared" si="28"/>
        <v>2.656515070777904E-4</v>
      </c>
      <c r="AU38" s="277">
        <f t="shared" si="29"/>
        <v>0.99784199565412623</v>
      </c>
      <c r="AV38" s="277">
        <f t="shared" si="7"/>
        <v>0.99999999999999989</v>
      </c>
      <c r="AW38" s="277">
        <f t="shared" si="8"/>
        <v>2.1580043458736759E-3</v>
      </c>
      <c r="AX38" s="289"/>
      <c r="AY38" s="277">
        <f t="shared" si="88"/>
        <v>1.1070220686802542E-3</v>
      </c>
      <c r="AZ38" s="277">
        <f t="shared" si="89"/>
        <v>8.2528643618715215E-5</v>
      </c>
      <c r="BA38" s="277">
        <f t="shared" si="90"/>
        <v>1.526370430795493E-4</v>
      </c>
      <c r="BB38" s="277">
        <f t="shared" si="91"/>
        <v>1.3450801031779549E-5</v>
      </c>
      <c r="BC38" s="277">
        <f t="shared" si="92"/>
        <v>1.8843881948816033E-4</v>
      </c>
      <c r="BD38" s="277">
        <f t="shared" si="93"/>
        <v>0.99845592262410154</v>
      </c>
      <c r="BE38" s="277">
        <f t="shared" si="31"/>
        <v>1</v>
      </c>
      <c r="BF38" s="277">
        <f t="shared" si="32"/>
        <v>1.5440773758984584E-3</v>
      </c>
      <c r="BG38" s="349"/>
      <c r="BH38" s="350"/>
      <c r="BJ38" s="283">
        <f t="shared" si="33"/>
        <v>0.63877219843566935</v>
      </c>
      <c r="BK38" s="283">
        <f t="shared" si="34"/>
        <v>0.25032197200808265</v>
      </c>
      <c r="BL38" s="283">
        <f t="shared" si="35"/>
        <v>0.15492342217548627</v>
      </c>
      <c r="BM38" s="283">
        <f t="shared" si="36"/>
        <v>0.14805382322092123</v>
      </c>
      <c r="BN38" s="283">
        <f t="shared" si="37"/>
        <v>0.78045633185661167</v>
      </c>
      <c r="BO38" s="283">
        <f t="shared" si="38"/>
        <v>0</v>
      </c>
      <c r="BP38" s="283">
        <f t="shared" si="9"/>
        <v>1.9725277476967711</v>
      </c>
      <c r="BQ38" s="342"/>
      <c r="BR38" s="283">
        <f t="shared" si="39"/>
        <v>0.46527282873331527</v>
      </c>
      <c r="BS38" s="283">
        <f t="shared" si="40"/>
        <v>0.18773925614695056</v>
      </c>
      <c r="BT38" s="283">
        <f t="shared" si="41"/>
        <v>9.6696110826139783E-2</v>
      </c>
      <c r="BU38" s="283">
        <f t="shared" si="42"/>
        <v>0.11103905269774071</v>
      </c>
      <c r="BV38" s="283">
        <f t="shared" si="43"/>
        <v>0.5536135347203357</v>
      </c>
      <c r="BW38" s="283">
        <f t="shared" si="94"/>
        <v>0</v>
      </c>
      <c r="BX38" s="285">
        <f t="shared" si="44"/>
        <v>1.414360783124482</v>
      </c>
      <c r="BY38" s="285"/>
      <c r="CA38" s="283">
        <f t="shared" si="45"/>
        <v>0.64575742055974295</v>
      </c>
      <c r="CB38" s="283">
        <f t="shared" si="46"/>
        <v>0.2530593400107834</v>
      </c>
      <c r="CC38" s="283">
        <f t="shared" si="47"/>
        <v>0.15591488480360111</v>
      </c>
      <c r="CD38" s="283">
        <f t="shared" si="48"/>
        <v>0.14967284929007255</v>
      </c>
      <c r="CE38" s="283">
        <f t="shared" si="49"/>
        <v>0.78711322209643841</v>
      </c>
      <c r="CF38" s="283">
        <f t="shared" si="50"/>
        <v>0</v>
      </c>
      <c r="CG38" s="283">
        <f t="shared" si="51"/>
        <v>1.9915177167606384</v>
      </c>
      <c r="CH38" s="283"/>
      <c r="CI38" s="298"/>
      <c r="CJ38" s="283">
        <f t="shared" si="52"/>
        <v>0.47036076785301628</v>
      </c>
      <c r="CK38" s="283">
        <f t="shared" si="53"/>
        <v>0.18979225784114823</v>
      </c>
      <c r="CL38" s="283">
        <f t="shared" si="54"/>
        <v>9.7314936429279228E-2</v>
      </c>
      <c r="CM38" s="283">
        <f t="shared" si="55"/>
        <v>0.11225330787265271</v>
      </c>
      <c r="CN38" s="283">
        <f t="shared" si="56"/>
        <v>0.55833557282226098</v>
      </c>
      <c r="CO38" s="283">
        <f t="shared" si="57"/>
        <v>0</v>
      </c>
      <c r="CP38" s="283">
        <f t="shared" si="95"/>
        <v>1.4280568428183575</v>
      </c>
      <c r="CR38" s="277">
        <f t="shared" si="58"/>
        <v>3.0139296224347174E-4</v>
      </c>
      <c r="CS38" s="277">
        <f t="shared" si="59"/>
        <v>2.018889111576269E-5</v>
      </c>
      <c r="CT38" s="277">
        <f t="shared" si="60"/>
        <v>4.7499660040554554E-5</v>
      </c>
      <c r="CU38" s="277">
        <f t="shared" si="61"/>
        <v>2.9694346655241848E-6</v>
      </c>
      <c r="CV38" s="277">
        <f t="shared" si="62"/>
        <v>4.4088856117607825E-5</v>
      </c>
      <c r="CW38" s="277">
        <v>0</v>
      </c>
      <c r="CX38" s="277">
        <f t="shared" si="10"/>
        <v>4.1613980418292099E-4</v>
      </c>
      <c r="CY38" s="277"/>
      <c r="CZ38" s="351"/>
      <c r="DA38" s="277">
        <f t="shared" si="63"/>
        <v>2.195304624195474E-4</v>
      </c>
      <c r="DB38" s="277">
        <f t="shared" si="64"/>
        <v>1.5141489059468906E-5</v>
      </c>
      <c r="DC38" s="277">
        <f t="shared" si="65"/>
        <v>2.9647114212870704E-5</v>
      </c>
      <c r="DD38" s="277">
        <f t="shared" si="66"/>
        <v>2.2270496305633081E-6</v>
      </c>
      <c r="DE38" s="277">
        <f t="shared" si="67"/>
        <v>3.127425133316687E-5</v>
      </c>
      <c r="DF38" s="277">
        <v>0</v>
      </c>
      <c r="DG38" s="277">
        <f t="shared" si="68"/>
        <v>2.9782036665561718E-4</v>
      </c>
      <c r="DJ38" s="277">
        <f t="shared" si="69"/>
        <v>3.0468881136317197E-4</v>
      </c>
      <c r="DK38" s="277">
        <f t="shared" si="70"/>
        <v>2.0409664482586888E-5</v>
      </c>
      <c r="DL38" s="277">
        <f t="shared" si="71"/>
        <v>4.7803643370622134E-5</v>
      </c>
      <c r="DM38" s="277">
        <f t="shared" si="72"/>
        <v>3.0019065870830866E-6</v>
      </c>
      <c r="DN38" s="277">
        <f t="shared" si="73"/>
        <v>4.4464911335554791E-5</v>
      </c>
      <c r="DO38" s="277">
        <f t="shared" si="74"/>
        <v>0</v>
      </c>
      <c r="DP38" s="277">
        <f t="shared" si="96"/>
        <v>4.203689371390189E-4</v>
      </c>
      <c r="DQ38" s="351"/>
      <c r="DS38" s="277">
        <f t="shared" si="75"/>
        <v>2.2193111330378522E-4</v>
      </c>
      <c r="DT38" s="277">
        <f t="shared" si="76"/>
        <v>1.5307067124119561E-5</v>
      </c>
      <c r="DU38" s="277">
        <f t="shared" si="77"/>
        <v>2.9836846697221704E-5</v>
      </c>
      <c r="DV38" s="277">
        <f t="shared" si="78"/>
        <v>2.2514032833818212E-6</v>
      </c>
      <c r="DW38" s="277">
        <f t="shared" si="79"/>
        <v>3.1541004577339269E-5</v>
      </c>
      <c r="DX38" s="277">
        <f t="shared" si="97"/>
        <v>0</v>
      </c>
      <c r="DY38" s="302">
        <f t="shared" si="98"/>
        <v>3.008674349858476E-4</v>
      </c>
    </row>
    <row r="39" spans="2:129" x14ac:dyDescent="0.15">
      <c r="B39" s="358" t="s">
        <v>707</v>
      </c>
      <c r="C39" s="137">
        <v>30</v>
      </c>
      <c r="D39" s="137">
        <v>94</v>
      </c>
      <c r="E39" s="278">
        <f t="shared" si="0"/>
        <v>3.6200000000000003E-2</v>
      </c>
      <c r="F39" s="278">
        <f t="shared" si="1"/>
        <v>5.8999999999999999E-3</v>
      </c>
      <c r="G39" s="277">
        <f t="shared" si="80"/>
        <v>0.54734576000000001</v>
      </c>
      <c r="H39" s="277">
        <f t="shared" si="2"/>
        <v>1</v>
      </c>
      <c r="I39" s="277">
        <f t="shared" si="81"/>
        <v>0.82101863999999991</v>
      </c>
      <c r="J39" s="277">
        <f t="shared" si="3"/>
        <v>1</v>
      </c>
      <c r="K39" s="277">
        <f t="shared" si="4"/>
        <v>0.63492108159999994</v>
      </c>
      <c r="L39" s="277"/>
      <c r="N39" s="277">
        <f t="shared" si="82"/>
        <v>6.8670620569992479E-4</v>
      </c>
      <c r="O39" s="277">
        <f t="shared" si="83"/>
        <v>5.4422659950885988E-5</v>
      </c>
      <c r="P39" s="277">
        <f t="shared" si="84"/>
        <v>6.0337744835552327E-5</v>
      </c>
      <c r="Q39" s="277">
        <f t="shared" si="85"/>
        <v>8.8699915389565545E-6</v>
      </c>
      <c r="R39" s="277">
        <f t="shared" si="86"/>
        <v>1.1028545382190373E-4</v>
      </c>
      <c r="S39" s="277">
        <f t="shared" si="87"/>
        <v>0.99907937794415269</v>
      </c>
      <c r="T39" s="277">
        <f t="shared" si="5"/>
        <v>0.99999999999999989</v>
      </c>
      <c r="U39" s="277">
        <f t="shared" si="6"/>
        <v>9.2062205584722339E-4</v>
      </c>
      <c r="V39" s="290"/>
      <c r="W39" s="277"/>
      <c r="X39" s="277">
        <f t="shared" si="11"/>
        <v>4.843181750421705E-4</v>
      </c>
      <c r="Y39" s="277">
        <f t="shared" si="12"/>
        <v>3.9640712298611634E-5</v>
      </c>
      <c r="Z39" s="277">
        <f t="shared" si="13"/>
        <v>3.5568538232776228E-5</v>
      </c>
      <c r="AA39" s="277">
        <f t="shared" si="14"/>
        <v>6.4607790762930556E-6</v>
      </c>
      <c r="AB39" s="277">
        <f t="shared" si="15"/>
        <v>7.527417400922875E-5</v>
      </c>
      <c r="AC39" s="277">
        <f t="shared" si="16"/>
        <v>0.99935873762134086</v>
      </c>
      <c r="AD39" s="277">
        <f t="shared" si="17"/>
        <v>0.99999999999999978</v>
      </c>
      <c r="AE39" s="277">
        <f t="shared" si="18"/>
        <v>6.4126237865908019E-4</v>
      </c>
      <c r="AF39" s="277"/>
      <c r="AG39" s="290"/>
      <c r="AH39" s="277">
        <f t="shared" si="19"/>
        <v>0.53814228338399994</v>
      </c>
      <c r="AI39" s="277">
        <f t="shared" si="20"/>
        <v>0.49787748070800009</v>
      </c>
      <c r="AJ39" s="277">
        <f t="shared" si="21"/>
        <v>0.52472068249199999</v>
      </c>
      <c r="AK39" s="277">
        <f t="shared" si="22"/>
        <v>0.44930406795600003</v>
      </c>
      <c r="AL39" s="277">
        <f t="shared" si="23"/>
        <v>0.44930406795600003</v>
      </c>
      <c r="AM39" s="277">
        <v>0</v>
      </c>
      <c r="AN39" s="282"/>
      <c r="AP39" s="277">
        <f t="shared" si="24"/>
        <v>6.9421560481363221E-4</v>
      </c>
      <c r="AQ39" s="277">
        <f t="shared" si="25"/>
        <v>5.5017792878196921E-5</v>
      </c>
      <c r="AR39" s="277">
        <f t="shared" si="26"/>
        <v>6.0723887990855321E-5</v>
      </c>
      <c r="AS39" s="277">
        <f t="shared" si="27"/>
        <v>8.966988342026569E-6</v>
      </c>
      <c r="AT39" s="277">
        <f t="shared" si="28"/>
        <v>1.1122613189853026E-4</v>
      </c>
      <c r="AU39" s="277">
        <f t="shared" si="29"/>
        <v>0.99906984959407685</v>
      </c>
      <c r="AV39" s="277">
        <f t="shared" si="7"/>
        <v>1</v>
      </c>
      <c r="AW39" s="277">
        <f t="shared" si="8"/>
        <v>9.3015040592324123E-4</v>
      </c>
      <c r="AX39" s="289"/>
      <c r="AY39" s="277">
        <f t="shared" si="88"/>
        <v>4.8961438242201667E-4</v>
      </c>
      <c r="AZ39" s="277">
        <f t="shared" si="89"/>
        <v>4.0074198886225207E-5</v>
      </c>
      <c r="BA39" s="277">
        <f t="shared" si="90"/>
        <v>3.5796166023973141E-5</v>
      </c>
      <c r="BB39" s="277">
        <f t="shared" si="91"/>
        <v>6.5314302052134998E-6</v>
      </c>
      <c r="BC39" s="277">
        <f t="shared" si="92"/>
        <v>7.5916223914930715E-5</v>
      </c>
      <c r="BD39" s="277">
        <f t="shared" si="93"/>
        <v>0.99935206759854778</v>
      </c>
      <c r="BE39" s="277">
        <f t="shared" si="31"/>
        <v>1.0000000000000002</v>
      </c>
      <c r="BF39" s="277">
        <f t="shared" si="32"/>
        <v>6.4793240145235925E-4</v>
      </c>
      <c r="BG39" s="349"/>
      <c r="BH39" s="350"/>
      <c r="BJ39" s="283">
        <f t="shared" si="33"/>
        <v>0.28190672370141168</v>
      </c>
      <c r="BK39" s="283">
        <f t="shared" si="34"/>
        <v>0.12092419351286805</v>
      </c>
      <c r="BL39" s="283">
        <f t="shared" si="35"/>
        <v>3.71679221998003E-2</v>
      </c>
      <c r="BM39" s="283">
        <f t="shared" si="36"/>
        <v>7.1521045579285208E-2</v>
      </c>
      <c r="BN39" s="283">
        <f t="shared" si="37"/>
        <v>0.31572051940488849</v>
      </c>
      <c r="BO39" s="283">
        <f t="shared" si="38"/>
        <v>0</v>
      </c>
      <c r="BP39" s="283">
        <f t="shared" si="9"/>
        <v>0.82724040439825375</v>
      </c>
      <c r="BQ39" s="342"/>
      <c r="BR39" s="283">
        <f t="shared" si="39"/>
        <v>0.19882236220076732</v>
      </c>
      <c r="BS39" s="283">
        <f t="shared" si="40"/>
        <v>8.8079508963934877E-2</v>
      </c>
      <c r="BT39" s="283">
        <f t="shared" si="41"/>
        <v>2.1910143731747374E-2</v>
      </c>
      <c r="BU39" s="283">
        <f t="shared" si="42"/>
        <v>5.2094939748680534E-2</v>
      </c>
      <c r="BV39" s="283">
        <f t="shared" si="43"/>
        <v>0.21549171257295571</v>
      </c>
      <c r="BW39" s="283">
        <f t="shared" si="94"/>
        <v>0</v>
      </c>
      <c r="BX39" s="285">
        <f t="shared" si="44"/>
        <v>0.57639866721808586</v>
      </c>
      <c r="BY39" s="285"/>
      <c r="CA39" s="283">
        <f t="shared" si="45"/>
        <v>0.28498948323312995</v>
      </c>
      <c r="CB39" s="283">
        <f t="shared" si="46"/>
        <v>0.1222465465425247</v>
      </c>
      <c r="CC39" s="283">
        <f t="shared" si="47"/>
        <v>3.7405785560345232E-2</v>
      </c>
      <c r="CD39" s="283">
        <f t="shared" si="48"/>
        <v>7.2303155995394081E-2</v>
      </c>
      <c r="CE39" s="283">
        <f t="shared" si="49"/>
        <v>0.31841345270346227</v>
      </c>
      <c r="CF39" s="283">
        <f t="shared" si="50"/>
        <v>0</v>
      </c>
      <c r="CG39" s="283">
        <f t="shared" si="51"/>
        <v>0.83535842403485616</v>
      </c>
      <c r="CH39" s="283"/>
      <c r="CI39" s="298"/>
      <c r="CJ39" s="283">
        <f t="shared" si="52"/>
        <v>0.20099656196495019</v>
      </c>
      <c r="CK39" s="283">
        <f t="shared" si="53"/>
        <v>8.9042692609370852E-2</v>
      </c>
      <c r="CL39" s="283">
        <f t="shared" si="54"/>
        <v>2.2050361965902095E-2</v>
      </c>
      <c r="CM39" s="283">
        <f t="shared" si="55"/>
        <v>5.2664618151366076E-2</v>
      </c>
      <c r="CN39" s="283">
        <f t="shared" si="56"/>
        <v>0.2173297458102259</v>
      </c>
      <c r="CO39" s="283">
        <f t="shared" si="57"/>
        <v>0</v>
      </c>
      <c r="CP39" s="283">
        <f t="shared" si="95"/>
        <v>0.5820839805018152</v>
      </c>
      <c r="CR39" s="277">
        <f t="shared" si="58"/>
        <v>1.316611352413136E-4</v>
      </c>
      <c r="CS39" s="277">
        <f t="shared" si="59"/>
        <v>9.6536545540834544E-6</v>
      </c>
      <c r="CT39" s="277">
        <f t="shared" si="60"/>
        <v>1.127993931192514E-5</v>
      </c>
      <c r="CU39" s="277">
        <f t="shared" si="61"/>
        <v>1.4198846443581843E-6</v>
      </c>
      <c r="CV39" s="277">
        <f t="shared" si="62"/>
        <v>1.7654202001213629E-5</v>
      </c>
      <c r="CW39" s="277">
        <v>0</v>
      </c>
      <c r="CX39" s="277">
        <f t="shared" si="10"/>
        <v>1.7166881575289401E-4</v>
      </c>
      <c r="CY39" s="277"/>
      <c r="CZ39" s="351"/>
      <c r="DA39" s="277">
        <f t="shared" si="63"/>
        <v>9.2857586278924153E-5</v>
      </c>
      <c r="DB39" s="277">
        <f t="shared" si="64"/>
        <v>7.0315883706153598E-6</v>
      </c>
      <c r="DC39" s="277">
        <f t="shared" si="65"/>
        <v>6.6494190953454824E-6</v>
      </c>
      <c r="DD39" s="277">
        <f t="shared" si="66"/>
        <v>1.0342243237470238E-6</v>
      </c>
      <c r="DE39" s="277">
        <f t="shared" si="67"/>
        <v>1.2049689486515908E-5</v>
      </c>
      <c r="DF39" s="277">
        <v>0</v>
      </c>
      <c r="DG39" s="277">
        <f t="shared" si="68"/>
        <v>1.1962250755514795E-4</v>
      </c>
      <c r="DJ39" s="277">
        <f t="shared" si="69"/>
        <v>1.3310090089958826E-4</v>
      </c>
      <c r="DK39" s="277">
        <f t="shared" si="70"/>
        <v>9.759221016641606E-6</v>
      </c>
      <c r="DL39" s="277">
        <f t="shared" si="71"/>
        <v>1.1352127481526177E-5</v>
      </c>
      <c r="DM39" s="277">
        <f t="shared" si="72"/>
        <v>1.4354116345053645E-6</v>
      </c>
      <c r="DN39" s="277">
        <f t="shared" si="73"/>
        <v>1.7804783244771786E-5</v>
      </c>
      <c r="DO39" s="277">
        <f t="shared" si="74"/>
        <v>0</v>
      </c>
      <c r="DP39" s="277">
        <f t="shared" si="96"/>
        <v>1.7345244427703318E-4</v>
      </c>
      <c r="DQ39" s="351"/>
      <c r="DS39" s="277">
        <f t="shared" si="75"/>
        <v>9.3873020055867002E-5</v>
      </c>
      <c r="DT39" s="277">
        <f t="shared" si="76"/>
        <v>7.1084815209028766E-6</v>
      </c>
      <c r="DU39" s="277">
        <f t="shared" si="77"/>
        <v>6.6919733485315555E-6</v>
      </c>
      <c r="DV39" s="277">
        <f t="shared" si="78"/>
        <v>1.045533968476686E-6</v>
      </c>
      <c r="DW39" s="277">
        <f t="shared" si="79"/>
        <v>1.2152467127059756E-5</v>
      </c>
      <c r="DX39" s="277">
        <f t="shared" si="97"/>
        <v>0</v>
      </c>
      <c r="DY39" s="302">
        <f t="shared" si="98"/>
        <v>1.2087147602083788E-4</v>
      </c>
    </row>
    <row r="40" spans="2:129" x14ac:dyDescent="0.15">
      <c r="B40" s="358" t="s">
        <v>707</v>
      </c>
      <c r="C40" s="137">
        <v>31</v>
      </c>
      <c r="D40" s="137">
        <v>95</v>
      </c>
      <c r="E40" s="278">
        <f t="shared" si="0"/>
        <v>3.6200000000000003E-2</v>
      </c>
      <c r="F40" s="278">
        <f t="shared" si="1"/>
        <v>5.8999999999999999E-3</v>
      </c>
      <c r="G40" s="277">
        <f t="shared" si="80"/>
        <v>0.59324376000000001</v>
      </c>
      <c r="H40" s="277">
        <f t="shared" si="2"/>
        <v>1</v>
      </c>
      <c r="I40" s="277">
        <f t="shared" si="81"/>
        <v>0.87392440000000005</v>
      </c>
      <c r="J40" s="277">
        <f t="shared" si="3"/>
        <v>1</v>
      </c>
      <c r="K40" s="277">
        <f t="shared" si="4"/>
        <v>0.68816276160000001</v>
      </c>
      <c r="L40" s="277"/>
      <c r="N40" s="277">
        <f t="shared" si="82"/>
        <v>2.8193014438441627E-4</v>
      </c>
      <c r="O40" s="277">
        <f t="shared" si="83"/>
        <v>2.4858764646337281E-5</v>
      </c>
      <c r="P40" s="277">
        <f t="shared" si="84"/>
        <v>1.0799331630000136E-5</v>
      </c>
      <c r="Q40" s="277">
        <f t="shared" si="85"/>
        <v>4.0515666136295566E-6</v>
      </c>
      <c r="R40" s="277">
        <f t="shared" si="86"/>
        <v>4.0262894196553772E-5</v>
      </c>
      <c r="S40" s="277">
        <f t="shared" si="87"/>
        <v>0.99963809729852904</v>
      </c>
      <c r="T40" s="277">
        <f t="shared" si="5"/>
        <v>1</v>
      </c>
      <c r="U40" s="277">
        <f t="shared" si="6"/>
        <v>3.6190270147093705E-4</v>
      </c>
      <c r="V40" s="290"/>
      <c r="W40" s="277"/>
      <c r="X40" s="277">
        <f t="shared" si="11"/>
        <v>1.923688653891473E-4</v>
      </c>
      <c r="Y40" s="277">
        <f t="shared" si="12"/>
        <v>1.7532317936526574E-5</v>
      </c>
      <c r="Z40" s="277">
        <f t="shared" si="13"/>
        <v>6.0804319224256906E-6</v>
      </c>
      <c r="AA40" s="277">
        <f t="shared" si="14"/>
        <v>2.8574772327488065E-6</v>
      </c>
      <c r="AB40" s="277">
        <f t="shared" si="15"/>
        <v>2.6409181966399242E-5</v>
      </c>
      <c r="AC40" s="277">
        <f t="shared" si="16"/>
        <v>0.99975475172555273</v>
      </c>
      <c r="AD40" s="277">
        <f t="shared" si="17"/>
        <v>0.99999999999999989</v>
      </c>
      <c r="AE40" s="277">
        <f t="shared" si="18"/>
        <v>2.4524827444724764E-4</v>
      </c>
      <c r="AF40" s="277"/>
      <c r="AG40" s="290"/>
      <c r="AH40" s="277">
        <f t="shared" si="19"/>
        <v>0.53256280406400014</v>
      </c>
      <c r="AI40" s="277">
        <f t="shared" si="20"/>
        <v>0.49271546836800012</v>
      </c>
      <c r="AJ40" s="277">
        <f t="shared" si="21"/>
        <v>0.51928035883200008</v>
      </c>
      <c r="AK40" s="277">
        <f t="shared" si="22"/>
        <v>0.44464566657600008</v>
      </c>
      <c r="AL40" s="277">
        <f t="shared" si="23"/>
        <v>0.44464566657600008</v>
      </c>
      <c r="AM40" s="277">
        <v>0</v>
      </c>
      <c r="AN40" s="282"/>
      <c r="AP40" s="277">
        <f t="shared" si="24"/>
        <v>2.8501316003040107E-4</v>
      </c>
      <c r="AQ40" s="277">
        <f t="shared" si="25"/>
        <v>2.513060489425349E-5</v>
      </c>
      <c r="AR40" s="277">
        <f t="shared" si="26"/>
        <v>1.0868444057090955E-5</v>
      </c>
      <c r="AS40" s="277">
        <f t="shared" si="27"/>
        <v>4.0958720684004297E-6</v>
      </c>
      <c r="AT40" s="277">
        <f t="shared" si="28"/>
        <v>4.0606315931331169E-5</v>
      </c>
      <c r="AU40" s="277">
        <f t="shared" si="29"/>
        <v>0.9996342856030187</v>
      </c>
      <c r="AV40" s="277">
        <f t="shared" si="7"/>
        <v>1.0000000000000002</v>
      </c>
      <c r="AW40" s="277">
        <f t="shared" si="8"/>
        <v>3.657143969814771E-4</v>
      </c>
      <c r="AX40" s="289"/>
      <c r="AY40" s="277">
        <f t="shared" si="88"/>
        <v>1.944724936588027E-4</v>
      </c>
      <c r="AZ40" s="277">
        <f t="shared" si="89"/>
        <v>1.7724040643677004E-5</v>
      </c>
      <c r="BA40" s="277">
        <f t="shared" si="90"/>
        <v>6.119344831327566E-6</v>
      </c>
      <c r="BB40" s="277">
        <f t="shared" si="91"/>
        <v>2.8887248562898982E-6</v>
      </c>
      <c r="BC40" s="277">
        <f t="shared" si="92"/>
        <v>2.6634438676477701E-5</v>
      </c>
      <c r="BD40" s="277">
        <f t="shared" si="93"/>
        <v>0.99975216095733366</v>
      </c>
      <c r="BE40" s="277">
        <f t="shared" si="31"/>
        <v>1.0000000000000002</v>
      </c>
      <c r="BF40" s="277">
        <f t="shared" si="32"/>
        <v>2.4783904266657483E-4</v>
      </c>
      <c r="BG40" s="349"/>
      <c r="BH40" s="350"/>
      <c r="BJ40" s="283">
        <f t="shared" si="33"/>
        <v>0.11182415526581937</v>
      </c>
      <c r="BK40" s="283">
        <f t="shared" si="34"/>
        <v>5.3366980111112759E-2</v>
      </c>
      <c r="BL40" s="283">
        <f t="shared" si="35"/>
        <v>6.4274060518786993E-3</v>
      </c>
      <c r="BM40" s="283">
        <f t="shared" si="36"/>
        <v>3.1564090742102278E-2</v>
      </c>
      <c r="BN40" s="283">
        <f t="shared" si="37"/>
        <v>0.11136512631982895</v>
      </c>
      <c r="BO40" s="283">
        <f t="shared" si="38"/>
        <v>0</v>
      </c>
      <c r="BP40" s="283">
        <f t="shared" si="9"/>
        <v>0.31454775849074207</v>
      </c>
      <c r="BQ40" s="342"/>
      <c r="BR40" s="283">
        <f t="shared" si="39"/>
        <v>7.6300765633114637E-2</v>
      </c>
      <c r="BS40" s="283">
        <f t="shared" si="40"/>
        <v>3.7638510035862882E-2</v>
      </c>
      <c r="BT40" s="283">
        <f t="shared" si="41"/>
        <v>3.6188725631564685E-3</v>
      </c>
      <c r="BU40" s="283">
        <f t="shared" si="42"/>
        <v>2.2261431014008556E-2</v>
      </c>
      <c r="BV40" s="283">
        <f t="shared" si="43"/>
        <v>7.3046459882735781E-2</v>
      </c>
      <c r="BW40" s="283">
        <f t="shared" si="94"/>
        <v>0</v>
      </c>
      <c r="BX40" s="285">
        <f t="shared" si="44"/>
        <v>0.21286603912887833</v>
      </c>
      <c r="BY40" s="285"/>
      <c r="CA40" s="283">
        <f t="shared" si="45"/>
        <v>0.11304699584229025</v>
      </c>
      <c r="CB40" s="283">
        <f t="shared" si="46"/>
        <v>5.3950568769291787E-2</v>
      </c>
      <c r="CC40" s="283">
        <f t="shared" si="47"/>
        <v>6.4685394893323226E-3</v>
      </c>
      <c r="CD40" s="283">
        <f t="shared" si="48"/>
        <v>3.1909256335592336E-2</v>
      </c>
      <c r="CE40" s="283">
        <f t="shared" si="49"/>
        <v>0.11231501344636674</v>
      </c>
      <c r="CF40" s="283">
        <f t="shared" si="50"/>
        <v>0</v>
      </c>
      <c r="CG40" s="283">
        <f t="shared" si="51"/>
        <v>0.31769037388287347</v>
      </c>
      <c r="CH40" s="283"/>
      <c r="CI40" s="298"/>
      <c r="CJ40" s="283">
        <f t="shared" si="52"/>
        <v>7.7135144144717713E-2</v>
      </c>
      <c r="CK40" s="283">
        <f t="shared" si="53"/>
        <v>3.8050101763968051E-2</v>
      </c>
      <c r="CL40" s="283">
        <f t="shared" si="54"/>
        <v>3.6420322432867943E-3</v>
      </c>
      <c r="CM40" s="283">
        <f t="shared" si="55"/>
        <v>2.2504868409708313E-2</v>
      </c>
      <c r="CN40" s="283">
        <f t="shared" si="56"/>
        <v>7.3669508535170306E-2</v>
      </c>
      <c r="CO40" s="283">
        <f t="shared" si="57"/>
        <v>0</v>
      </c>
      <c r="CP40" s="283">
        <f t="shared" si="95"/>
        <v>0.21500165509685115</v>
      </c>
      <c r="CR40" s="277">
        <f t="shared" si="58"/>
        <v>5.1684640614570907E-5</v>
      </c>
      <c r="CS40" s="277">
        <f t="shared" si="59"/>
        <v>4.2162358417392195E-6</v>
      </c>
      <c r="CT40" s="277">
        <f t="shared" si="60"/>
        <v>1.9304027629820202E-6</v>
      </c>
      <c r="CU40" s="277">
        <f t="shared" si="61"/>
        <v>6.2013494424718467E-7</v>
      </c>
      <c r="CV40" s="277">
        <f t="shared" si="62"/>
        <v>6.1626600347173971E-6</v>
      </c>
      <c r="CW40" s="277">
        <v>0</v>
      </c>
      <c r="CX40" s="277">
        <f t="shared" si="10"/>
        <v>6.4614074198256726E-5</v>
      </c>
      <c r="CY40" s="277"/>
      <c r="CZ40" s="351"/>
      <c r="DA40" s="277">
        <f t="shared" si="63"/>
        <v>3.5265883663415805E-5</v>
      </c>
      <c r="DB40" s="277">
        <f t="shared" si="64"/>
        <v>2.9736146717026123E-6</v>
      </c>
      <c r="DC40" s="277">
        <f t="shared" si="65"/>
        <v>1.0868897247833182E-6</v>
      </c>
      <c r="DD40" s="277">
        <f t="shared" si="66"/>
        <v>4.37366987490015E-7</v>
      </c>
      <c r="DE40" s="277">
        <f t="shared" si="67"/>
        <v>4.042203460570859E-6</v>
      </c>
      <c r="DF40" s="277">
        <v>0</v>
      </c>
      <c r="DG40" s="277">
        <f t="shared" si="68"/>
        <v>4.3805958507962615E-5</v>
      </c>
      <c r="DJ40" s="277">
        <f t="shared" si="69"/>
        <v>5.2249832236842247E-5</v>
      </c>
      <c r="DK40" s="277">
        <f t="shared" si="70"/>
        <v>4.2623420184860389E-6</v>
      </c>
      <c r="DL40" s="277">
        <f t="shared" si="71"/>
        <v>1.9427567516160841E-6</v>
      </c>
      <c r="DM40" s="277">
        <f t="shared" si="72"/>
        <v>6.2691636075697475E-7</v>
      </c>
      <c r="DN40" s="277">
        <f t="shared" si="73"/>
        <v>6.2152243483912793E-6</v>
      </c>
      <c r="DO40" s="277">
        <f t="shared" si="74"/>
        <v>0</v>
      </c>
      <c r="DP40" s="277">
        <f t="shared" si="96"/>
        <v>6.5297071716092627E-5</v>
      </c>
      <c r="DQ40" s="351"/>
      <c r="DS40" s="277">
        <f t="shared" si="75"/>
        <v>3.5651529800479964E-5</v>
      </c>
      <c r="DT40" s="277">
        <f t="shared" si="76"/>
        <v>3.0061323032528197E-6</v>
      </c>
      <c r="DU40" s="277">
        <f t="shared" si="77"/>
        <v>1.0938454873650667E-6</v>
      </c>
      <c r="DV40" s="277">
        <f t="shared" si="78"/>
        <v>4.4214976539556017E-7</v>
      </c>
      <c r="DW40" s="277">
        <f t="shared" si="79"/>
        <v>4.0766813726150273E-6</v>
      </c>
      <c r="DX40" s="277">
        <f t="shared" si="97"/>
        <v>0</v>
      </c>
      <c r="DY40" s="302">
        <f t="shared" si="98"/>
        <v>4.4270338729108437E-5</v>
      </c>
    </row>
    <row r="41" spans="2:129" x14ac:dyDescent="0.15">
      <c r="B41" s="358" t="s">
        <v>707</v>
      </c>
      <c r="C41" s="137">
        <v>32</v>
      </c>
      <c r="D41" s="137">
        <v>96</v>
      </c>
      <c r="E41" s="278">
        <f t="shared" si="0"/>
        <v>3.6200000000000003E-2</v>
      </c>
      <c r="F41" s="278">
        <f t="shared" si="1"/>
        <v>5.8999999999999999E-3</v>
      </c>
      <c r="G41" s="277">
        <f t="shared" si="80"/>
        <v>0.62742503999999999</v>
      </c>
      <c r="H41" s="277">
        <f t="shared" si="2"/>
        <v>1</v>
      </c>
      <c r="I41" s="277">
        <f t="shared" si="81"/>
        <v>0.92519632000000007</v>
      </c>
      <c r="J41" s="277">
        <f t="shared" si="3"/>
        <v>1</v>
      </c>
      <c r="K41" s="277">
        <f t="shared" si="4"/>
        <v>0.7278130464</v>
      </c>
      <c r="L41" s="277"/>
      <c r="N41" s="277">
        <f t="shared" si="82"/>
        <v>1.0280758639387834E-4</v>
      </c>
      <c r="O41" s="277">
        <f t="shared" si="83"/>
        <v>1.020587122671587E-5</v>
      </c>
      <c r="P41" s="277">
        <f t="shared" si="84"/>
        <v>1.361532214851245E-6</v>
      </c>
      <c r="Q41" s="277">
        <f t="shared" si="85"/>
        <v>1.663387851868056E-6</v>
      </c>
      <c r="R41" s="277">
        <f t="shared" si="86"/>
        <v>1.2555469736244714E-5</v>
      </c>
      <c r="S41" s="277">
        <f t="shared" si="87"/>
        <v>0.99987140615257653</v>
      </c>
      <c r="T41" s="277">
        <f t="shared" si="5"/>
        <v>1</v>
      </c>
      <c r="U41" s="277">
        <f t="shared" si="6"/>
        <v>1.2859384742355823E-4</v>
      </c>
      <c r="V41" s="290"/>
      <c r="W41" s="277"/>
      <c r="X41" s="277">
        <f t="shared" si="11"/>
        <v>6.8391459697545915E-5</v>
      </c>
      <c r="Y41" s="277">
        <f t="shared" si="12"/>
        <v>6.9637529270871336E-6</v>
      </c>
      <c r="Z41" s="277">
        <f t="shared" si="13"/>
        <v>7.3168991748033436E-7</v>
      </c>
      <c r="AA41" s="277">
        <f t="shared" si="14"/>
        <v>1.1349763057959692E-6</v>
      </c>
      <c r="AB41" s="277">
        <f t="shared" si="15"/>
        <v>7.9864523973850795E-6</v>
      </c>
      <c r="AC41" s="277">
        <f t="shared" si="16"/>
        <v>0.99991479166875474</v>
      </c>
      <c r="AD41" s="277">
        <f t="shared" si="17"/>
        <v>1</v>
      </c>
      <c r="AE41" s="277">
        <f t="shared" si="18"/>
        <v>8.5208331245294447E-5</v>
      </c>
      <c r="AF41" s="277"/>
      <c r="AG41" s="290"/>
      <c r="AH41" s="277">
        <f t="shared" si="19"/>
        <v>0.52692741594400005</v>
      </c>
      <c r="AI41" s="277">
        <f t="shared" si="20"/>
        <v>0.4875017304280001</v>
      </c>
      <c r="AJ41" s="277">
        <f t="shared" si="21"/>
        <v>0.51378552077200013</v>
      </c>
      <c r="AK41" s="277">
        <f t="shared" si="22"/>
        <v>0.43994058599600006</v>
      </c>
      <c r="AL41" s="277">
        <f t="shared" si="23"/>
        <v>0.43994058599600006</v>
      </c>
      <c r="AM41" s="277">
        <v>0</v>
      </c>
      <c r="AN41" s="282"/>
      <c r="AP41" s="277">
        <f t="shared" si="24"/>
        <v>1.0393182728720432E-4</v>
      </c>
      <c r="AQ41" s="277">
        <f t="shared" si="25"/>
        <v>1.031747639310052E-5</v>
      </c>
      <c r="AR41" s="277">
        <f t="shared" si="26"/>
        <v>1.3702456055641766E-6</v>
      </c>
      <c r="AS41" s="277">
        <f t="shared" si="27"/>
        <v>1.6815776441793664E-6</v>
      </c>
      <c r="AT41" s="277">
        <f t="shared" si="28"/>
        <v>1.2662561421624236E-5</v>
      </c>
      <c r="AU41" s="277">
        <f t="shared" si="29"/>
        <v>0.9998700363116485</v>
      </c>
      <c r="AV41" s="277">
        <f t="shared" si="7"/>
        <v>1.0000000000000002</v>
      </c>
      <c r="AW41" s="277">
        <f t="shared" si="8"/>
        <v>1.2996368835167262E-4</v>
      </c>
      <c r="AX41" s="289"/>
      <c r="AY41" s="277">
        <f t="shared" si="88"/>
        <v>6.9139346876335046E-5</v>
      </c>
      <c r="AZ41" s="277">
        <f t="shared" si="89"/>
        <v>7.0399042704486587E-6</v>
      </c>
      <c r="BA41" s="277">
        <f t="shared" si="90"/>
        <v>7.3637250968210268E-7</v>
      </c>
      <c r="BB41" s="277">
        <f t="shared" si="91"/>
        <v>1.1473877125869359E-6</v>
      </c>
      <c r="BC41" s="277">
        <f t="shared" si="92"/>
        <v>8.0545727198745104E-6</v>
      </c>
      <c r="BD41" s="277">
        <f t="shared" si="93"/>
        <v>0.99991388241591128</v>
      </c>
      <c r="BE41" s="277">
        <f t="shared" si="31"/>
        <v>1.0000000000000002</v>
      </c>
      <c r="BF41" s="277">
        <f t="shared" si="32"/>
        <v>8.6117584088927251E-5</v>
      </c>
      <c r="BG41" s="349"/>
      <c r="BH41" s="350"/>
      <c r="BJ41" s="283">
        <f t="shared" si="33"/>
        <v>3.9398430918270437E-2</v>
      </c>
      <c r="BK41" s="283">
        <f t="shared" si="34"/>
        <v>2.1169120734891807E-2</v>
      </c>
      <c r="BL41" s="283">
        <f t="shared" si="35"/>
        <v>7.8293630380119636E-4</v>
      </c>
      <c r="BM41" s="283">
        <f t="shared" si="36"/>
        <v>1.2520551967067478E-2</v>
      </c>
      <c r="BN41" s="283">
        <f t="shared" si="37"/>
        <v>3.3553423618978381E-2</v>
      </c>
      <c r="BO41" s="283">
        <f t="shared" si="38"/>
        <v>0</v>
      </c>
      <c r="BP41" s="283">
        <f t="shared" si="9"/>
        <v>0.1074244635430093</v>
      </c>
      <c r="BQ41" s="342"/>
      <c r="BR41" s="283">
        <f t="shared" si="39"/>
        <v>2.6209312900024314E-2</v>
      </c>
      <c r="BS41" s="283">
        <f t="shared" si="40"/>
        <v>1.4444286353091744E-2</v>
      </c>
      <c r="BT41" s="283">
        <f t="shared" si="41"/>
        <v>4.2075141026556184E-4</v>
      </c>
      <c r="BU41" s="283">
        <f t="shared" si="42"/>
        <v>8.543124685051454E-3</v>
      </c>
      <c r="BV41" s="283">
        <f t="shared" si="43"/>
        <v>2.1343113888339198E-2</v>
      </c>
      <c r="BW41" s="283">
        <f t="shared" si="94"/>
        <v>0</v>
      </c>
      <c r="BX41" s="285">
        <f t="shared" si="44"/>
        <v>7.0960589236772259E-2</v>
      </c>
      <c r="BY41" s="285"/>
      <c r="CA41" s="283">
        <f t="shared" si="45"/>
        <v>3.9829268064874586E-2</v>
      </c>
      <c r="CB41" s="283">
        <f t="shared" si="46"/>
        <v>2.1400613293376159E-2</v>
      </c>
      <c r="CC41" s="283">
        <f t="shared" si="47"/>
        <v>7.8794685723793871E-4</v>
      </c>
      <c r="CD41" s="283">
        <f t="shared" si="48"/>
        <v>1.2657469066496908E-2</v>
      </c>
      <c r="CE41" s="283">
        <f t="shared" si="49"/>
        <v>3.3839617027994089E-2</v>
      </c>
      <c r="CF41" s="283">
        <f t="shared" si="50"/>
        <v>0</v>
      </c>
      <c r="CG41" s="283">
        <f t="shared" si="51"/>
        <v>0.10851491430997967</v>
      </c>
      <c r="CH41" s="283"/>
      <c r="CI41" s="298"/>
      <c r="CJ41" s="283">
        <f t="shared" si="52"/>
        <v>2.6495921917721651E-2</v>
      </c>
      <c r="CK41" s="283">
        <f t="shared" si="53"/>
        <v>1.4602240235316366E-2</v>
      </c>
      <c r="CL41" s="283">
        <f t="shared" si="54"/>
        <v>4.234440909018855E-4</v>
      </c>
      <c r="CM41" s="283">
        <f t="shared" si="55"/>
        <v>8.636547072100988E-3</v>
      </c>
      <c r="CN41" s="283">
        <f t="shared" si="56"/>
        <v>2.1525159648917238E-2</v>
      </c>
      <c r="CO41" s="283">
        <f t="shared" si="57"/>
        <v>0</v>
      </c>
      <c r="CP41" s="283">
        <f t="shared" si="95"/>
        <v>7.1683312964958126E-2</v>
      </c>
      <c r="CR41" s="277">
        <f t="shared" si="58"/>
        <v>1.8017094872956198E-5</v>
      </c>
      <c r="CS41" s="277">
        <f t="shared" si="59"/>
        <v>1.6547601456777254E-6</v>
      </c>
      <c r="CT41" s="277">
        <f t="shared" si="60"/>
        <v>2.3265832076186957E-7</v>
      </c>
      <c r="CU41" s="277">
        <f t="shared" si="61"/>
        <v>2.4338643026643811E-7</v>
      </c>
      <c r="CV41" s="277">
        <f t="shared" si="62"/>
        <v>1.8371127070520978E-6</v>
      </c>
      <c r="CW41" s="277">
        <v>0</v>
      </c>
      <c r="CX41" s="277">
        <f t="shared" si="10"/>
        <v>2.198501247671433E-5</v>
      </c>
      <c r="CY41" s="277"/>
      <c r="CZ41" s="351"/>
      <c r="DA41" s="277">
        <f t="shared" si="63"/>
        <v>1.1985646790206301E-5</v>
      </c>
      <c r="DB41" s="277">
        <f t="shared" si="64"/>
        <v>1.1290893792512086E-6</v>
      </c>
      <c r="DC41" s="277">
        <f t="shared" si="65"/>
        <v>1.250310096687389E-7</v>
      </c>
      <c r="DD41" s="277">
        <f t="shared" si="66"/>
        <v>1.6606940539720982E-7</v>
      </c>
      <c r="DE41" s="277">
        <f t="shared" si="67"/>
        <v>1.1685754091022288E-6</v>
      </c>
      <c r="DF41" s="277">
        <v>0</v>
      </c>
      <c r="DG41" s="277">
        <f t="shared" si="68"/>
        <v>1.4574411993625686E-5</v>
      </c>
      <c r="DJ41" s="277">
        <f t="shared" si="69"/>
        <v>1.8214118804220451E-5</v>
      </c>
      <c r="DK41" s="277">
        <f t="shared" si="70"/>
        <v>1.67285559067037E-6</v>
      </c>
      <c r="DL41" s="277">
        <f t="shared" si="71"/>
        <v>2.3414726302067191E-7</v>
      </c>
      <c r="DM41" s="277">
        <f t="shared" si="72"/>
        <v>2.4604795542604884E-7</v>
      </c>
      <c r="DN41" s="277">
        <f t="shared" si="73"/>
        <v>1.8527823315395355E-6</v>
      </c>
      <c r="DO41" s="277">
        <f t="shared" si="74"/>
        <v>0</v>
      </c>
      <c r="DP41" s="277">
        <f t="shared" si="96"/>
        <v>2.2219951944877077E-5</v>
      </c>
      <c r="DQ41" s="351"/>
      <c r="DS41" s="277">
        <f t="shared" si="75"/>
        <v>1.2116714493740227E-5</v>
      </c>
      <c r="DT41" s="277">
        <f t="shared" si="76"/>
        <v>1.1414364102136032E-6</v>
      </c>
      <c r="DU41" s="277">
        <f t="shared" si="77"/>
        <v>1.2583116997827301E-7</v>
      </c>
      <c r="DV41" s="277">
        <f t="shared" si="78"/>
        <v>1.6788543885569971E-7</v>
      </c>
      <c r="DW41" s="277">
        <f t="shared" si="79"/>
        <v>1.1785427550225933E-6</v>
      </c>
      <c r="DX41" s="277">
        <f t="shared" si="97"/>
        <v>0</v>
      </c>
      <c r="DY41" s="302">
        <f t="shared" si="98"/>
        <v>1.4730410267810396E-5</v>
      </c>
    </row>
    <row r="42" spans="2:129" x14ac:dyDescent="0.15">
      <c r="B42" s="358" t="s">
        <v>707</v>
      </c>
      <c r="C42" s="137">
        <v>33</v>
      </c>
      <c r="D42" s="137">
        <v>97</v>
      </c>
      <c r="E42" s="278">
        <f t="shared" si="0"/>
        <v>3.6200000000000003E-2</v>
      </c>
      <c r="F42" s="278">
        <f t="shared" si="1"/>
        <v>5.8999999999999999E-3</v>
      </c>
      <c r="G42" s="277">
        <f t="shared" si="80"/>
        <v>0.66933480000000001</v>
      </c>
      <c r="H42" s="277">
        <f t="shared" si="2"/>
        <v>1</v>
      </c>
      <c r="I42" s="277">
        <f t="shared" si="81"/>
        <v>0.98806095999999988</v>
      </c>
      <c r="J42" s="277">
        <f t="shared" si="3"/>
        <v>1</v>
      </c>
      <c r="K42" s="277">
        <f t="shared" si="4"/>
        <v>0.77642836799999992</v>
      </c>
      <c r="L42" s="277"/>
      <c r="N42" s="277">
        <f t="shared" si="82"/>
        <v>3.397533300121349E-5</v>
      </c>
      <c r="O42" s="277">
        <f t="shared" si="83"/>
        <v>3.721634627458396E-6</v>
      </c>
      <c r="P42" s="277">
        <f t="shared" si="84"/>
        <v>1.0184762010942371E-7</v>
      </c>
      <c r="Q42" s="277">
        <f t="shared" si="85"/>
        <v>6.065647597238822E-7</v>
      </c>
      <c r="R42" s="277">
        <f t="shared" si="86"/>
        <v>3.4174350585254446E-6</v>
      </c>
      <c r="S42" s="277">
        <f t="shared" si="87"/>
        <v>0.99995817718493307</v>
      </c>
      <c r="T42" s="277">
        <f t="shared" si="5"/>
        <v>1</v>
      </c>
      <c r="U42" s="277">
        <f t="shared" si="6"/>
        <v>4.1822815067030633E-5</v>
      </c>
      <c r="V42" s="290"/>
      <c r="W42" s="277"/>
      <c r="X42" s="277">
        <f t="shared" si="11"/>
        <v>2.1889715881887631E-5</v>
      </c>
      <c r="Y42" s="277">
        <f t="shared" si="12"/>
        <v>2.4757708410511621E-6</v>
      </c>
      <c r="Z42" s="277">
        <f t="shared" si="13"/>
        <v>5.1531791459907468E-8</v>
      </c>
      <c r="AA42" s="277">
        <f t="shared" si="14"/>
        <v>4.0350961221552088E-7</v>
      </c>
      <c r="AB42" s="277">
        <f t="shared" si="15"/>
        <v>2.0907382959069968E-6</v>
      </c>
      <c r="AC42" s="277">
        <f t="shared" si="16"/>
        <v>0.9999730887335776</v>
      </c>
      <c r="AD42" s="277">
        <f t="shared" si="17"/>
        <v>1</v>
      </c>
      <c r="AE42" s="277">
        <f t="shared" si="18"/>
        <v>2.6911266422521218E-5</v>
      </c>
      <c r="AF42" s="277"/>
      <c r="AG42" s="290"/>
      <c r="AH42" s="277">
        <f t="shared" si="19"/>
        <v>0.52123611902400002</v>
      </c>
      <c r="AI42" s="277">
        <f t="shared" si="20"/>
        <v>0.48223626688800003</v>
      </c>
      <c r="AJ42" s="277">
        <f t="shared" si="21"/>
        <v>0.50823616831200003</v>
      </c>
      <c r="AK42" s="277">
        <f t="shared" si="22"/>
        <v>0.43518882621599997</v>
      </c>
      <c r="AL42" s="277">
        <f t="shared" si="23"/>
        <v>0.43518882621599997</v>
      </c>
      <c r="AM42" s="277">
        <v>0</v>
      </c>
      <c r="AN42" s="282"/>
      <c r="AP42" s="277">
        <f t="shared" si="24"/>
        <v>3.4346866465465755E-5</v>
      </c>
      <c r="AQ42" s="277">
        <f t="shared" si="25"/>
        <v>3.7623321477967969E-6</v>
      </c>
      <c r="AR42" s="277">
        <f t="shared" si="26"/>
        <v>1.0249941380002872E-7</v>
      </c>
      <c r="AS42" s="277">
        <f t="shared" si="27"/>
        <v>6.1319778099450552E-7</v>
      </c>
      <c r="AT42" s="277">
        <f t="shared" si="28"/>
        <v>3.4465840181247853E-6</v>
      </c>
      <c r="AU42" s="277">
        <f t="shared" si="29"/>
        <v>0.99995772852017406</v>
      </c>
      <c r="AV42" s="277">
        <f t="shared" si="7"/>
        <v>1.0000000000000002</v>
      </c>
      <c r="AW42" s="277">
        <f t="shared" si="8"/>
        <v>4.2271479826181869E-5</v>
      </c>
      <c r="AX42" s="289"/>
      <c r="AY42" s="277">
        <f t="shared" si="88"/>
        <v>2.2129088428223089E-5</v>
      </c>
      <c r="AZ42" s="277">
        <f t="shared" si="89"/>
        <v>2.5028443569233285E-6</v>
      </c>
      <c r="BA42" s="277">
        <f t="shared" si="90"/>
        <v>5.1861579200681911E-8</v>
      </c>
      <c r="BB42" s="277">
        <f t="shared" si="91"/>
        <v>4.0792214657037676E-7</v>
      </c>
      <c r="BC42" s="277">
        <f t="shared" si="92"/>
        <v>2.1085712159410306E-6</v>
      </c>
      <c r="BD42" s="277">
        <f t="shared" si="93"/>
        <v>0.99997279971227337</v>
      </c>
      <c r="BE42" s="277">
        <f t="shared" si="31"/>
        <v>1.0000000000000002</v>
      </c>
      <c r="BF42" s="277">
        <f t="shared" si="32"/>
        <v>2.7200287726858507E-5</v>
      </c>
      <c r="BG42" s="349"/>
      <c r="BH42" s="350"/>
      <c r="BJ42" s="283">
        <f t="shared" si="33"/>
        <v>1.2579898436500665E-2</v>
      </c>
      <c r="BK42" s="283">
        <f t="shared" si="34"/>
        <v>7.4584077017310927E-3</v>
      </c>
      <c r="BL42" s="283">
        <f t="shared" si="35"/>
        <v>5.6586006502345351E-5</v>
      </c>
      <c r="BM42" s="283">
        <f t="shared" si="36"/>
        <v>4.4113018386815741E-3</v>
      </c>
      <c r="BN42" s="283">
        <f t="shared" si="37"/>
        <v>8.8239653697584665E-3</v>
      </c>
      <c r="BO42" s="283">
        <f t="shared" si="38"/>
        <v>0</v>
      </c>
      <c r="BP42" s="283">
        <f t="shared" si="9"/>
        <v>3.3330159353174141E-2</v>
      </c>
      <c r="BQ42" s="342"/>
      <c r="BR42" s="283">
        <f t="shared" si="39"/>
        <v>8.1050096724045815E-3</v>
      </c>
      <c r="BS42" s="283">
        <f t="shared" si="40"/>
        <v>4.9616123443121836E-3</v>
      </c>
      <c r="BT42" s="283">
        <f t="shared" si="41"/>
        <v>2.8630794548708557E-5</v>
      </c>
      <c r="BU42" s="283">
        <f t="shared" si="42"/>
        <v>2.9345633186838973E-3</v>
      </c>
      <c r="BV42" s="283">
        <f t="shared" si="43"/>
        <v>5.3983768540934252E-3</v>
      </c>
      <c r="BW42" s="283">
        <f t="shared" si="94"/>
        <v>0</v>
      </c>
      <c r="BX42" s="285">
        <f t="shared" si="44"/>
        <v>2.1428192984042794E-2</v>
      </c>
      <c r="BY42" s="285"/>
      <c r="CA42" s="283">
        <f t="shared" si="45"/>
        <v>1.2717464512626769E-2</v>
      </c>
      <c r="CB42" s="283">
        <f t="shared" si="46"/>
        <v>7.5399682872044124E-3</v>
      </c>
      <c r="CC42" s="283">
        <f t="shared" si="47"/>
        <v>5.6948139677132712E-5</v>
      </c>
      <c r="CD42" s="283">
        <f t="shared" si="48"/>
        <v>4.4595411378792965E-3</v>
      </c>
      <c r="CE42" s="283">
        <f t="shared" si="49"/>
        <v>8.8992292462226046E-3</v>
      </c>
      <c r="CF42" s="283">
        <f t="shared" si="50"/>
        <v>0</v>
      </c>
      <c r="CG42" s="283">
        <f t="shared" si="51"/>
        <v>3.3673151323610213E-2</v>
      </c>
      <c r="CH42" s="283"/>
      <c r="CI42" s="298"/>
      <c r="CJ42" s="283">
        <f t="shared" si="52"/>
        <v>8.1936411016029099E-3</v>
      </c>
      <c r="CK42" s="283">
        <f t="shared" si="53"/>
        <v>5.0158695026597793E-3</v>
      </c>
      <c r="CL42" s="283">
        <f t="shared" si="54"/>
        <v>2.8814022897331792E-5</v>
      </c>
      <c r="CM42" s="283">
        <f t="shared" si="55"/>
        <v>2.9666539085191558E-3</v>
      </c>
      <c r="CN42" s="283">
        <f t="shared" si="56"/>
        <v>5.4444222261713611E-3</v>
      </c>
      <c r="CO42" s="283">
        <f t="shared" si="57"/>
        <v>0</v>
      </c>
      <c r="CP42" s="283">
        <f t="shared" si="95"/>
        <v>2.1649400761850537E-2</v>
      </c>
      <c r="CR42" s="277">
        <f t="shared" si="58"/>
        <v>5.6907129740441349E-6</v>
      </c>
      <c r="CS42" s="277">
        <f t="shared" si="59"/>
        <v>5.7671607843402297E-7</v>
      </c>
      <c r="CT42" s="277">
        <f t="shared" si="60"/>
        <v>1.6633548550628776E-8</v>
      </c>
      <c r="CU42" s="277">
        <f t="shared" si="61"/>
        <v>8.4824902251817279E-8</v>
      </c>
      <c r="CV42" s="277">
        <f t="shared" si="62"/>
        <v>4.779103799622547E-7</v>
      </c>
      <c r="CW42" s="277">
        <v>0</v>
      </c>
      <c r="CX42" s="277">
        <f t="shared" si="10"/>
        <v>6.846797883242859E-6</v>
      </c>
      <c r="CY42" s="277"/>
      <c r="CZ42" s="351"/>
      <c r="DA42" s="277">
        <f t="shared" si="63"/>
        <v>3.6664273507708877E-6</v>
      </c>
      <c r="DB42" s="277">
        <f t="shared" si="64"/>
        <v>3.8365315069293178E-7</v>
      </c>
      <c r="DC42" s="277">
        <f t="shared" si="65"/>
        <v>8.4160685760583369E-9</v>
      </c>
      <c r="DD42" s="277">
        <f t="shared" si="66"/>
        <v>5.6428704215245253E-8</v>
      </c>
      <c r="DE42" s="277">
        <f t="shared" si="67"/>
        <v>2.9237879178007805E-7</v>
      </c>
      <c r="DF42" s="277">
        <v>0</v>
      </c>
      <c r="DG42" s="277">
        <f t="shared" si="68"/>
        <v>4.4073040660352021E-6</v>
      </c>
      <c r="DJ42" s="277">
        <f t="shared" si="69"/>
        <v>5.7529431310005483E-6</v>
      </c>
      <c r="DK42" s="277">
        <f t="shared" si="70"/>
        <v>5.8302269277987574E-7</v>
      </c>
      <c r="DL42" s="277">
        <f t="shared" si="71"/>
        <v>1.6739998185740759E-8</v>
      </c>
      <c r="DM42" s="277">
        <f t="shared" si="72"/>
        <v>8.5752495508588355E-8</v>
      </c>
      <c r="DN42" s="277">
        <f t="shared" si="73"/>
        <v>4.8198670917379969E-7</v>
      </c>
      <c r="DO42" s="277">
        <f t="shared" si="74"/>
        <v>0</v>
      </c>
      <c r="DP42" s="277">
        <f t="shared" si="96"/>
        <v>6.9204450266485531E-6</v>
      </c>
      <c r="DQ42" s="351"/>
      <c r="DS42" s="277">
        <f t="shared" si="75"/>
        <v>3.7065211580931744E-6</v>
      </c>
      <c r="DT42" s="277">
        <f t="shared" si="76"/>
        <v>3.8784854692769869E-7</v>
      </c>
      <c r="DU42" s="277">
        <f t="shared" si="77"/>
        <v>8.4699288468401225E-9</v>
      </c>
      <c r="DV42" s="277">
        <f t="shared" si="78"/>
        <v>5.7045774015844645E-8</v>
      </c>
      <c r="DW42" s="277">
        <f t="shared" si="79"/>
        <v>2.9487263217304778E-7</v>
      </c>
      <c r="DX42" s="277">
        <f t="shared" si="97"/>
        <v>0</v>
      </c>
      <c r="DY42" s="302">
        <f t="shared" si="98"/>
        <v>4.4547580400566059E-6</v>
      </c>
    </row>
    <row r="43" spans="2:129" x14ac:dyDescent="0.15">
      <c r="B43" s="358" t="s">
        <v>707</v>
      </c>
      <c r="C43" s="137">
        <v>34</v>
      </c>
      <c r="D43" s="137">
        <v>98</v>
      </c>
      <c r="E43" s="278">
        <f t="shared" si="0"/>
        <v>3.6200000000000003E-2</v>
      </c>
      <c r="F43" s="278">
        <f t="shared" si="1"/>
        <v>5.8999999999999999E-3</v>
      </c>
      <c r="G43" s="277">
        <f t="shared" si="80"/>
        <v>0.68393784000000002</v>
      </c>
      <c r="H43" s="277">
        <f t="shared" si="2"/>
        <v>1</v>
      </c>
      <c r="I43" s="277">
        <f t="shared" si="81"/>
        <v>1</v>
      </c>
      <c r="J43" s="277">
        <f t="shared" si="3"/>
        <v>1</v>
      </c>
      <c r="K43" s="277">
        <f t="shared" si="4"/>
        <v>0.7933678944</v>
      </c>
      <c r="L43" s="277"/>
      <c r="N43" s="277">
        <f t="shared" si="82"/>
        <v>9.8040987625617711E-6</v>
      </c>
      <c r="O43" s="277">
        <f t="shared" si="83"/>
        <v>1.2299070546439285E-6</v>
      </c>
      <c r="P43" s="277">
        <f t="shared" si="84"/>
        <v>1.2159628103912253E-9</v>
      </c>
      <c r="Q43" s="277">
        <f t="shared" si="85"/>
        <v>2.0045446470715958E-7</v>
      </c>
      <c r="R43" s="277">
        <f t="shared" si="86"/>
        <v>7.640415332885494E-7</v>
      </c>
      <c r="S43" s="277">
        <f t="shared" si="87"/>
        <v>0.99998800028222212</v>
      </c>
      <c r="T43" s="277">
        <f t="shared" si="5"/>
        <v>1.0000000000000002</v>
      </c>
      <c r="U43" s="277">
        <f t="shared" si="6"/>
        <v>1.19997177780118E-5</v>
      </c>
      <c r="V43" s="290"/>
      <c r="W43" s="277"/>
      <c r="X43" s="277">
        <f t="shared" si="11"/>
        <v>6.24502541820326E-6</v>
      </c>
      <c r="Y43" s="277">
        <f t="shared" si="12"/>
        <v>7.9240771492433228E-7</v>
      </c>
      <c r="Z43" s="277">
        <f t="shared" si="13"/>
        <v>6.0798140519561266E-10</v>
      </c>
      <c r="AA43" s="277">
        <f t="shared" si="14"/>
        <v>1.2914932370313703E-7</v>
      </c>
      <c r="AB43" s="277">
        <f t="shared" si="15"/>
        <v>4.6095852203890746E-7</v>
      </c>
      <c r="AC43" s="277">
        <f t="shared" si="16"/>
        <v>0.99999237185103984</v>
      </c>
      <c r="AD43" s="277">
        <f t="shared" si="17"/>
        <v>1</v>
      </c>
      <c r="AE43" s="277">
        <f t="shared" si="18"/>
        <v>7.6281489602748321E-6</v>
      </c>
      <c r="AF43" s="277"/>
      <c r="AG43" s="290"/>
      <c r="AH43" s="277">
        <f t="shared" si="19"/>
        <v>0.51548891330400004</v>
      </c>
      <c r="AI43" s="277">
        <f t="shared" si="20"/>
        <v>0.47691907774800008</v>
      </c>
      <c r="AJ43" s="277">
        <f t="shared" si="21"/>
        <v>0.502632301452</v>
      </c>
      <c r="AK43" s="277">
        <f t="shared" si="22"/>
        <v>0.43039038723600004</v>
      </c>
      <c r="AL43" s="277">
        <f t="shared" si="23"/>
        <v>0.43039038723600004</v>
      </c>
      <c r="AM43" s="277">
        <v>0</v>
      </c>
      <c r="AN43" s="282"/>
      <c r="AP43" s="277">
        <f t="shared" si="24"/>
        <v>9.9113103909804187E-6</v>
      </c>
      <c r="AQ43" s="277">
        <f t="shared" si="25"/>
        <v>1.2433565660498604E-6</v>
      </c>
      <c r="AR43" s="277">
        <f t="shared" si="26"/>
        <v>1.2237446013351022E-9</v>
      </c>
      <c r="AS43" s="277">
        <f t="shared" si="27"/>
        <v>2.0264651214624795E-7</v>
      </c>
      <c r="AT43" s="277">
        <f t="shared" si="28"/>
        <v>7.7055841375727594E-7</v>
      </c>
      <c r="AU43" s="277">
        <f t="shared" si="29"/>
        <v>0.99998787090437269</v>
      </c>
      <c r="AV43" s="277">
        <f t="shared" si="7"/>
        <v>1.0000000000000002</v>
      </c>
      <c r="AW43" s="277">
        <f t="shared" si="8"/>
        <v>1.2129095627535138E-5</v>
      </c>
      <c r="AX43" s="289"/>
      <c r="AY43" s="277">
        <f t="shared" si="88"/>
        <v>6.3133171970619289E-6</v>
      </c>
      <c r="AZ43" s="277">
        <f t="shared" si="89"/>
        <v>8.0107300110167576E-7</v>
      </c>
      <c r="BA43" s="277">
        <f t="shared" si="90"/>
        <v>6.1187230066755108E-10</v>
      </c>
      <c r="BB43" s="277">
        <f t="shared" si="91"/>
        <v>1.305616217265162E-7</v>
      </c>
      <c r="BC43" s="277">
        <f t="shared" si="92"/>
        <v>4.6489026063986893E-7</v>
      </c>
      <c r="BD43" s="277">
        <f t="shared" si="93"/>
        <v>0.99999228954604735</v>
      </c>
      <c r="BE43" s="277">
        <f t="shared" si="31"/>
        <v>1.0000000000000002</v>
      </c>
      <c r="BF43" s="277">
        <f t="shared" si="32"/>
        <v>7.7104539528306572E-6</v>
      </c>
      <c r="BG43" s="349"/>
      <c r="BH43" s="350"/>
      <c r="BJ43" s="283">
        <f t="shared" si="33"/>
        <v>3.5073631964333348E-3</v>
      </c>
      <c r="BK43" s="283">
        <f t="shared" si="34"/>
        <v>2.3814656878195896E-3</v>
      </c>
      <c r="BL43" s="283">
        <f t="shared" si="35"/>
        <v>6.5273680683262557E-7</v>
      </c>
      <c r="BM43" s="283">
        <f t="shared" si="36"/>
        <v>1.4085263755422414E-3</v>
      </c>
      <c r="BN43" s="283">
        <f t="shared" si="37"/>
        <v>1.9060756893027871E-3</v>
      </c>
      <c r="BO43" s="283">
        <f t="shared" si="38"/>
        <v>0</v>
      </c>
      <c r="BP43" s="283">
        <f t="shared" si="9"/>
        <v>9.2040836859047861E-3</v>
      </c>
      <c r="BQ43" s="342"/>
      <c r="BR43" s="283">
        <f t="shared" si="39"/>
        <v>2.2341239968163575E-3</v>
      </c>
      <c r="BS43" s="283">
        <f t="shared" si="40"/>
        <v>1.5343369051591933E-3</v>
      </c>
      <c r="BT43" s="283">
        <f t="shared" si="41"/>
        <v>3.2636840341631278E-7</v>
      </c>
      <c r="BU43" s="283">
        <f t="shared" si="42"/>
        <v>9.0748903540293182E-4</v>
      </c>
      <c r="BV43" s="283">
        <f t="shared" si="43"/>
        <v>1.1499660612081968E-3</v>
      </c>
      <c r="BW43" s="283">
        <f t="shared" si="94"/>
        <v>0</v>
      </c>
      <c r="BX43" s="285">
        <f t="shared" si="44"/>
        <v>5.826242366990096E-3</v>
      </c>
      <c r="BY43" s="285"/>
      <c r="CA43" s="283">
        <f t="shared" si="45"/>
        <v>3.5457175754386922E-3</v>
      </c>
      <c r="CB43" s="283">
        <f t="shared" si="46"/>
        <v>2.4075079402078709E-3</v>
      </c>
      <c r="CC43" s="283">
        <f t="shared" si="47"/>
        <v>6.5691412321824026E-7</v>
      </c>
      <c r="CD43" s="283">
        <f t="shared" si="48"/>
        <v>1.4239291586077437E-3</v>
      </c>
      <c r="CE43" s="283">
        <f t="shared" si="49"/>
        <v>1.9223335324832058E-3</v>
      </c>
      <c r="CF43" s="283">
        <f t="shared" si="50"/>
        <v>0</v>
      </c>
      <c r="CG43" s="283">
        <f t="shared" si="51"/>
        <v>9.3001451208607304E-3</v>
      </c>
      <c r="CH43" s="283"/>
      <c r="CI43" s="298"/>
      <c r="CJ43" s="283">
        <f t="shared" si="52"/>
        <v>2.2585550105779194E-3</v>
      </c>
      <c r="CK43" s="283">
        <f t="shared" si="53"/>
        <v>1.5511154752377717E-3</v>
      </c>
      <c r="CL43" s="283">
        <f t="shared" si="54"/>
        <v>3.2845706160912013E-7</v>
      </c>
      <c r="CM43" s="283">
        <f t="shared" si="55"/>
        <v>9.1741278052360955E-4</v>
      </c>
      <c r="CN43" s="283">
        <f t="shared" si="56"/>
        <v>1.1597746789828482E-3</v>
      </c>
      <c r="CO43" s="283">
        <f t="shared" si="57"/>
        <v>0</v>
      </c>
      <c r="CP43" s="283">
        <f t="shared" si="95"/>
        <v>5.8871864023837574E-3</v>
      </c>
      <c r="CR43" s="277">
        <f t="shared" si="58"/>
        <v>1.5691162275631044E-6</v>
      </c>
      <c r="CS43" s="277">
        <f t="shared" si="59"/>
        <v>1.8211473872253386E-7</v>
      </c>
      <c r="CT43" s="277">
        <f t="shared" si="60"/>
        <v>1.8975743200836193E-10</v>
      </c>
      <c r="CU43" s="277">
        <f t="shared" si="61"/>
        <v>2.6785909892958581E-8</v>
      </c>
      <c r="CV43" s="277">
        <f t="shared" si="62"/>
        <v>1.0209574376426466E-7</v>
      </c>
      <c r="CW43" s="277">
        <v>0</v>
      </c>
      <c r="CX43" s="277">
        <f t="shared" si="10"/>
        <v>1.88030237737487E-6</v>
      </c>
      <c r="CY43" s="277"/>
      <c r="CZ43" s="351"/>
      <c r="DA43" s="277">
        <f t="shared" si="63"/>
        <v>9.9949734927867187E-7</v>
      </c>
      <c r="DB43" s="277">
        <f t="shared" si="64"/>
        <v>1.1733335736247477E-7</v>
      </c>
      <c r="DC43" s="277">
        <f t="shared" si="65"/>
        <v>9.4878716004180967E-11</v>
      </c>
      <c r="DD43" s="277">
        <f t="shared" si="66"/>
        <v>1.725769566920108E-8</v>
      </c>
      <c r="DE43" s="277">
        <f t="shared" si="67"/>
        <v>6.159600113553637E-8</v>
      </c>
      <c r="DF43" s="277">
        <v>0</v>
      </c>
      <c r="DG43" s="277">
        <f t="shared" si="68"/>
        <v>1.1957792821618884E-6</v>
      </c>
      <c r="DJ43" s="277">
        <f t="shared" si="69"/>
        <v>1.5862751230423669E-6</v>
      </c>
      <c r="DK43" s="277">
        <f t="shared" si="70"/>
        <v>1.8410623413382421E-7</v>
      </c>
      <c r="DL43" s="277">
        <f t="shared" si="71"/>
        <v>1.909718216700498E-10</v>
      </c>
      <c r="DM43" s="277">
        <f t="shared" si="72"/>
        <v>2.7078824222755567E-8</v>
      </c>
      <c r="DN43" s="277">
        <f t="shared" si="73"/>
        <v>1.029665678353249E-7</v>
      </c>
      <c r="DO43" s="277">
        <f t="shared" si="74"/>
        <v>0</v>
      </c>
      <c r="DP43" s="277">
        <f t="shared" si="96"/>
        <v>1.9006177210559417E-6</v>
      </c>
      <c r="DQ43" s="351"/>
      <c r="DS43" s="277">
        <f t="shared" si="75"/>
        <v>1.0104272410526597E-6</v>
      </c>
      <c r="DT43" s="277">
        <f t="shared" si="76"/>
        <v>1.18616443203949E-7</v>
      </c>
      <c r="DU43" s="277">
        <f t="shared" si="77"/>
        <v>9.5485910835024898E-11</v>
      </c>
      <c r="DV43" s="277">
        <f t="shared" si="78"/>
        <v>1.7446415275179937E-8</v>
      </c>
      <c r="DW43" s="277">
        <f t="shared" si="79"/>
        <v>6.2121383276771672E-8</v>
      </c>
      <c r="DX43" s="277">
        <f t="shared" si="97"/>
        <v>0</v>
      </c>
      <c r="DY43" s="302">
        <f t="shared" si="98"/>
        <v>1.2087069687193955E-6</v>
      </c>
    </row>
    <row r="44" spans="2:129" x14ac:dyDescent="0.15">
      <c r="B44" s="358" t="s">
        <v>707</v>
      </c>
      <c r="C44" s="137">
        <v>35</v>
      </c>
      <c r="D44" s="137">
        <v>99</v>
      </c>
      <c r="E44" s="278">
        <f t="shared" si="0"/>
        <v>3.6200000000000003E-2</v>
      </c>
      <c r="F44" s="278">
        <f t="shared" si="1"/>
        <v>5.8999999999999999E-3</v>
      </c>
      <c r="G44" s="277">
        <f t="shared" si="80"/>
        <v>0.74198712</v>
      </c>
      <c r="H44" s="277">
        <f t="shared" si="2"/>
        <v>1</v>
      </c>
      <c r="I44" s="277">
        <f t="shared" si="81"/>
        <v>1</v>
      </c>
      <c r="J44" s="277">
        <f t="shared" si="3"/>
        <v>1</v>
      </c>
      <c r="K44" s="277">
        <f t="shared" si="4"/>
        <v>0.86070505919999996</v>
      </c>
      <c r="L44" s="277"/>
      <c r="N44" s="277">
        <f t="shared" si="82"/>
        <v>2.6859520738447497E-6</v>
      </c>
      <c r="O44" s="277">
        <f t="shared" si="83"/>
        <v>3.5490837520473615E-7</v>
      </c>
      <c r="P44" s="277">
        <f t="shared" si="84"/>
        <v>0</v>
      </c>
      <c r="Q44" s="277">
        <f t="shared" si="85"/>
        <v>5.7844182699114449E-8</v>
      </c>
      <c r="R44" s="277">
        <f t="shared" si="86"/>
        <v>1.5787551078926551E-7</v>
      </c>
      <c r="S44" s="277">
        <f t="shared" si="87"/>
        <v>0.99999674341985756</v>
      </c>
      <c r="T44" s="277">
        <f t="shared" si="5"/>
        <v>1</v>
      </c>
      <c r="U44" s="277">
        <f t="shared" si="6"/>
        <v>3.2565801425378655E-6</v>
      </c>
      <c r="V44" s="290"/>
      <c r="W44" s="277"/>
      <c r="X44" s="277">
        <f t="shared" si="11"/>
        <v>1.6329418608252711E-6</v>
      </c>
      <c r="Y44" s="277">
        <f t="shared" si="12"/>
        <v>2.2606992013895804E-7</v>
      </c>
      <c r="Z44" s="277">
        <f t="shared" si="13"/>
        <v>0</v>
      </c>
      <c r="AA44" s="277">
        <f t="shared" si="14"/>
        <v>3.6845649967399236E-8</v>
      </c>
      <c r="AB44" s="277">
        <f t="shared" si="15"/>
        <v>8.993338535921301E-8</v>
      </c>
      <c r="AC44" s="277">
        <f t="shared" si="16"/>
        <v>0.99999801420918377</v>
      </c>
      <c r="AD44" s="277">
        <f t="shared" si="17"/>
        <v>1</v>
      </c>
      <c r="AE44" s="277">
        <f t="shared" si="18"/>
        <v>1.9857908162908413E-6</v>
      </c>
      <c r="AF44" s="277"/>
      <c r="AG44" s="290"/>
      <c r="AH44" s="277">
        <f t="shared" si="19"/>
        <v>0.509685798784</v>
      </c>
      <c r="AI44" s="277">
        <f t="shared" si="20"/>
        <v>0.47155016300800007</v>
      </c>
      <c r="AJ44" s="277">
        <f t="shared" si="21"/>
        <v>0.49697392019200004</v>
      </c>
      <c r="AK44" s="277">
        <f t="shared" si="22"/>
        <v>0.42554526905599999</v>
      </c>
      <c r="AL44" s="277">
        <f t="shared" si="23"/>
        <v>0.42554526905599999</v>
      </c>
      <c r="AM44" s="277">
        <v>0</v>
      </c>
      <c r="AN44" s="282"/>
      <c r="AP44" s="277">
        <f t="shared" si="24"/>
        <v>2.7153240031434391E-6</v>
      </c>
      <c r="AQ44" s="277">
        <f t="shared" si="25"/>
        <v>3.5878943615349118E-7</v>
      </c>
      <c r="AR44" s="277">
        <f t="shared" si="26"/>
        <v>0</v>
      </c>
      <c r="AS44" s="277">
        <f t="shared" si="27"/>
        <v>5.8476731306784466E-8</v>
      </c>
      <c r="AT44" s="277">
        <f t="shared" si="28"/>
        <v>1.5922210752246192E-7</v>
      </c>
      <c r="AU44" s="277">
        <f t="shared" si="29"/>
        <v>0.99999670818772202</v>
      </c>
      <c r="AV44" s="277">
        <f t="shared" si="7"/>
        <v>1.0000000000000002</v>
      </c>
      <c r="AW44" s="277">
        <f t="shared" si="8"/>
        <v>3.2918122781261768E-6</v>
      </c>
      <c r="AX44" s="289"/>
      <c r="AY44" s="277">
        <f t="shared" si="88"/>
        <v>1.650798714397634E-6</v>
      </c>
      <c r="AZ44" s="277">
        <f t="shared" si="89"/>
        <v>2.2854208253364184E-7</v>
      </c>
      <c r="BA44" s="277">
        <f t="shared" si="90"/>
        <v>0</v>
      </c>
      <c r="BB44" s="277">
        <f t="shared" si="91"/>
        <v>3.7248571462665381E-8</v>
      </c>
      <c r="BC44" s="277">
        <f t="shared" si="92"/>
        <v>9.0700470781927251E-8</v>
      </c>
      <c r="BD44" s="277">
        <f t="shared" si="93"/>
        <v>0.99999799271016099</v>
      </c>
      <c r="BE44" s="277">
        <f t="shared" si="31"/>
        <v>1.0000000000000002</v>
      </c>
      <c r="BF44" s="277">
        <f t="shared" si="32"/>
        <v>2.0072898391758681E-6</v>
      </c>
      <c r="BG44" s="349"/>
      <c r="BH44" s="350"/>
      <c r="BJ44" s="283">
        <f t="shared" si="33"/>
        <v>9.2839110840519875E-4</v>
      </c>
      <c r="BK44" s="283">
        <f t="shared" si="34"/>
        <v>6.6396920048192992E-4</v>
      </c>
      <c r="BL44" s="283">
        <f t="shared" si="35"/>
        <v>0</v>
      </c>
      <c r="BM44" s="283">
        <f t="shared" si="36"/>
        <v>3.9270695194552858E-4</v>
      </c>
      <c r="BN44" s="283">
        <f t="shared" si="37"/>
        <v>3.805376165348855E-4</v>
      </c>
      <c r="BO44" s="283">
        <f t="shared" si="38"/>
        <v>0</v>
      </c>
      <c r="BP44" s="283">
        <f t="shared" si="9"/>
        <v>2.3656048773675427E-3</v>
      </c>
      <c r="BQ44" s="342"/>
      <c r="BR44" s="283">
        <f t="shared" si="39"/>
        <v>5.6442135319367869E-4</v>
      </c>
      <c r="BS44" s="283">
        <f t="shared" si="40"/>
        <v>4.2293581840971629E-4</v>
      </c>
      <c r="BT44" s="283">
        <f t="shared" si="41"/>
        <v>0</v>
      </c>
      <c r="BU44" s="283">
        <f t="shared" si="42"/>
        <v>2.5014689837377086E-4</v>
      </c>
      <c r="BV44" s="283">
        <f t="shared" si="43"/>
        <v>2.1677229065114275E-4</v>
      </c>
      <c r="BW44" s="283">
        <f t="shared" si="94"/>
        <v>0</v>
      </c>
      <c r="BX44" s="285">
        <f t="shared" si="44"/>
        <v>1.4542763606283087E-3</v>
      </c>
      <c r="BY44" s="285"/>
      <c r="CA44" s="283">
        <f t="shared" si="45"/>
        <v>9.3854342581366841E-4</v>
      </c>
      <c r="CB44" s="283">
        <f t="shared" si="46"/>
        <v>6.7122996161127766E-4</v>
      </c>
      <c r="CC44" s="283">
        <f t="shared" si="47"/>
        <v>0</v>
      </c>
      <c r="CD44" s="283">
        <f t="shared" si="48"/>
        <v>3.9700135501398584E-4</v>
      </c>
      <c r="CE44" s="283">
        <f t="shared" si="49"/>
        <v>3.8378340626327612E-4</v>
      </c>
      <c r="CF44" s="283">
        <f t="shared" si="50"/>
        <v>0</v>
      </c>
      <c r="CG44" s="283">
        <f t="shared" si="51"/>
        <v>2.3905581487022078E-3</v>
      </c>
      <c r="CH44" s="283"/>
      <c r="CI44" s="298"/>
      <c r="CJ44" s="283">
        <f t="shared" si="52"/>
        <v>5.7059351994308196E-4</v>
      </c>
      <c r="CK44" s="283">
        <f t="shared" si="53"/>
        <v>4.2756078587551018E-4</v>
      </c>
      <c r="CL44" s="283">
        <f t="shared" si="54"/>
        <v>0</v>
      </c>
      <c r="CM44" s="283">
        <f t="shared" si="55"/>
        <v>2.5288235187827208E-4</v>
      </c>
      <c r="CN44" s="283">
        <f t="shared" si="56"/>
        <v>2.1862124655937077E-4</v>
      </c>
      <c r="CO44" s="283">
        <f t="shared" si="57"/>
        <v>0</v>
      </c>
      <c r="CP44" s="283">
        <f t="shared" si="95"/>
        <v>1.4696579042562349E-3</v>
      </c>
      <c r="CR44" s="277">
        <f t="shared" si="58"/>
        <v>4.1066581227963576E-7</v>
      </c>
      <c r="CS44" s="277">
        <f t="shared" si="59"/>
        <v>5.0203258288366741E-8</v>
      </c>
      <c r="CT44" s="277">
        <f t="shared" si="60"/>
        <v>0</v>
      </c>
      <c r="CU44" s="277">
        <f t="shared" si="61"/>
        <v>7.3840259293561884E-9</v>
      </c>
      <c r="CV44" s="277">
        <f t="shared" si="62"/>
        <v>2.015339850754147E-8</v>
      </c>
      <c r="CW44" s="277">
        <v>0</v>
      </c>
      <c r="CX44" s="277">
        <f t="shared" si="10"/>
        <v>4.8840649500490009E-7</v>
      </c>
      <c r="CY44" s="277"/>
      <c r="CZ44" s="351"/>
      <c r="DA44" s="277">
        <f t="shared" si="63"/>
        <v>2.4966692526323561E-7</v>
      </c>
      <c r="DB44" s="277">
        <f t="shared" si="64"/>
        <v>3.1978525684042793E-8</v>
      </c>
      <c r="DC44" s="277">
        <f t="shared" si="65"/>
        <v>0</v>
      </c>
      <c r="DD44" s="277">
        <f t="shared" si="66"/>
        <v>4.7034848112293092E-9</v>
      </c>
      <c r="DE44" s="277">
        <f t="shared" si="67"/>
        <v>1.1480332479784135E-8</v>
      </c>
      <c r="DF44" s="277">
        <v>0</v>
      </c>
      <c r="DG44" s="277">
        <f t="shared" si="68"/>
        <v>2.9782926823829181E-7</v>
      </c>
      <c r="DJ44" s="277">
        <f t="shared" si="69"/>
        <v>4.1515660246205343E-7</v>
      </c>
      <c r="DK44" s="277">
        <f t="shared" si="70"/>
        <v>5.0752250419450832E-8</v>
      </c>
      <c r="DL44" s="277">
        <f t="shared" si="71"/>
        <v>0</v>
      </c>
      <c r="DM44" s="277">
        <f t="shared" si="72"/>
        <v>7.464773121254624E-9</v>
      </c>
      <c r="DN44" s="277">
        <f t="shared" si="73"/>
        <v>2.0325296609136759E-8</v>
      </c>
      <c r="DO44" s="277">
        <f t="shared" si="74"/>
        <v>0</v>
      </c>
      <c r="DP44" s="277">
        <f t="shared" si="96"/>
        <v>4.9369892261189558E-7</v>
      </c>
      <c r="DQ44" s="351"/>
      <c r="DS44" s="277">
        <f t="shared" si="75"/>
        <v>2.5239713007532519E-7</v>
      </c>
      <c r="DT44" s="277">
        <f t="shared" si="76"/>
        <v>3.232822328461224E-8</v>
      </c>
      <c r="DU44" s="277">
        <f t="shared" si="77"/>
        <v>0</v>
      </c>
      <c r="DV44" s="277">
        <f t="shared" si="78"/>
        <v>4.7549192447317422E-9</v>
      </c>
      <c r="DW44" s="277">
        <f t="shared" si="79"/>
        <v>1.1578253798524451E-8</v>
      </c>
      <c r="DX44" s="277">
        <f t="shared" si="97"/>
        <v>0</v>
      </c>
      <c r="DY44" s="302">
        <f t="shared" si="98"/>
        <v>3.0105852640319358E-7</v>
      </c>
    </row>
    <row r="45" spans="2:129" x14ac:dyDescent="0.15">
      <c r="B45" s="358" t="s">
        <v>707</v>
      </c>
      <c r="C45" s="137">
        <v>36</v>
      </c>
      <c r="D45" s="137">
        <v>100</v>
      </c>
      <c r="E45" s="278">
        <f t="shared" si="0"/>
        <v>3.6200000000000003E-2</v>
      </c>
      <c r="F45" s="278">
        <f t="shared" si="1"/>
        <v>5.8999999999999999E-3</v>
      </c>
      <c r="G45" s="277">
        <f t="shared" si="80"/>
        <v>0.77829815999999996</v>
      </c>
      <c r="H45" s="277">
        <f t="shared" si="2"/>
        <v>1</v>
      </c>
      <c r="I45" s="277">
        <f t="shared" si="81"/>
        <v>1</v>
      </c>
      <c r="J45" s="277">
        <f t="shared" si="3"/>
        <v>1</v>
      </c>
      <c r="K45" s="277">
        <f t="shared" si="4"/>
        <v>0.90282586559999989</v>
      </c>
      <c r="L45" s="277"/>
      <c r="N45" s="277">
        <f t="shared" si="82"/>
        <v>5.7993164780579247E-7</v>
      </c>
      <c r="O45" s="277">
        <f t="shared" si="83"/>
        <v>9.7231465073179939E-8</v>
      </c>
      <c r="P45" s="277">
        <f t="shared" si="84"/>
        <v>0</v>
      </c>
      <c r="Q45" s="277">
        <f t="shared" si="85"/>
        <v>1.5847117235684023E-8</v>
      </c>
      <c r="R45" s="277">
        <f t="shared" si="86"/>
        <v>2.1991259929160509E-8</v>
      </c>
      <c r="S45" s="277">
        <f t="shared" si="87"/>
        <v>0.9999992849985101</v>
      </c>
      <c r="T45" s="277">
        <f t="shared" si="5"/>
        <v>1.0000000000000002</v>
      </c>
      <c r="U45" s="277">
        <f t="shared" si="6"/>
        <v>7.1500149004381695E-7</v>
      </c>
      <c r="V45" s="290"/>
      <c r="W45" s="277"/>
      <c r="X45" s="277">
        <f t="shared" si="11"/>
        <v>3.4204421941297236E-7</v>
      </c>
      <c r="Y45" s="277">
        <f t="shared" si="12"/>
        <v>5.9112495361874818E-8</v>
      </c>
      <c r="Z45" s="277">
        <f t="shared" si="13"/>
        <v>0</v>
      </c>
      <c r="AA45" s="277">
        <f t="shared" si="14"/>
        <v>9.6343569788690989E-9</v>
      </c>
      <c r="AB45" s="277">
        <f t="shared" si="15"/>
        <v>1.2064120788571044E-8</v>
      </c>
      <c r="AC45" s="277">
        <f t="shared" si="16"/>
        <v>0.99999957714480758</v>
      </c>
      <c r="AD45" s="277">
        <f t="shared" si="17"/>
        <v>1.0000000000000002</v>
      </c>
      <c r="AE45" s="277">
        <f t="shared" si="18"/>
        <v>4.2285519254228732E-7</v>
      </c>
      <c r="AF45" s="277"/>
      <c r="AG45" s="290"/>
      <c r="AH45" s="277">
        <f t="shared" si="19"/>
        <v>0.50382677546400001</v>
      </c>
      <c r="AI45" s="277">
        <f t="shared" si="20"/>
        <v>0.46612952266800006</v>
      </c>
      <c r="AJ45" s="277">
        <f t="shared" si="21"/>
        <v>0.49126102453200005</v>
      </c>
      <c r="AK45" s="277">
        <f t="shared" si="22"/>
        <v>0.42065347167599998</v>
      </c>
      <c r="AL45" s="277">
        <f t="shared" si="23"/>
        <v>0.42065347167599998</v>
      </c>
      <c r="AM45" s="277">
        <v>0</v>
      </c>
      <c r="AN45" s="282"/>
      <c r="AP45" s="277">
        <f t="shared" si="24"/>
        <v>5.8627342565182897E-7</v>
      </c>
      <c r="AQ45" s="277">
        <f t="shared" si="25"/>
        <v>9.8294728913792498E-8</v>
      </c>
      <c r="AR45" s="277">
        <f t="shared" si="26"/>
        <v>0</v>
      </c>
      <c r="AS45" s="277">
        <f t="shared" si="27"/>
        <v>1.6020411618546292E-8</v>
      </c>
      <c r="AT45" s="277">
        <f t="shared" si="28"/>
        <v>2.2178834041392577E-8</v>
      </c>
      <c r="AU45" s="277">
        <f t="shared" si="29"/>
        <v>0.99999927723259996</v>
      </c>
      <c r="AV45" s="277">
        <f t="shared" si="7"/>
        <v>1.0000000000000002</v>
      </c>
      <c r="AW45" s="277">
        <f t="shared" si="8"/>
        <v>7.2276740022556032E-7</v>
      </c>
      <c r="AX45" s="289"/>
      <c r="AY45" s="277">
        <f t="shared" si="88"/>
        <v>3.4578460582100033E-7</v>
      </c>
      <c r="AZ45" s="277">
        <f t="shared" si="89"/>
        <v>5.9758913461194353E-8</v>
      </c>
      <c r="BA45" s="277">
        <f t="shared" si="90"/>
        <v>0</v>
      </c>
      <c r="BB45" s="277">
        <f t="shared" si="91"/>
        <v>9.7397124149460411E-9</v>
      </c>
      <c r="BC45" s="277">
        <f t="shared" si="92"/>
        <v>1.2167021520683078E-8</v>
      </c>
      <c r="BD45" s="277">
        <f t="shared" si="93"/>
        <v>0.99999957254974703</v>
      </c>
      <c r="BE45" s="277">
        <f t="shared" si="31"/>
        <v>1.0000000000000002</v>
      </c>
      <c r="BF45" s="277">
        <f t="shared" si="32"/>
        <v>4.2745025321782384E-7</v>
      </c>
      <c r="BG45" s="349"/>
      <c r="BH45" s="350"/>
      <c r="BJ45" s="283">
        <f t="shared" si="33"/>
        <v>1.936730415286557E-4</v>
      </c>
      <c r="BK45" s="283">
        <f t="shared" si="34"/>
        <v>1.7575114621980924E-4</v>
      </c>
      <c r="BL45" s="283">
        <f t="shared" si="35"/>
        <v>0</v>
      </c>
      <c r="BM45" s="283">
        <f t="shared" si="36"/>
        <v>1.039486423207857E-4</v>
      </c>
      <c r="BN45" s="283">
        <f t="shared" si="37"/>
        <v>5.1214458712463767E-5</v>
      </c>
      <c r="BO45" s="283">
        <f t="shared" si="38"/>
        <v>0</v>
      </c>
      <c r="BP45" s="283">
        <f t="shared" si="9"/>
        <v>5.2458728878171444E-4</v>
      </c>
      <c r="BQ45" s="342"/>
      <c r="BR45" s="283">
        <f t="shared" si="39"/>
        <v>1.1422853807279932E-4</v>
      </c>
      <c r="BS45" s="283">
        <f t="shared" si="40"/>
        <v>1.0684904118171467E-4</v>
      </c>
      <c r="BT45" s="283">
        <f t="shared" si="41"/>
        <v>0</v>
      </c>
      <c r="BU45" s="283">
        <f t="shared" si="42"/>
        <v>6.3196246528178212E-5</v>
      </c>
      <c r="BV45" s="283">
        <f t="shared" si="43"/>
        <v>2.8095589703305987E-5</v>
      </c>
      <c r="BW45" s="283">
        <f t="shared" si="94"/>
        <v>0</v>
      </c>
      <c r="BX45" s="285">
        <f t="shared" si="44"/>
        <v>3.123694154859982E-4</v>
      </c>
      <c r="BY45" s="285"/>
      <c r="CA45" s="283">
        <f t="shared" si="45"/>
        <v>1.9579093147101015E-4</v>
      </c>
      <c r="CB45" s="283">
        <f t="shared" si="46"/>
        <v>1.7767305327511367E-4</v>
      </c>
      <c r="CC45" s="283">
        <f t="shared" si="47"/>
        <v>0</v>
      </c>
      <c r="CD45" s="283">
        <f t="shared" si="48"/>
        <v>1.0508536110392114E-4</v>
      </c>
      <c r="CE45" s="283">
        <f t="shared" si="49"/>
        <v>5.1651291647792678E-5</v>
      </c>
      <c r="CF45" s="283">
        <f t="shared" si="50"/>
        <v>0</v>
      </c>
      <c r="CG45" s="283">
        <f t="shared" si="51"/>
        <v>5.3020063749783771E-4</v>
      </c>
      <c r="CH45" s="283"/>
      <c r="CI45" s="298"/>
      <c r="CJ45" s="283">
        <f t="shared" si="52"/>
        <v>1.1547767150925874E-4</v>
      </c>
      <c r="CK45" s="283">
        <f t="shared" si="53"/>
        <v>1.0801747695306846E-4</v>
      </c>
      <c r="CL45" s="283">
        <f t="shared" si="54"/>
        <v>0</v>
      </c>
      <c r="CM45" s="283">
        <f t="shared" si="55"/>
        <v>6.3887322032854356E-5</v>
      </c>
      <c r="CN45" s="283">
        <f t="shared" si="56"/>
        <v>2.833523060215444E-5</v>
      </c>
      <c r="CO45" s="283">
        <f t="shared" si="57"/>
        <v>0</v>
      </c>
      <c r="CP45" s="283">
        <f t="shared" si="95"/>
        <v>3.1571770109733603E-4</v>
      </c>
      <c r="CR45" s="277">
        <f t="shared" si="58"/>
        <v>8.4684798987930541E-8</v>
      </c>
      <c r="CS45" s="277">
        <f t="shared" si="59"/>
        <v>1.3135930661228425E-8</v>
      </c>
      <c r="CT45" s="277">
        <f t="shared" si="60"/>
        <v>0</v>
      </c>
      <c r="CU45" s="277">
        <f t="shared" si="61"/>
        <v>1.9320668800337991E-9</v>
      </c>
      <c r="CV45" s="277">
        <f t="shared" si="62"/>
        <v>2.6811554636366945E-9</v>
      </c>
      <c r="CW45" s="277">
        <v>0</v>
      </c>
      <c r="CX45" s="277">
        <f t="shared" si="10"/>
        <v>1.0243395199282946E-7</v>
      </c>
      <c r="CY45" s="277"/>
      <c r="CZ45" s="351"/>
      <c r="DA45" s="277">
        <f t="shared" si="63"/>
        <v>4.9947172353096503E-8</v>
      </c>
      <c r="DB45" s="277">
        <f t="shared" si="64"/>
        <v>7.9860736408872794E-9</v>
      </c>
      <c r="DC45" s="277">
        <f t="shared" si="65"/>
        <v>0</v>
      </c>
      <c r="DD45" s="277">
        <f t="shared" si="66"/>
        <v>1.1746125022272555E-9</v>
      </c>
      <c r="DE45" s="277">
        <f t="shared" si="67"/>
        <v>1.4708472125037106E-9</v>
      </c>
      <c r="DF45" s="277">
        <v>0</v>
      </c>
      <c r="DG45" s="277">
        <f t="shared" si="68"/>
        <v>6.0578705708714748E-8</v>
      </c>
      <c r="DJ45" s="277">
        <f t="shared" si="69"/>
        <v>8.561086016108721E-8</v>
      </c>
      <c r="DK45" s="277">
        <f t="shared" si="70"/>
        <v>1.3279577165725357E-8</v>
      </c>
      <c r="DL45" s="277">
        <f t="shared" si="71"/>
        <v>0</v>
      </c>
      <c r="DM45" s="277">
        <f t="shared" si="72"/>
        <v>1.9531947818877814E-9</v>
      </c>
      <c r="DN45" s="277">
        <f t="shared" si="73"/>
        <v>2.7040243377925108E-9</v>
      </c>
      <c r="DO45" s="277">
        <f t="shared" si="74"/>
        <v>0</v>
      </c>
      <c r="DP45" s="277">
        <f t="shared" si="96"/>
        <v>1.0354765644649286E-7</v>
      </c>
      <c r="DQ45" s="351"/>
      <c r="DS45" s="277">
        <f t="shared" si="75"/>
        <v>5.0493364085000588E-8</v>
      </c>
      <c r="DT45" s="277">
        <f t="shared" si="76"/>
        <v>8.0734044583796784E-9</v>
      </c>
      <c r="DU45" s="277">
        <f t="shared" si="77"/>
        <v>0</v>
      </c>
      <c r="DV45" s="277">
        <f t="shared" si="78"/>
        <v>1.187457346223072E-9</v>
      </c>
      <c r="DW45" s="277">
        <f t="shared" si="79"/>
        <v>1.4833927811070156E-9</v>
      </c>
      <c r="DX45" s="277">
        <f t="shared" si="97"/>
        <v>0</v>
      </c>
      <c r="DY45" s="302">
        <f t="shared" si="98"/>
        <v>6.123761867071036E-8</v>
      </c>
    </row>
    <row r="46" spans="2:129" x14ac:dyDescent="0.15">
      <c r="B46" s="358" t="s">
        <v>707</v>
      </c>
      <c r="C46" s="137">
        <v>37</v>
      </c>
      <c r="D46" s="137">
        <v>101</v>
      </c>
      <c r="E46" s="278">
        <f t="shared" si="0"/>
        <v>3.6200000000000003E-2</v>
      </c>
      <c r="F46" s="278">
        <f t="shared" si="1"/>
        <v>5.8999999999999999E-3</v>
      </c>
      <c r="G46" s="277">
        <f t="shared" si="80"/>
        <v>0.77829815999999996</v>
      </c>
      <c r="H46" s="277">
        <f t="shared" si="2"/>
        <v>1</v>
      </c>
      <c r="I46" s="277">
        <f t="shared" si="81"/>
        <v>1</v>
      </c>
      <c r="J46" s="277">
        <f t="shared" si="3"/>
        <v>1</v>
      </c>
      <c r="K46" s="277">
        <f t="shared" si="4"/>
        <v>0.90282586559999989</v>
      </c>
      <c r="L46" s="277"/>
      <c r="N46" s="277">
        <f t="shared" si="82"/>
        <v>1.041567910201523E-7</v>
      </c>
      <c r="O46" s="277">
        <f t="shared" si="83"/>
        <v>2.099352565056969E-8</v>
      </c>
      <c r="P46" s="277">
        <f t="shared" si="84"/>
        <v>0</v>
      </c>
      <c r="Q46" s="277">
        <f t="shared" si="85"/>
        <v>3.4215967220541754E-9</v>
      </c>
      <c r="R46" s="277">
        <f t="shared" si="86"/>
        <v>2.1369816479815795E-9</v>
      </c>
      <c r="S46" s="277">
        <f t="shared" si="87"/>
        <v>0.99999986929110518</v>
      </c>
      <c r="T46" s="277">
        <f t="shared" si="5"/>
        <v>1.0000000000000002</v>
      </c>
      <c r="U46" s="277">
        <f t="shared" si="6"/>
        <v>1.3070889504075774E-7</v>
      </c>
      <c r="V46" s="290"/>
      <c r="W46" s="277"/>
      <c r="X46" s="277">
        <f t="shared" si="11"/>
        <v>6.1431771167933566E-8</v>
      </c>
      <c r="Y46" s="277">
        <f t="shared" si="12"/>
        <v>1.2382000742749602E-8</v>
      </c>
      <c r="Z46" s="277">
        <f t="shared" si="13"/>
        <v>0</v>
      </c>
      <c r="AA46" s="277">
        <f t="shared" si="14"/>
        <v>2.0180608945365368E-9</v>
      </c>
      <c r="AB46" s="277">
        <f t="shared" si="15"/>
        <v>1.1723204949264376E-9</v>
      </c>
      <c r="AC46" s="277">
        <f t="shared" si="16"/>
        <v>0.99999992299584695</v>
      </c>
      <c r="AD46" s="277">
        <f t="shared" si="17"/>
        <v>1.0000000000000002</v>
      </c>
      <c r="AE46" s="277">
        <f t="shared" si="18"/>
        <v>7.700415330014613E-8</v>
      </c>
      <c r="AF46" s="277"/>
      <c r="AG46" s="290"/>
      <c r="AH46" s="277">
        <f t="shared" si="19"/>
        <v>0.49791184334400007</v>
      </c>
      <c r="AI46" s="277">
        <f t="shared" si="20"/>
        <v>0.46065715672800006</v>
      </c>
      <c r="AJ46" s="277">
        <f t="shared" si="21"/>
        <v>0.48549361447200007</v>
      </c>
      <c r="AK46" s="277">
        <f t="shared" si="22"/>
        <v>0.41571499509600002</v>
      </c>
      <c r="AL46" s="277">
        <f t="shared" si="23"/>
        <v>0.41571499509600002</v>
      </c>
      <c r="AM46" s="277">
        <v>0</v>
      </c>
      <c r="AN46" s="282"/>
      <c r="AP46" s="277">
        <f t="shared" si="24"/>
        <v>1.052957859901717E-7</v>
      </c>
      <c r="AQ46" s="277">
        <f t="shared" si="25"/>
        <v>2.1223098008596209E-8</v>
      </c>
      <c r="AR46" s="277">
        <f t="shared" si="26"/>
        <v>0</v>
      </c>
      <c r="AS46" s="277">
        <f t="shared" si="27"/>
        <v>3.4590132113457907E-9</v>
      </c>
      <c r="AT46" s="277">
        <f t="shared" si="28"/>
        <v>2.1552089999735788E-9</v>
      </c>
      <c r="AU46" s="277">
        <f t="shared" si="29"/>
        <v>0.9999998678668941</v>
      </c>
      <c r="AV46" s="277">
        <f t="shared" si="7"/>
        <v>1.0000000000000002</v>
      </c>
      <c r="AW46" s="277">
        <f t="shared" si="8"/>
        <v>1.3213310621008728E-7</v>
      </c>
      <c r="AX46" s="289"/>
      <c r="AY46" s="277">
        <f t="shared" si="88"/>
        <v>6.210355144912638E-8</v>
      </c>
      <c r="AZ46" s="277">
        <f t="shared" si="89"/>
        <v>1.2517402730720212E-8</v>
      </c>
      <c r="BA46" s="277">
        <f t="shared" si="90"/>
        <v>0</v>
      </c>
      <c r="BB46" s="277">
        <f t="shared" si="91"/>
        <v>2.0401291743439016E-9</v>
      </c>
      <c r="BC46" s="277">
        <f t="shared" si="92"/>
        <v>1.1823197844985506E-9</v>
      </c>
      <c r="BD46" s="277">
        <f t="shared" si="93"/>
        <v>0.99999992215659717</v>
      </c>
      <c r="BE46" s="277">
        <f t="shared" si="31"/>
        <v>1.0000000000000002</v>
      </c>
      <c r="BF46" s="277">
        <f t="shared" si="32"/>
        <v>7.7843403138689056E-8</v>
      </c>
      <c r="BG46" s="349"/>
      <c r="BH46" s="350"/>
      <c r="BJ46" s="283">
        <f t="shared" si="33"/>
        <v>3.3607762914920757E-5</v>
      </c>
      <c r="BK46" s="283">
        <f t="shared" si="34"/>
        <v>3.6663706418956647E-5</v>
      </c>
      <c r="BL46" s="283">
        <f t="shared" si="35"/>
        <v>0</v>
      </c>
      <c r="BM46" s="283">
        <f t="shared" si="36"/>
        <v>2.168487993774949E-5</v>
      </c>
      <c r="BN46" s="283">
        <f t="shared" si="37"/>
        <v>4.8084257914475447E-6</v>
      </c>
      <c r="BO46" s="283">
        <f t="shared" si="38"/>
        <v>0</v>
      </c>
      <c r="BP46" s="283">
        <f t="shared" si="9"/>
        <v>9.6764775063074441E-5</v>
      </c>
      <c r="BQ46" s="342"/>
      <c r="BR46" s="283">
        <f t="shared" si="39"/>
        <v>1.9821889486362145E-5</v>
      </c>
      <c r="BS46" s="283">
        <f t="shared" si="40"/>
        <v>2.1624287776510533E-5</v>
      </c>
      <c r="BT46" s="283">
        <f t="shared" si="41"/>
        <v>0</v>
      </c>
      <c r="BU46" s="283">
        <f t="shared" si="42"/>
        <v>1.278976213737419E-5</v>
      </c>
      <c r="BV46" s="283">
        <f t="shared" si="43"/>
        <v>2.6378402027790479E-6</v>
      </c>
      <c r="BW46" s="283">
        <f t="shared" si="94"/>
        <v>0</v>
      </c>
      <c r="BX46" s="285">
        <f t="shared" si="44"/>
        <v>5.6873779603025916E-5</v>
      </c>
      <c r="BY46" s="285"/>
      <c r="CA46" s="283">
        <f t="shared" si="45"/>
        <v>3.3975276857495011E-5</v>
      </c>
      <c r="CB46" s="283">
        <f t="shared" si="46"/>
        <v>3.7064638290843706E-5</v>
      </c>
      <c r="CC46" s="283">
        <f t="shared" si="47"/>
        <v>0</v>
      </c>
      <c r="CD46" s="283">
        <f t="shared" si="48"/>
        <v>2.1922012523466267E-5</v>
      </c>
      <c r="CE46" s="283">
        <f t="shared" si="49"/>
        <v>4.8494391850398138E-6</v>
      </c>
      <c r="CF46" s="283">
        <f t="shared" si="50"/>
        <v>0</v>
      </c>
      <c r="CG46" s="283">
        <f t="shared" si="51"/>
        <v>9.7811366856844791E-5</v>
      </c>
      <c r="CH46" s="283"/>
      <c r="CI46" s="298"/>
      <c r="CJ46" s="283">
        <f t="shared" si="52"/>
        <v>2.0038649547805266E-5</v>
      </c>
      <c r="CK46" s="283">
        <f t="shared" si="53"/>
        <v>2.1860757763406843E-5</v>
      </c>
      <c r="CL46" s="283">
        <f t="shared" si="54"/>
        <v>0</v>
      </c>
      <c r="CM46" s="283">
        <f t="shared" si="55"/>
        <v>1.2929623154591928E-5</v>
      </c>
      <c r="CN46" s="283">
        <f t="shared" si="56"/>
        <v>2.6603396200857493E-6</v>
      </c>
      <c r="CO46" s="283">
        <f t="shared" si="57"/>
        <v>0</v>
      </c>
      <c r="CP46" s="283">
        <f t="shared" si="95"/>
        <v>5.7489370085889781E-5</v>
      </c>
      <c r="CR46" s="277">
        <f t="shared" si="58"/>
        <v>1.4522691282282439E-8</v>
      </c>
      <c r="CS46" s="277">
        <f t="shared" si="59"/>
        <v>2.7081346907299586E-9</v>
      </c>
      <c r="CT46" s="277">
        <f t="shared" si="60"/>
        <v>0</v>
      </c>
      <c r="CU46" s="277">
        <f t="shared" si="61"/>
        <v>3.9831950073194304E-10</v>
      </c>
      <c r="CV46" s="277">
        <f t="shared" si="62"/>
        <v>2.4877317002639747E-10</v>
      </c>
      <c r="CW46" s="277">
        <v>0</v>
      </c>
      <c r="CX46" s="277">
        <f t="shared" si="10"/>
        <v>1.7877918643770739E-8</v>
      </c>
      <c r="CY46" s="277"/>
      <c r="CZ46" s="351"/>
      <c r="DA46" s="277">
        <f t="shared" si="63"/>
        <v>8.565496679166163E-9</v>
      </c>
      <c r="DB46" s="277">
        <f t="shared" si="64"/>
        <v>1.5972603320764454E-9</v>
      </c>
      <c r="DC46" s="277">
        <f t="shared" si="65"/>
        <v>0</v>
      </c>
      <c r="DD46" s="277">
        <f t="shared" si="66"/>
        <v>2.3492920798564065E-10</v>
      </c>
      <c r="DE46" s="277">
        <f t="shared" si="67"/>
        <v>1.3647374374282832E-10</v>
      </c>
      <c r="DF46" s="277">
        <v>0</v>
      </c>
      <c r="DG46" s="277">
        <f t="shared" si="68"/>
        <v>1.0534159962971078E-8</v>
      </c>
      <c r="DJ46" s="277">
        <f t="shared" si="69"/>
        <v>1.4681502552864536E-8</v>
      </c>
      <c r="DK46" s="277">
        <f t="shared" si="70"/>
        <v>2.7377491955612336E-9</v>
      </c>
      <c r="DL46" s="277">
        <f t="shared" si="71"/>
        <v>0</v>
      </c>
      <c r="DM46" s="277">
        <f t="shared" si="72"/>
        <v>4.0267527920160167E-10</v>
      </c>
      <c r="DN46" s="277">
        <f t="shared" si="73"/>
        <v>2.5089507694147062E-10</v>
      </c>
      <c r="DO46" s="277">
        <f t="shared" si="74"/>
        <v>0</v>
      </c>
      <c r="DP46" s="277">
        <f t="shared" si="96"/>
        <v>1.807282210456884E-8</v>
      </c>
      <c r="DQ46" s="351"/>
      <c r="DS46" s="277">
        <f t="shared" si="75"/>
        <v>8.659163712661853E-9</v>
      </c>
      <c r="DT46" s="277">
        <f t="shared" si="76"/>
        <v>1.6147269942712758E-9</v>
      </c>
      <c r="DU46" s="277">
        <f t="shared" si="77"/>
        <v>0</v>
      </c>
      <c r="DV46" s="277">
        <f t="shared" si="78"/>
        <v>2.3749825013436155E-10</v>
      </c>
      <c r="DW46" s="277">
        <f t="shared" si="79"/>
        <v>1.3763779443423974E-10</v>
      </c>
      <c r="DX46" s="277">
        <f t="shared" si="97"/>
        <v>0</v>
      </c>
      <c r="DY46" s="302">
        <f t="shared" si="98"/>
        <v>1.0649026751501731E-8</v>
      </c>
    </row>
    <row r="47" spans="2:129" x14ac:dyDescent="0.15">
      <c r="B47" s="358" t="s">
        <v>707</v>
      </c>
      <c r="C47" s="137">
        <v>38</v>
      </c>
      <c r="D47" s="137">
        <v>102</v>
      </c>
      <c r="E47" s="278">
        <f t="shared" si="0"/>
        <v>3.6200000000000003E-2</v>
      </c>
      <c r="F47" s="278">
        <f t="shared" si="1"/>
        <v>5.8999999999999999E-3</v>
      </c>
      <c r="G47" s="277">
        <f t="shared" si="80"/>
        <v>0.77829815999999996</v>
      </c>
      <c r="H47" s="277">
        <f t="shared" si="2"/>
        <v>1</v>
      </c>
      <c r="I47" s="277">
        <f t="shared" si="81"/>
        <v>1</v>
      </c>
      <c r="J47" s="277">
        <f t="shared" si="3"/>
        <v>1</v>
      </c>
      <c r="K47" s="277">
        <f t="shared" si="4"/>
        <v>0.90282586559999989</v>
      </c>
      <c r="L47" s="277"/>
      <c r="N47" s="277">
        <f t="shared" si="82"/>
        <v>1.8706751315714835E-8</v>
      </c>
      <c r="O47" s="277">
        <f t="shared" si="83"/>
        <v>3.7704758349295132E-9</v>
      </c>
      <c r="P47" s="277">
        <f t="shared" si="84"/>
        <v>0</v>
      </c>
      <c r="Q47" s="277">
        <f t="shared" si="85"/>
        <v>6.1452506701889857E-10</v>
      </c>
      <c r="R47" s="277">
        <f t="shared" si="86"/>
        <v>2.0765934187129559E-10</v>
      </c>
      <c r="S47" s="277">
        <f t="shared" si="87"/>
        <v>0.9999999767005886</v>
      </c>
      <c r="T47" s="277">
        <f t="shared" si="5"/>
        <v>1.0000000000000002</v>
      </c>
      <c r="U47" s="277">
        <f t="shared" si="6"/>
        <v>2.3299411559534544E-8</v>
      </c>
      <c r="V47" s="290"/>
      <c r="W47" s="277"/>
      <c r="X47" s="277">
        <f t="shared" si="11"/>
        <v>1.103325913621982E-8</v>
      </c>
      <c r="Y47" s="277">
        <f t="shared" si="12"/>
        <v>2.2238301162791951E-9</v>
      </c>
      <c r="Z47" s="277">
        <f t="shared" si="13"/>
        <v>0</v>
      </c>
      <c r="AA47" s="277">
        <f t="shared" si="14"/>
        <v>3.6244744989080806E-10</v>
      </c>
      <c r="AB47" s="277">
        <f t="shared" si="15"/>
        <v>1.1391922933385622E-10</v>
      </c>
      <c r="AC47" s="277">
        <f t="shared" si="16"/>
        <v>0.99999998626654429</v>
      </c>
      <c r="AD47" s="277">
        <f t="shared" si="17"/>
        <v>1.0000000000000002</v>
      </c>
      <c r="AE47" s="277">
        <f t="shared" si="18"/>
        <v>1.3733455931723681E-8</v>
      </c>
      <c r="AF47" s="277"/>
      <c r="AG47" s="290"/>
      <c r="AH47" s="277">
        <f t="shared" si="19"/>
        <v>0.49194100242400007</v>
      </c>
      <c r="AI47" s="277">
        <f t="shared" si="20"/>
        <v>0.45513306518800012</v>
      </c>
      <c r="AJ47" s="277">
        <f t="shared" si="21"/>
        <v>0.47967169001200005</v>
      </c>
      <c r="AK47" s="277">
        <f t="shared" si="22"/>
        <v>0.41072983931600004</v>
      </c>
      <c r="AL47" s="277">
        <f t="shared" si="23"/>
        <v>0.41072983931600004</v>
      </c>
      <c r="AM47" s="277">
        <v>0</v>
      </c>
      <c r="AN47" s="282"/>
      <c r="AP47" s="277">
        <f t="shared" si="24"/>
        <v>1.8911316908081058E-8</v>
      </c>
      <c r="AQ47" s="277">
        <f t="shared" si="25"/>
        <v>3.8117074528442157E-9</v>
      </c>
      <c r="AR47" s="277">
        <f t="shared" si="26"/>
        <v>0</v>
      </c>
      <c r="AS47" s="277">
        <f t="shared" si="27"/>
        <v>6.2124513734201305E-10</v>
      </c>
      <c r="AT47" s="277">
        <f t="shared" si="28"/>
        <v>2.0943056902352241E-10</v>
      </c>
      <c r="AU47" s="277">
        <f t="shared" si="29"/>
        <v>0.99999997644630023</v>
      </c>
      <c r="AV47" s="277">
        <f t="shared" si="7"/>
        <v>1.0000000000000002</v>
      </c>
      <c r="AW47" s="277">
        <f t="shared" si="8"/>
        <v>2.3553700067290809E-8</v>
      </c>
      <c r="AX47" s="289"/>
      <c r="AY47" s="277">
        <f t="shared" si="88"/>
        <v>1.1153912110797765E-8</v>
      </c>
      <c r="AZ47" s="277">
        <f t="shared" si="89"/>
        <v>2.2481485624583751E-9</v>
      </c>
      <c r="BA47" s="277">
        <f t="shared" si="90"/>
        <v>0</v>
      </c>
      <c r="BB47" s="277">
        <f t="shared" si="91"/>
        <v>3.6641095354984567E-10</v>
      </c>
      <c r="BC47" s="277">
        <f t="shared" si="92"/>
        <v>1.1489090164264134E-10</v>
      </c>
      <c r="BD47" s="277">
        <f t="shared" si="93"/>
        <v>0.99999998611663776</v>
      </c>
      <c r="BE47" s="277">
        <f t="shared" si="31"/>
        <v>1.0000000000000002</v>
      </c>
      <c r="BF47" s="277">
        <f t="shared" si="32"/>
        <v>1.3883362528448626E-8</v>
      </c>
      <c r="BG47" s="349"/>
      <c r="BH47" s="350"/>
      <c r="BJ47" s="283">
        <f t="shared" si="33"/>
        <v>5.8318995727570363E-6</v>
      </c>
      <c r="BK47" s="283">
        <f t="shared" si="34"/>
        <v>6.3621924000622444E-6</v>
      </c>
      <c r="BL47" s="283">
        <f t="shared" si="35"/>
        <v>0</v>
      </c>
      <c r="BM47" s="283">
        <f t="shared" si="36"/>
        <v>3.7629413884047287E-6</v>
      </c>
      <c r="BN47" s="283">
        <f t="shared" si="37"/>
        <v>4.5145373344014524E-7</v>
      </c>
      <c r="BO47" s="283">
        <f t="shared" si="38"/>
        <v>0</v>
      </c>
      <c r="BP47" s="283">
        <f t="shared" si="9"/>
        <v>1.6408487094664157E-5</v>
      </c>
      <c r="BQ47" s="342"/>
      <c r="BR47" s="283">
        <f t="shared" si="39"/>
        <v>3.4396597333597072E-6</v>
      </c>
      <c r="BS47" s="283">
        <f t="shared" si="40"/>
        <v>3.75242693077372E-6</v>
      </c>
      <c r="BT47" s="283">
        <f t="shared" si="41"/>
        <v>0</v>
      </c>
      <c r="BU47" s="283">
        <f t="shared" si="42"/>
        <v>2.2193862927871864E-6</v>
      </c>
      <c r="BV47" s="283">
        <f t="shared" si="43"/>
        <v>2.4766167960441988E-7</v>
      </c>
      <c r="BW47" s="283">
        <f t="shared" si="94"/>
        <v>0</v>
      </c>
      <c r="BX47" s="285">
        <f t="shared" si="44"/>
        <v>9.6591346365250328E-6</v>
      </c>
      <c r="BY47" s="285"/>
      <c r="CA47" s="283">
        <f t="shared" si="45"/>
        <v>5.8956736600149966E-6</v>
      </c>
      <c r="CB47" s="283">
        <f t="shared" si="46"/>
        <v>6.4317654453816272E-6</v>
      </c>
      <c r="CC47" s="283">
        <f t="shared" si="47"/>
        <v>0</v>
      </c>
      <c r="CD47" s="283">
        <f t="shared" si="48"/>
        <v>3.8040906142198904E-6</v>
      </c>
      <c r="CE47" s="283">
        <f t="shared" si="49"/>
        <v>4.5530440109341628E-7</v>
      </c>
      <c r="CF47" s="283">
        <f t="shared" si="50"/>
        <v>0</v>
      </c>
      <c r="CG47" s="283">
        <f t="shared" si="51"/>
        <v>1.6586834120709932E-5</v>
      </c>
      <c r="CH47" s="283"/>
      <c r="CI47" s="298"/>
      <c r="CJ47" s="283">
        <f t="shared" si="52"/>
        <v>3.4772737486966128E-6</v>
      </c>
      <c r="CK47" s="283">
        <f t="shared" si="53"/>
        <v>3.793461176910294E-6</v>
      </c>
      <c r="CL47" s="283">
        <f t="shared" si="54"/>
        <v>0</v>
      </c>
      <c r="CM47" s="283">
        <f t="shared" si="55"/>
        <v>2.2436561440302564E-6</v>
      </c>
      <c r="CN47" s="283">
        <f t="shared" si="56"/>
        <v>2.4977410607908975E-7</v>
      </c>
      <c r="CO47" s="283">
        <f t="shared" si="57"/>
        <v>0</v>
      </c>
      <c r="CP47" s="283">
        <f t="shared" si="95"/>
        <v>9.7641651757162545E-6</v>
      </c>
      <c r="CR47" s="277">
        <f t="shared" si="58"/>
        <v>2.4898781982599779E-9</v>
      </c>
      <c r="CS47" s="277">
        <f t="shared" si="59"/>
        <v>4.643027516963307E-10</v>
      </c>
      <c r="CT47" s="277">
        <f t="shared" si="60"/>
        <v>0</v>
      </c>
      <c r="CU47" s="277">
        <f t="shared" si="61"/>
        <v>6.829085749582872E-11</v>
      </c>
      <c r="CV47" s="277">
        <f t="shared" si="62"/>
        <v>2.3076738907013714E-11</v>
      </c>
      <c r="CW47" s="277">
        <v>0</v>
      </c>
      <c r="CX47" s="277">
        <f t="shared" si="10"/>
        <v>3.0455485463591509E-9</v>
      </c>
      <c r="CY47" s="277"/>
      <c r="CZ47" s="351"/>
      <c r="DA47" s="277">
        <f t="shared" si="63"/>
        <v>1.4685324520216772E-9</v>
      </c>
      <c r="DB47" s="277">
        <f t="shared" si="64"/>
        <v>2.7384619010902745E-10</v>
      </c>
      <c r="DC47" s="277">
        <f t="shared" si="65"/>
        <v>0</v>
      </c>
      <c r="DD47" s="277">
        <f t="shared" si="66"/>
        <v>4.0278010578628681E-11</v>
      </c>
      <c r="DE47" s="277">
        <f t="shared" si="67"/>
        <v>1.2659600517538787E-11</v>
      </c>
      <c r="DF47" s="277">
        <v>0</v>
      </c>
      <c r="DG47" s="277">
        <f t="shared" si="68"/>
        <v>1.7953162532268721E-9</v>
      </c>
      <c r="DJ47" s="277">
        <f t="shared" si="69"/>
        <v>2.5171059835632932E-9</v>
      </c>
      <c r="DK47" s="277">
        <f t="shared" si="70"/>
        <v>4.6938008264680108E-10</v>
      </c>
      <c r="DL47" s="277">
        <f t="shared" si="71"/>
        <v>0</v>
      </c>
      <c r="DM47" s="277">
        <f t="shared" si="72"/>
        <v>6.9037644550462653E-11</v>
      </c>
      <c r="DN47" s="277">
        <f t="shared" si="73"/>
        <v>2.3273571595438032E-11</v>
      </c>
      <c r="DO47" s="277">
        <f t="shared" si="74"/>
        <v>0</v>
      </c>
      <c r="DP47" s="277">
        <f t="shared" si="96"/>
        <v>3.0787972823559949E-9</v>
      </c>
      <c r="DQ47" s="351"/>
      <c r="DS47" s="277">
        <f t="shared" si="75"/>
        <v>1.4845914248431353E-9</v>
      </c>
      <c r="DT47" s="277">
        <f t="shared" si="76"/>
        <v>2.7684080457475934E-10</v>
      </c>
      <c r="DU47" s="277">
        <f t="shared" si="77"/>
        <v>0</v>
      </c>
      <c r="DV47" s="277">
        <f t="shared" si="78"/>
        <v>4.0718466270495856E-11</v>
      </c>
      <c r="DW47" s="277">
        <f t="shared" si="79"/>
        <v>1.2767580384810574E-11</v>
      </c>
      <c r="DX47" s="277">
        <f t="shared" si="97"/>
        <v>0</v>
      </c>
      <c r="DY47" s="302">
        <f t="shared" si="98"/>
        <v>1.8149182760732009E-9</v>
      </c>
    </row>
    <row r="48" spans="2:129" x14ac:dyDescent="0.15">
      <c r="B48" s="358" t="s">
        <v>707</v>
      </c>
      <c r="C48" s="137">
        <v>39</v>
      </c>
      <c r="D48" s="137">
        <v>103</v>
      </c>
      <c r="E48" s="278">
        <f t="shared" si="0"/>
        <v>3.6200000000000003E-2</v>
      </c>
      <c r="F48" s="278">
        <f t="shared" si="1"/>
        <v>5.8999999999999999E-3</v>
      </c>
      <c r="G48" s="277">
        <f t="shared" si="80"/>
        <v>0.77829815999999996</v>
      </c>
      <c r="H48" s="277">
        <f t="shared" si="2"/>
        <v>1</v>
      </c>
      <c r="I48" s="277">
        <f t="shared" si="81"/>
        <v>1</v>
      </c>
      <c r="J48" s="277">
        <f t="shared" si="3"/>
        <v>1</v>
      </c>
      <c r="K48" s="277">
        <f t="shared" si="4"/>
        <v>0.90282586559999989</v>
      </c>
      <c r="L48" s="277"/>
      <c r="N48" s="277">
        <f t="shared" si="82"/>
        <v>3.3597669567248056E-9</v>
      </c>
      <c r="O48" s="277">
        <f t="shared" si="83"/>
        <v>6.7718439762887715E-10</v>
      </c>
      <c r="P48" s="277">
        <f t="shared" si="84"/>
        <v>0</v>
      </c>
      <c r="Q48" s="277">
        <f t="shared" si="85"/>
        <v>1.1036983276271753E-10</v>
      </c>
      <c r="R48" s="277">
        <f t="shared" si="86"/>
        <v>2.0179116796416843E-11</v>
      </c>
      <c r="S48" s="277">
        <f t="shared" si="87"/>
        <v>0.99999999583249988</v>
      </c>
      <c r="T48" s="277">
        <f t="shared" si="5"/>
        <v>1.0000000000000002</v>
      </c>
      <c r="U48" s="277">
        <f t="shared" si="6"/>
        <v>4.1675003039128174E-9</v>
      </c>
      <c r="V48" s="290"/>
      <c r="W48" s="277"/>
      <c r="X48" s="277">
        <f t="shared" si="11"/>
        <v>1.6798834783624028E-9</v>
      </c>
      <c r="Y48" s="277">
        <f t="shared" si="12"/>
        <v>3.3859219881443857E-10</v>
      </c>
      <c r="Z48" s="277">
        <f t="shared" si="13"/>
        <v>0</v>
      </c>
      <c r="AA48" s="277">
        <f t="shared" si="14"/>
        <v>5.5184916381358766E-11</v>
      </c>
      <c r="AB48" s="277">
        <f t="shared" si="15"/>
        <v>1.0089558398208422E-11</v>
      </c>
      <c r="AC48" s="277">
        <f t="shared" si="16"/>
        <v>0.49999999791624994</v>
      </c>
      <c r="AD48" s="277">
        <f t="shared" si="17"/>
        <v>0.50000000000000011</v>
      </c>
      <c r="AE48" s="277">
        <f t="shared" si="18"/>
        <v>2.0837501519564087E-9</v>
      </c>
      <c r="AF48" s="277"/>
      <c r="AG48" s="290"/>
      <c r="AH48" s="277">
        <f t="shared" si="19"/>
        <v>0.49194100242400007</v>
      </c>
      <c r="AI48" s="277">
        <f t="shared" si="20"/>
        <v>0.45513306518800012</v>
      </c>
      <c r="AJ48" s="277">
        <f t="shared" si="21"/>
        <v>0.47967169001200005</v>
      </c>
      <c r="AK48" s="277">
        <f t="shared" si="22"/>
        <v>0.41072983931600004</v>
      </c>
      <c r="AL48" s="277">
        <f t="shared" si="23"/>
        <v>0.41072983931600004</v>
      </c>
      <c r="AM48" s="277">
        <v>0</v>
      </c>
      <c r="AN48" s="282"/>
      <c r="AP48" s="277">
        <f t="shared" si="24"/>
        <v>3.3965073135144709E-9</v>
      </c>
      <c r="AQ48" s="277">
        <f t="shared" si="25"/>
        <v>6.8458967207253441E-10</v>
      </c>
      <c r="AR48" s="277">
        <f t="shared" si="26"/>
        <v>0</v>
      </c>
      <c r="AS48" s="277">
        <f t="shared" si="27"/>
        <v>1.1157676975767824E-10</v>
      </c>
      <c r="AT48" s="277">
        <f t="shared" si="28"/>
        <v>2.0351234261760259E-11</v>
      </c>
      <c r="AU48" s="277">
        <f t="shared" si="29"/>
        <v>0.9999999957869754</v>
      </c>
      <c r="AV48" s="277">
        <f t="shared" si="7"/>
        <v>1.0000000000000004</v>
      </c>
      <c r="AW48" s="277">
        <f t="shared" si="8"/>
        <v>4.2130249896064441E-9</v>
      </c>
      <c r="AX48" s="289"/>
      <c r="AY48" s="277">
        <f t="shared" si="88"/>
        <v>1.6982536567572355E-9</v>
      </c>
      <c r="AZ48" s="277">
        <f t="shared" si="89"/>
        <v>3.4229483603626721E-10</v>
      </c>
      <c r="BA48" s="277">
        <f t="shared" si="90"/>
        <v>0</v>
      </c>
      <c r="BB48" s="277">
        <f t="shared" si="91"/>
        <v>5.5788384878839121E-11</v>
      </c>
      <c r="BC48" s="277">
        <f t="shared" si="92"/>
        <v>1.0175617130880129E-11</v>
      </c>
      <c r="BD48" s="277">
        <f t="shared" si="93"/>
        <v>0.4999999978934877</v>
      </c>
      <c r="BE48" s="277">
        <f t="shared" si="31"/>
        <v>0.50000000000000022</v>
      </c>
      <c r="BF48" s="277">
        <f t="shared" si="32"/>
        <v>2.1065124948032221E-9</v>
      </c>
      <c r="BG48" s="349"/>
      <c r="BH48" s="350"/>
      <c r="BJ48" s="283">
        <f t="shared" si="33"/>
        <v>1.0119998975481912E-6</v>
      </c>
      <c r="BK48" s="283">
        <f t="shared" si="34"/>
        <v>1.1040207357344888E-6</v>
      </c>
      <c r="BL48" s="283">
        <f t="shared" si="35"/>
        <v>0</v>
      </c>
      <c r="BM48" s="283">
        <f t="shared" si="36"/>
        <v>6.5297700209627455E-7</v>
      </c>
      <c r="BN48" s="283">
        <f t="shared" si="37"/>
        <v>4.2386111853811102E-8</v>
      </c>
      <c r="BO48" s="283">
        <f t="shared" si="38"/>
        <v>0</v>
      </c>
      <c r="BP48" s="283">
        <f t="shared" si="9"/>
        <v>2.8113837472327654E-6</v>
      </c>
      <c r="BQ48" s="342"/>
      <c r="BR48" s="283">
        <f t="shared" si="39"/>
        <v>5.059999487740956E-7</v>
      </c>
      <c r="BS48" s="283">
        <f t="shared" si="40"/>
        <v>5.5201036786724441E-7</v>
      </c>
      <c r="BT48" s="283">
        <f t="shared" si="41"/>
        <v>0</v>
      </c>
      <c r="BU48" s="283">
        <f t="shared" si="42"/>
        <v>3.2648850104813728E-7</v>
      </c>
      <c r="BV48" s="283">
        <f t="shared" si="43"/>
        <v>2.1193055926905551E-8</v>
      </c>
      <c r="BW48" s="283">
        <f t="shared" si="94"/>
        <v>0</v>
      </c>
      <c r="BX48" s="285">
        <f t="shared" si="44"/>
        <v>1.4056918736163827E-6</v>
      </c>
      <c r="BY48" s="285"/>
      <c r="CA48" s="283">
        <f t="shared" si="45"/>
        <v>1.0230665095441822E-6</v>
      </c>
      <c r="CB48" s="283">
        <f t="shared" si="46"/>
        <v>1.1160936313419903E-6</v>
      </c>
      <c r="CC48" s="283">
        <f t="shared" si="47"/>
        <v>0</v>
      </c>
      <c r="CD48" s="283">
        <f t="shared" si="48"/>
        <v>6.6011755926630186E-7</v>
      </c>
      <c r="CE48" s="283">
        <f t="shared" si="49"/>
        <v>4.2747643540833993E-8</v>
      </c>
      <c r="CF48" s="283">
        <f t="shared" si="50"/>
        <v>0</v>
      </c>
      <c r="CG48" s="283">
        <f t="shared" si="51"/>
        <v>2.8420253436933081E-6</v>
      </c>
      <c r="CH48" s="283"/>
      <c r="CI48" s="298"/>
      <c r="CJ48" s="283">
        <f t="shared" si="52"/>
        <v>5.115332547720911E-7</v>
      </c>
      <c r="CK48" s="283">
        <f t="shared" si="53"/>
        <v>5.5804681567099513E-7</v>
      </c>
      <c r="CL48" s="283">
        <f t="shared" si="54"/>
        <v>0</v>
      </c>
      <c r="CM48" s="283">
        <f t="shared" si="55"/>
        <v>3.3005877963315093E-7</v>
      </c>
      <c r="CN48" s="283">
        <f t="shared" si="56"/>
        <v>2.1373821770416997E-8</v>
      </c>
      <c r="CO48" s="283">
        <f t="shared" si="57"/>
        <v>0</v>
      </c>
      <c r="CP48" s="283">
        <f t="shared" si="95"/>
        <v>1.4210126718466541E-6</v>
      </c>
      <c r="CR48" s="277">
        <f t="shared" si="58"/>
        <v>4.3206445003224823E-10</v>
      </c>
      <c r="CS48" s="277">
        <f t="shared" si="59"/>
        <v>8.0569689392970213E-11</v>
      </c>
      <c r="CT48" s="277">
        <f t="shared" si="60"/>
        <v>0</v>
      </c>
      <c r="CU48" s="277">
        <f t="shared" si="61"/>
        <v>1.185039967287791E-11</v>
      </c>
      <c r="CV48" s="277">
        <f t="shared" si="62"/>
        <v>2.166630075424021E-12</v>
      </c>
      <c r="CW48" s="277">
        <v>0</v>
      </c>
      <c r="CX48" s="277">
        <f t="shared" si="10"/>
        <v>5.266511691735204E-10</v>
      </c>
      <c r="CY48" s="277"/>
      <c r="CZ48" s="351"/>
      <c r="DA48" s="277">
        <f t="shared" si="63"/>
        <v>2.1603222501612412E-10</v>
      </c>
      <c r="DB48" s="277">
        <f t="shared" si="64"/>
        <v>4.0284844696485107E-11</v>
      </c>
      <c r="DC48" s="277">
        <f t="shared" si="65"/>
        <v>0</v>
      </c>
      <c r="DD48" s="277">
        <f t="shared" si="66"/>
        <v>5.9251998364389552E-12</v>
      </c>
      <c r="DE48" s="277">
        <f t="shared" si="67"/>
        <v>1.0833150377120105E-12</v>
      </c>
      <c r="DF48" s="277">
        <v>0</v>
      </c>
      <c r="DG48" s="277">
        <f t="shared" si="68"/>
        <v>2.633255845867602E-10</v>
      </c>
      <c r="DJ48" s="277">
        <f t="shared" si="69"/>
        <v>4.367892426308962E-10</v>
      </c>
      <c r="DK48" s="277">
        <f t="shared" si="70"/>
        <v>8.1450750244171562E-11</v>
      </c>
      <c r="DL48" s="277">
        <f t="shared" si="71"/>
        <v>0</v>
      </c>
      <c r="DM48" s="277">
        <f t="shared" si="72"/>
        <v>1.197998839664644E-11</v>
      </c>
      <c r="DN48" s="277">
        <f t="shared" si="73"/>
        <v>2.1851103132204056E-12</v>
      </c>
      <c r="DO48" s="277">
        <f t="shared" si="74"/>
        <v>0</v>
      </c>
      <c r="DP48" s="277">
        <f t="shared" si="96"/>
        <v>5.3240509158493458E-10</v>
      </c>
      <c r="DQ48" s="351"/>
      <c r="DS48" s="277">
        <f t="shared" si="75"/>
        <v>2.183946213154481E-10</v>
      </c>
      <c r="DT48" s="277">
        <f t="shared" si="76"/>
        <v>4.0725375122085781E-11</v>
      </c>
      <c r="DU48" s="277">
        <f t="shared" si="77"/>
        <v>0</v>
      </c>
      <c r="DV48" s="277">
        <f t="shared" si="78"/>
        <v>5.9899941983232201E-12</v>
      </c>
      <c r="DW48" s="277">
        <f t="shared" si="79"/>
        <v>1.0925551566102028E-12</v>
      </c>
      <c r="DX48" s="277">
        <f t="shared" si="97"/>
        <v>0</v>
      </c>
      <c r="DY48" s="302">
        <f t="shared" si="98"/>
        <v>2.6620254579246729E-10</v>
      </c>
    </row>
    <row r="49" spans="13:129" x14ac:dyDescent="0.15">
      <c r="U49" s="284">
        <f>SUM(U9:U48)</f>
        <v>12.89467005146607</v>
      </c>
      <c r="V49" s="340"/>
      <c r="AE49" s="284">
        <f>SUM(AE9:AE48)</f>
        <v>12.430157389442273</v>
      </c>
      <c r="AU49" s="279"/>
      <c r="AW49" s="277">
        <f>SUM(AW9:AW48)</f>
        <v>12.984212022429578</v>
      </c>
      <c r="BF49" s="277">
        <f>SUM(BF9:BF48)</f>
        <v>12.516683976216354</v>
      </c>
      <c r="BP49" s="291">
        <f>SUM(BP9:BP48)</f>
        <v>21870.733924099084</v>
      </c>
      <c r="BX49" s="285">
        <f>SUM(BX9:BX48)</f>
        <v>21443.269382910814</v>
      </c>
      <c r="CE49" s="447" t="s">
        <v>876</v>
      </c>
      <c r="CF49" s="447"/>
      <c r="CG49" s="285">
        <f>SUM(CG9:CG48)</f>
        <v>21967.947212329458</v>
      </c>
      <c r="CH49" s="285"/>
      <c r="CI49" s="299"/>
      <c r="CJ49" s="294"/>
      <c r="CK49" s="294"/>
      <c r="CL49" s="294"/>
      <c r="CM49" s="294"/>
      <c r="CN49" s="443" t="s">
        <v>876</v>
      </c>
      <c r="CO49" s="443"/>
      <c r="CP49" s="300">
        <f>SUM(CP9:CP48)</f>
        <v>21538.72067682428</v>
      </c>
      <c r="CX49" s="277">
        <f>SUM(CX9:CX48)</f>
        <v>6.4542673809156934</v>
      </c>
      <c r="CY49" s="277"/>
      <c r="CZ49" s="277"/>
      <c r="DA49" s="277"/>
      <c r="DB49" s="277"/>
      <c r="DC49" s="277"/>
      <c r="DD49" s="277"/>
      <c r="DE49" s="277"/>
      <c r="DF49" s="277"/>
      <c r="DG49" s="277">
        <f>SUM(DG9:DG48)</f>
        <v>6.2615332201676051</v>
      </c>
      <c r="DI49" s="272"/>
      <c r="DN49" s="441" t="s">
        <v>876</v>
      </c>
      <c r="DO49" s="441"/>
      <c r="DP49" s="303">
        <f>SUM(DP9:DP48)</f>
        <v>6.4965384327898166</v>
      </c>
      <c r="DQ49" s="277"/>
      <c r="DW49" s="441" t="s">
        <v>876</v>
      </c>
      <c r="DX49" s="441"/>
      <c r="DY49" s="303">
        <f>SUM(DY9:DY48)</f>
        <v>6.3025739577094964</v>
      </c>
    </row>
    <row r="50" spans="13:129" ht="14.5" customHeight="1" x14ac:dyDescent="0.15">
      <c r="M50" s="272"/>
      <c r="V50" s="272"/>
      <c r="AG50" s="272"/>
      <c r="AO50" s="272"/>
      <c r="AU50" s="279"/>
      <c r="AX50" s="281"/>
      <c r="BH50" s="281"/>
      <c r="BQ50" s="272"/>
      <c r="BZ50" s="272"/>
      <c r="CD50" s="296"/>
      <c r="CE50" s="447" t="s">
        <v>877</v>
      </c>
      <c r="CF50" s="447"/>
      <c r="CG50" s="285">
        <f>(CG49*(prob_test_order))+(c_st_total*(1-prob_test_order))</f>
        <v>21931.21976427015</v>
      </c>
      <c r="CH50" s="285"/>
      <c r="CI50" s="299"/>
      <c r="CJ50" s="294"/>
      <c r="CK50" s="294"/>
      <c r="CL50" s="294"/>
      <c r="CM50" s="294"/>
      <c r="CN50" s="443" t="s">
        <v>877</v>
      </c>
      <c r="CO50" s="443"/>
      <c r="CP50" s="300">
        <f>(CP9) + (prob_test_order*(SUM(CP10:CP48)))+((1-prob_test_order)*(SUM(BX10:BX48)))</f>
        <v>21531.886194765408</v>
      </c>
      <c r="CV50" s="272" t="s">
        <v>525</v>
      </c>
      <c r="CZ50" s="281"/>
      <c r="DI50" s="272"/>
      <c r="DN50" s="441" t="s">
        <v>877</v>
      </c>
      <c r="DO50" s="441"/>
      <c r="DP50" s="303">
        <f>DP9+((prob_test_order*(SUM(DP10:DP48)))+((1-prob_test_order)*(SUM(DG10:DG48))))</f>
        <v>6.4802228115236229</v>
      </c>
      <c r="DQ50" s="277"/>
      <c r="DW50" s="441" t="s">
        <v>877</v>
      </c>
      <c r="DX50" s="441"/>
      <c r="DY50" s="303">
        <f>DY9+((prob_test_order*(SUM(DY10:DY48)))+((1-prob_test_order)*(SUM(DG10:DG48))))</f>
        <v>6.2998358496989244</v>
      </c>
    </row>
    <row r="51" spans="13:129" ht="14.5" customHeight="1" x14ac:dyDescent="0.15">
      <c r="M51" s="272"/>
      <c r="V51" s="272"/>
      <c r="AG51" s="272"/>
      <c r="AO51" s="272"/>
      <c r="AU51" s="279"/>
      <c r="AX51" s="281"/>
      <c r="BH51" s="281"/>
      <c r="BQ51" s="272"/>
      <c r="BZ51" s="272"/>
      <c r="CD51" s="296"/>
      <c r="CE51" s="447" t="s">
        <v>878</v>
      </c>
      <c r="CF51" s="447"/>
      <c r="CG51" s="285">
        <f>(CG50*prob_test_follow)+((c_st_total+c_poc_test)*(1-prob_test_follow))</f>
        <v>21905.813237574999</v>
      </c>
      <c r="CH51" s="285"/>
      <c r="CI51" s="299"/>
      <c r="CJ51" s="294"/>
      <c r="CK51" s="294"/>
      <c r="CL51" s="294"/>
      <c r="CM51" s="294"/>
      <c r="CN51" s="443" t="s">
        <v>878</v>
      </c>
      <c r="CO51" s="443"/>
      <c r="CP51" s="300">
        <f>CP9 + ((prob_test_order*prob_test_follow)*(SUM(CP10:CP48)))+((1-(prob_test_order*prob_test_follow))*SUM(BX10:BX48))</f>
        <v>21525.530126450656</v>
      </c>
      <c r="CZ51" s="281"/>
      <c r="DI51" s="272"/>
      <c r="DN51" s="441" t="s">
        <v>878</v>
      </c>
      <c r="DO51" s="441"/>
      <c r="DP51" s="303">
        <f>(DP50*prob_test_follow)+(qaly_st_total*(1-prob_test_follow))</f>
        <v>6.464914540128702</v>
      </c>
      <c r="DQ51" s="277"/>
      <c r="DW51" s="441" t="s">
        <v>878</v>
      </c>
      <c r="DX51" s="441"/>
      <c r="DY51" s="303">
        <f>DY9 + ((prob_test_order*prob_test_follow)*(SUM(DY10:DY48)))+((1-(prob_test_order*prob_test_follow))*SUM(DG10:DG48))</f>
        <v>6.2972894092490934</v>
      </c>
    </row>
    <row r="52" spans="13:129" x14ac:dyDescent="0.15">
      <c r="M52" s="272"/>
      <c r="V52" s="272"/>
      <c r="AG52" s="272"/>
      <c r="AO52" s="272"/>
      <c r="AU52" s="279"/>
      <c r="AX52" s="281"/>
      <c r="BH52" s="281"/>
      <c r="BQ52" s="272"/>
      <c r="BZ52" s="272"/>
      <c r="CD52" s="296"/>
      <c r="CR52" s="283"/>
      <c r="CZ52" s="281"/>
      <c r="DI52" s="272"/>
      <c r="DM52" s="296"/>
      <c r="DN52" s="295"/>
      <c r="DO52" s="295"/>
      <c r="DP52" s="283"/>
      <c r="DQ52" s="283"/>
    </row>
    <row r="53" spans="13:129" x14ac:dyDescent="0.15">
      <c r="M53" s="272"/>
      <c r="V53" s="272"/>
      <c r="AG53" s="272"/>
      <c r="AO53" s="272"/>
      <c r="AU53" s="279"/>
      <c r="AX53" s="281"/>
      <c r="BH53" s="281"/>
      <c r="BQ53" s="272"/>
      <c r="BZ53" s="272"/>
      <c r="CD53" s="297"/>
      <c r="CS53" s="285"/>
      <c r="CZ53" s="281"/>
      <c r="DI53" s="272"/>
      <c r="DM53" s="296"/>
      <c r="DN53" s="447"/>
      <c r="DO53" s="447"/>
      <c r="DP53" s="283"/>
      <c r="DQ53" s="283"/>
    </row>
    <row r="54" spans="13:129" x14ac:dyDescent="0.15">
      <c r="M54" s="272"/>
      <c r="V54" s="272"/>
      <c r="AG54" s="272"/>
      <c r="AO54" s="272"/>
      <c r="AU54" s="279"/>
      <c r="AX54" s="281"/>
      <c r="BH54" s="281"/>
      <c r="BQ54" s="272"/>
      <c r="BZ54" s="272"/>
      <c r="CD54" s="297"/>
      <c r="CS54" s="285"/>
      <c r="CZ54" s="281"/>
      <c r="DI54" s="272"/>
      <c r="DM54" s="296"/>
      <c r="DN54" s="295"/>
      <c r="DO54" s="295"/>
      <c r="DP54" s="283"/>
      <c r="DQ54" s="283"/>
    </row>
    <row r="55" spans="13:129" x14ac:dyDescent="0.15">
      <c r="M55" s="272"/>
      <c r="V55" s="272"/>
      <c r="AG55" s="272"/>
      <c r="AO55" s="272"/>
      <c r="AU55" s="279"/>
      <c r="AX55" s="281"/>
      <c r="BH55" s="281"/>
      <c r="BQ55" s="272"/>
      <c r="BZ55" s="272"/>
      <c r="CD55" s="297"/>
      <c r="CS55" s="285"/>
      <c r="CZ55" s="281"/>
      <c r="DI55" s="272"/>
      <c r="DM55" s="296"/>
      <c r="DN55" s="295"/>
      <c r="DO55" s="295"/>
      <c r="DP55" s="283"/>
      <c r="DQ55" s="283"/>
      <c r="DX55" s="462">
        <f>SUM(DY10:DY48)</f>
        <v>5.6395614479511806</v>
      </c>
    </row>
    <row r="56" spans="13:129" x14ac:dyDescent="0.15">
      <c r="M56" s="272"/>
      <c r="V56" s="272"/>
      <c r="AG56" s="272"/>
      <c r="AO56" s="272"/>
      <c r="AU56" s="279"/>
      <c r="AX56" s="281"/>
      <c r="BH56" s="281"/>
      <c r="BQ56" s="272"/>
      <c r="BZ56" s="272"/>
      <c r="CN56" s="272" t="s">
        <v>525</v>
      </c>
      <c r="CS56" s="284"/>
      <c r="CZ56" s="281"/>
      <c r="DI56" s="272"/>
      <c r="DQ56" s="272"/>
      <c r="DV56" s="285"/>
    </row>
    <row r="57" spans="13:129" x14ac:dyDescent="0.15">
      <c r="M57" s="272"/>
      <c r="V57" s="272"/>
      <c r="AG57" s="272"/>
      <c r="AO57" s="272"/>
      <c r="AU57" s="279"/>
      <c r="AX57" s="281"/>
      <c r="BH57" s="281"/>
      <c r="BQ57" s="272"/>
      <c r="BZ57" s="272"/>
      <c r="CV57" s="272" t="s">
        <v>879</v>
      </c>
      <c r="CW57" s="272" t="s">
        <v>525</v>
      </c>
      <c r="CZ57" s="281"/>
      <c r="DI57" s="272"/>
      <c r="DQ57" s="272"/>
      <c r="DU57" s="284"/>
      <c r="DV57" s="284"/>
    </row>
    <row r="58" spans="13:129" x14ac:dyDescent="0.15">
      <c r="M58" s="272"/>
      <c r="V58" s="272"/>
      <c r="AG58" s="272"/>
      <c r="AO58" s="272"/>
      <c r="AU58" s="279"/>
      <c r="AX58" s="281"/>
      <c r="BH58" s="281"/>
      <c r="BQ58" s="272"/>
      <c r="BZ58" s="272"/>
      <c r="CZ58" s="281"/>
      <c r="DI58" s="272"/>
      <c r="DQ58" s="272"/>
    </row>
    <row r="59" spans="13:129" x14ac:dyDescent="0.15">
      <c r="M59" s="272"/>
      <c r="V59" s="272"/>
      <c r="AG59" s="272"/>
      <c r="AO59" s="272"/>
      <c r="AU59" s="279"/>
      <c r="AX59" s="281"/>
      <c r="BH59" s="281"/>
      <c r="BQ59" s="272"/>
      <c r="BZ59" s="272"/>
      <c r="CZ59" s="281"/>
      <c r="DI59" s="272"/>
      <c r="DQ59" s="272"/>
    </row>
    <row r="60" spans="13:129" x14ac:dyDescent="0.15">
      <c r="M60" s="272"/>
      <c r="V60" s="272"/>
      <c r="AG60" s="272"/>
      <c r="AO60" s="272"/>
      <c r="AU60" s="279"/>
      <c r="AX60" s="281"/>
      <c r="BH60" s="281"/>
      <c r="BQ60" s="272"/>
      <c r="BZ60" s="272"/>
      <c r="CZ60" s="281"/>
      <c r="DI60" s="272"/>
      <c r="DQ60" s="272"/>
    </row>
    <row r="61" spans="13:129" x14ac:dyDescent="0.15">
      <c r="M61" s="272"/>
      <c r="V61" s="272"/>
      <c r="AG61" s="272"/>
      <c r="AO61" s="272"/>
      <c r="AU61" s="279"/>
      <c r="AX61" s="281"/>
      <c r="BH61" s="281"/>
      <c r="BQ61" s="272"/>
      <c r="BZ61" s="272"/>
      <c r="CZ61" s="281"/>
      <c r="DI61" s="272"/>
      <c r="DQ61" s="272"/>
    </row>
    <row r="62" spans="13:129" x14ac:dyDescent="0.15">
      <c r="M62" s="272"/>
      <c r="V62" s="272"/>
      <c r="AG62" s="272"/>
      <c r="AO62" s="272"/>
      <c r="AU62" s="279"/>
      <c r="AX62" s="281"/>
      <c r="BH62" s="281"/>
      <c r="BQ62" s="272"/>
      <c r="BZ62" s="272"/>
      <c r="CZ62" s="281"/>
      <c r="DI62" s="272"/>
      <c r="DQ62" s="272"/>
    </row>
    <row r="63" spans="13:129" x14ac:dyDescent="0.15">
      <c r="M63" s="272"/>
      <c r="V63" s="272"/>
      <c r="AG63" s="272"/>
      <c r="AO63" s="272"/>
      <c r="AU63" s="279"/>
      <c r="AX63" s="281"/>
      <c r="BH63" s="281"/>
      <c r="BQ63" s="272"/>
      <c r="BZ63" s="272"/>
      <c r="CZ63" s="281"/>
      <c r="DI63" s="272"/>
      <c r="DQ63" s="272"/>
    </row>
    <row r="64" spans="13:129" x14ac:dyDescent="0.15">
      <c r="M64" s="272"/>
      <c r="V64" s="272"/>
      <c r="AG64" s="272"/>
      <c r="AO64" s="272"/>
      <c r="AU64" s="279"/>
      <c r="AX64" s="281"/>
      <c r="BH64" s="281"/>
      <c r="BQ64" s="272"/>
      <c r="BZ64" s="272"/>
      <c r="CZ64" s="281"/>
      <c r="DI64" s="272"/>
      <c r="DQ64" s="272"/>
    </row>
    <row r="65" spans="13:121" x14ac:dyDescent="0.15">
      <c r="M65" s="272"/>
      <c r="V65" s="272"/>
      <c r="AG65" s="272"/>
      <c r="AO65" s="272"/>
      <c r="AU65" s="279"/>
      <c r="AX65" s="281"/>
      <c r="BH65" s="281"/>
      <c r="BQ65" s="272"/>
      <c r="BZ65" s="272"/>
      <c r="CZ65" s="281"/>
      <c r="DI65" s="272"/>
      <c r="DQ65" s="272"/>
    </row>
    <row r="66" spans="13:121" x14ac:dyDescent="0.15">
      <c r="M66" s="272"/>
      <c r="V66" s="272"/>
      <c r="AG66" s="272"/>
      <c r="AO66" s="272"/>
      <c r="AU66" s="279"/>
      <c r="AX66" s="281"/>
      <c r="BH66" s="281"/>
      <c r="BQ66" s="272"/>
      <c r="BZ66" s="272"/>
      <c r="CZ66" s="281"/>
      <c r="DI66" s="272"/>
      <c r="DQ66" s="272"/>
    </row>
    <row r="67" spans="13:121" x14ac:dyDescent="0.15">
      <c r="M67" s="272"/>
      <c r="V67" s="272"/>
      <c r="AG67" s="272"/>
      <c r="AO67" s="272"/>
      <c r="AU67" s="279"/>
      <c r="AX67" s="281"/>
      <c r="BH67" s="281"/>
      <c r="BQ67" s="272"/>
      <c r="BZ67" s="272"/>
      <c r="CZ67" s="281"/>
      <c r="DI67" s="272"/>
      <c r="DQ67" s="272"/>
    </row>
    <row r="68" spans="13:121" x14ac:dyDescent="0.15">
      <c r="M68" s="272"/>
      <c r="V68" s="272"/>
      <c r="AG68" s="272"/>
      <c r="AO68" s="272"/>
      <c r="AU68" s="279"/>
      <c r="AX68" s="281"/>
      <c r="BH68" s="281"/>
      <c r="BQ68" s="272"/>
      <c r="BZ68" s="272"/>
      <c r="CZ68" s="281"/>
      <c r="DI68" s="272"/>
      <c r="DQ68" s="272"/>
    </row>
    <row r="69" spans="13:121" x14ac:dyDescent="0.15">
      <c r="M69" s="272"/>
      <c r="V69" s="272"/>
      <c r="AG69" s="272"/>
      <c r="AO69" s="272"/>
      <c r="AU69" s="279"/>
      <c r="AX69" s="281"/>
      <c r="BH69" s="281"/>
      <c r="BQ69" s="272"/>
      <c r="BZ69" s="272"/>
      <c r="CZ69" s="281"/>
      <c r="DI69" s="272"/>
      <c r="DQ69" s="272"/>
    </row>
    <row r="70" spans="13:121" x14ac:dyDescent="0.15">
      <c r="M70" s="272"/>
      <c r="V70" s="272"/>
      <c r="AG70" s="272"/>
      <c r="AO70" s="272"/>
      <c r="AX70" s="281"/>
      <c r="BH70" s="281"/>
      <c r="BQ70" s="272"/>
      <c r="BZ70" s="272"/>
      <c r="CZ70" s="281"/>
      <c r="DI70" s="272"/>
      <c r="DQ70" s="272"/>
    </row>
    <row r="71" spans="13:121" x14ac:dyDescent="0.15">
      <c r="M71" s="272"/>
      <c r="V71" s="272"/>
      <c r="AG71" s="272"/>
      <c r="AO71" s="272"/>
      <c r="AX71" s="281"/>
      <c r="BH71" s="281"/>
      <c r="BQ71" s="272"/>
      <c r="BZ71" s="272"/>
      <c r="CZ71" s="281"/>
      <c r="DI71" s="272"/>
      <c r="DQ71" s="272"/>
    </row>
    <row r="72" spans="13:121" x14ac:dyDescent="0.15">
      <c r="M72" s="272"/>
      <c r="V72" s="272"/>
      <c r="AG72" s="272"/>
      <c r="AO72" s="272"/>
      <c r="AX72" s="281"/>
      <c r="BH72" s="281"/>
      <c r="BQ72" s="272"/>
      <c r="BZ72" s="272"/>
      <c r="CZ72" s="281"/>
      <c r="DI72" s="272"/>
      <c r="DQ72" s="272"/>
    </row>
    <row r="73" spans="13:121" x14ac:dyDescent="0.15">
      <c r="M73" s="272"/>
      <c r="V73" s="272"/>
      <c r="AG73" s="272"/>
      <c r="AO73" s="272"/>
      <c r="AX73" s="281"/>
      <c r="BH73" s="281"/>
      <c r="BQ73" s="272"/>
      <c r="BZ73" s="272"/>
      <c r="CZ73" s="281"/>
      <c r="DI73" s="272"/>
      <c r="DQ73" s="272"/>
    </row>
    <row r="74" spans="13:121" x14ac:dyDescent="0.15">
      <c r="M74" s="272"/>
      <c r="V74" s="272"/>
      <c r="AG74" s="272"/>
      <c r="AO74" s="272"/>
      <c r="AX74" s="281"/>
      <c r="BH74" s="281"/>
      <c r="BQ74" s="272"/>
      <c r="BZ74" s="272"/>
      <c r="CZ74" s="281"/>
      <c r="DI74" s="272"/>
      <c r="DQ74" s="272"/>
    </row>
    <row r="75" spans="13:121" x14ac:dyDescent="0.15">
      <c r="M75" s="272"/>
      <c r="V75" s="272"/>
      <c r="AG75" s="272"/>
      <c r="AO75" s="272"/>
      <c r="AX75" s="281"/>
      <c r="BH75" s="281"/>
      <c r="BQ75" s="272"/>
      <c r="BZ75" s="272"/>
      <c r="CZ75" s="281"/>
      <c r="DI75" s="272"/>
      <c r="DQ75" s="272"/>
    </row>
    <row r="76" spans="13:121" x14ac:dyDescent="0.15">
      <c r="M76" s="272"/>
      <c r="V76" s="272"/>
      <c r="AG76" s="272"/>
      <c r="AO76" s="272"/>
      <c r="AX76" s="281"/>
      <c r="BH76" s="281"/>
      <c r="BQ76" s="272"/>
      <c r="BZ76" s="272"/>
      <c r="CZ76" s="281"/>
      <c r="DI76" s="272"/>
      <c r="DQ76" s="272"/>
    </row>
    <row r="77" spans="13:121" x14ac:dyDescent="0.15">
      <c r="M77" s="272"/>
      <c r="V77" s="272"/>
      <c r="AG77" s="272"/>
      <c r="AO77" s="272"/>
      <c r="AX77" s="281"/>
      <c r="BH77" s="281"/>
      <c r="BQ77" s="272"/>
      <c r="BZ77" s="272"/>
      <c r="CZ77" s="281"/>
      <c r="DI77" s="272"/>
      <c r="DQ77" s="272"/>
    </row>
    <row r="78" spans="13:121" x14ac:dyDescent="0.15">
      <c r="M78" s="272"/>
      <c r="V78" s="272"/>
      <c r="AG78" s="272"/>
      <c r="AO78" s="272"/>
      <c r="AX78" s="281"/>
      <c r="BH78" s="281"/>
      <c r="BQ78" s="272"/>
      <c r="BZ78" s="272"/>
      <c r="CZ78" s="281"/>
      <c r="DI78" s="272"/>
      <c r="DQ78" s="272"/>
    </row>
    <row r="79" spans="13:121" x14ac:dyDescent="0.15">
      <c r="M79" s="272"/>
      <c r="V79" s="272"/>
      <c r="AG79" s="272"/>
      <c r="AO79" s="272"/>
      <c r="AX79" s="281"/>
      <c r="BH79" s="281"/>
      <c r="BQ79" s="272"/>
      <c r="BZ79" s="272"/>
      <c r="CZ79" s="281"/>
      <c r="DI79" s="272"/>
      <c r="DQ79" s="272"/>
    </row>
    <row r="80" spans="13:121" x14ac:dyDescent="0.15">
      <c r="M80" s="272"/>
      <c r="V80" s="272"/>
      <c r="AG80" s="272"/>
      <c r="AO80" s="272"/>
      <c r="AX80" s="281"/>
      <c r="BH80" s="281"/>
      <c r="BQ80" s="272"/>
      <c r="BZ80" s="272"/>
      <c r="CZ80" s="281"/>
      <c r="DI80" s="272"/>
      <c r="DQ80" s="272"/>
    </row>
    <row r="81" spans="13:121" x14ac:dyDescent="0.15">
      <c r="M81" s="272"/>
      <c r="V81" s="272"/>
      <c r="AG81" s="272"/>
      <c r="AO81" s="272"/>
      <c r="AX81" s="281"/>
      <c r="BH81" s="281"/>
      <c r="BQ81" s="272"/>
      <c r="BZ81" s="272"/>
      <c r="CZ81" s="281"/>
      <c r="DI81" s="272"/>
      <c r="DQ81" s="272"/>
    </row>
    <row r="82" spans="13:121" x14ac:dyDescent="0.15">
      <c r="M82" s="272"/>
      <c r="V82" s="272"/>
      <c r="AG82" s="272"/>
      <c r="AO82" s="272"/>
      <c r="AX82" s="281"/>
      <c r="BH82" s="281"/>
      <c r="BQ82" s="272"/>
      <c r="BZ82" s="272"/>
      <c r="CZ82" s="281"/>
      <c r="DI82" s="272"/>
      <c r="DQ82" s="272"/>
    </row>
    <row r="83" spans="13:121" x14ac:dyDescent="0.15">
      <c r="M83" s="272"/>
      <c r="V83" s="272"/>
      <c r="AG83" s="272"/>
      <c r="AO83" s="272"/>
      <c r="AX83" s="281"/>
      <c r="BH83" s="281"/>
      <c r="BQ83" s="272"/>
      <c r="BZ83" s="272"/>
      <c r="CZ83" s="281"/>
      <c r="DI83" s="272"/>
      <c r="DQ83" s="272"/>
    </row>
    <row r="84" spans="13:121" x14ac:dyDescent="0.15">
      <c r="M84" s="272"/>
      <c r="V84" s="272"/>
      <c r="AG84" s="272"/>
      <c r="AO84" s="272"/>
      <c r="AX84" s="281"/>
      <c r="BH84" s="281"/>
      <c r="BQ84" s="272"/>
      <c r="BZ84" s="272"/>
      <c r="CZ84" s="281"/>
      <c r="DI84" s="272"/>
      <c r="DQ84" s="272"/>
    </row>
    <row r="85" spans="13:121" x14ac:dyDescent="0.15">
      <c r="M85" s="272"/>
      <c r="V85" s="272"/>
      <c r="AG85" s="272"/>
      <c r="AO85" s="272"/>
      <c r="AX85" s="281"/>
      <c r="BH85" s="281"/>
      <c r="BQ85" s="272"/>
      <c r="BZ85" s="272"/>
      <c r="CZ85" s="281"/>
      <c r="DI85" s="272"/>
      <c r="DQ85" s="272"/>
    </row>
    <row r="86" spans="13:121" x14ac:dyDescent="0.15">
      <c r="M86" s="272"/>
      <c r="V86" s="272"/>
      <c r="AG86" s="272"/>
      <c r="AO86" s="272"/>
      <c r="AX86" s="281"/>
      <c r="BH86" s="281"/>
      <c r="BQ86" s="272"/>
      <c r="BZ86" s="272"/>
      <c r="CZ86" s="281"/>
      <c r="DI86" s="272"/>
      <c r="DQ86" s="272"/>
    </row>
    <row r="87" spans="13:121" x14ac:dyDescent="0.15">
      <c r="M87" s="272"/>
      <c r="V87" s="272"/>
      <c r="AG87" s="272"/>
      <c r="AO87" s="272"/>
      <c r="AX87" s="281"/>
      <c r="BH87" s="281"/>
      <c r="BQ87" s="272"/>
      <c r="BZ87" s="272"/>
      <c r="CZ87" s="281"/>
      <c r="DI87" s="272"/>
      <c r="DQ87" s="272"/>
    </row>
    <row r="88" spans="13:121" x14ac:dyDescent="0.15">
      <c r="M88" s="272"/>
      <c r="V88" s="272"/>
      <c r="AG88" s="272"/>
      <c r="AO88" s="272"/>
      <c r="AX88" s="281"/>
      <c r="BH88" s="281"/>
      <c r="BQ88" s="272"/>
      <c r="BZ88" s="272"/>
      <c r="CZ88" s="281"/>
      <c r="DI88" s="272"/>
      <c r="DQ88" s="272"/>
    </row>
    <row r="89" spans="13:121" x14ac:dyDescent="0.15">
      <c r="M89" s="272"/>
      <c r="V89" s="272"/>
      <c r="AG89" s="272"/>
      <c r="AO89" s="272"/>
      <c r="AX89" s="281"/>
      <c r="BH89" s="281"/>
      <c r="BQ89" s="272"/>
      <c r="BZ89" s="272"/>
      <c r="CZ89" s="281"/>
      <c r="DI89" s="272"/>
      <c r="DQ89" s="272"/>
    </row>
    <row r="90" spans="13:121" x14ac:dyDescent="0.15">
      <c r="M90" s="272"/>
      <c r="V90" s="272"/>
      <c r="AG90" s="272"/>
      <c r="AO90" s="272"/>
      <c r="AX90" s="281"/>
      <c r="BH90" s="281"/>
      <c r="BQ90" s="272"/>
      <c r="BZ90" s="272"/>
      <c r="CZ90" s="281"/>
      <c r="DI90" s="272"/>
      <c r="DQ90" s="272"/>
    </row>
    <row r="91" spans="13:121" x14ac:dyDescent="0.15">
      <c r="M91" s="272"/>
      <c r="V91" s="272"/>
      <c r="AG91" s="272"/>
      <c r="AO91" s="272"/>
      <c r="AX91" s="281"/>
      <c r="BH91" s="281"/>
      <c r="BQ91" s="272"/>
      <c r="BZ91" s="272"/>
      <c r="CZ91" s="281"/>
      <c r="DI91" s="272"/>
      <c r="DQ91" s="272"/>
    </row>
    <row r="92" spans="13:121" x14ac:dyDescent="0.15">
      <c r="M92" s="272"/>
      <c r="V92" s="272"/>
      <c r="AG92" s="272"/>
      <c r="AO92" s="272"/>
      <c r="AX92" s="281"/>
      <c r="BH92" s="281"/>
      <c r="BQ92" s="272"/>
      <c r="BZ92" s="272"/>
      <c r="CZ92" s="281"/>
      <c r="DI92" s="272"/>
      <c r="DQ92" s="272"/>
    </row>
    <row r="93" spans="13:121" x14ac:dyDescent="0.15">
      <c r="M93" s="272"/>
      <c r="V93" s="272"/>
      <c r="AG93" s="272"/>
      <c r="AO93" s="272"/>
      <c r="AX93" s="281"/>
      <c r="BH93" s="281"/>
      <c r="BQ93" s="272"/>
      <c r="BZ93" s="272"/>
      <c r="CZ93" s="281"/>
      <c r="DI93" s="272"/>
      <c r="DQ93" s="272"/>
    </row>
    <row r="94" spans="13:121" x14ac:dyDescent="0.15">
      <c r="M94" s="272"/>
      <c r="V94" s="272"/>
      <c r="AG94" s="272"/>
      <c r="AO94" s="272"/>
      <c r="AX94" s="281"/>
      <c r="BH94" s="281"/>
      <c r="BQ94" s="272"/>
      <c r="BZ94" s="272"/>
      <c r="CZ94" s="281"/>
      <c r="DI94" s="272"/>
      <c r="DQ94" s="272"/>
    </row>
    <row r="95" spans="13:121" x14ac:dyDescent="0.15">
      <c r="M95" s="272"/>
      <c r="V95" s="272"/>
      <c r="AG95" s="272"/>
      <c r="AO95" s="272"/>
      <c r="AX95" s="281"/>
      <c r="BH95" s="281"/>
      <c r="BQ95" s="272"/>
      <c r="BZ95" s="272"/>
      <c r="CZ95" s="281"/>
      <c r="DI95" s="272"/>
      <c r="DQ95" s="272"/>
    </row>
    <row r="96" spans="13:121" x14ac:dyDescent="0.15">
      <c r="M96" s="272"/>
      <c r="V96" s="272"/>
      <c r="AG96" s="272"/>
      <c r="AO96" s="272"/>
      <c r="AX96" s="281"/>
      <c r="BH96" s="281"/>
      <c r="BQ96" s="272"/>
      <c r="BZ96" s="272"/>
      <c r="CZ96" s="281"/>
      <c r="DI96" s="272"/>
      <c r="DQ96" s="272"/>
    </row>
    <row r="97" spans="13:121" x14ac:dyDescent="0.15">
      <c r="M97" s="272"/>
      <c r="V97" s="272"/>
      <c r="AG97" s="272"/>
      <c r="AO97" s="272"/>
      <c r="AX97" s="281"/>
      <c r="BH97" s="281"/>
      <c r="BQ97" s="272"/>
      <c r="BZ97" s="272"/>
      <c r="CZ97" s="281"/>
      <c r="DI97" s="272"/>
      <c r="DQ97" s="272"/>
    </row>
    <row r="98" spans="13:121" x14ac:dyDescent="0.15">
      <c r="M98" s="272"/>
      <c r="V98" s="272"/>
      <c r="AG98" s="272"/>
      <c r="AO98" s="272"/>
      <c r="AX98" s="281"/>
      <c r="BH98" s="281"/>
      <c r="BQ98" s="272"/>
      <c r="BZ98" s="272"/>
      <c r="CZ98" s="281"/>
      <c r="DI98" s="272"/>
      <c r="DQ98" s="272"/>
    </row>
    <row r="99" spans="13:121" x14ac:dyDescent="0.15">
      <c r="M99" s="272"/>
      <c r="V99" s="272"/>
      <c r="AG99" s="272"/>
      <c r="AO99" s="272"/>
      <c r="AX99" s="281"/>
      <c r="BH99" s="281"/>
      <c r="BQ99" s="272"/>
      <c r="BZ99" s="272"/>
      <c r="CZ99" s="281"/>
      <c r="DI99" s="272"/>
      <c r="DQ99" s="272"/>
    </row>
    <row r="100" spans="13:121" x14ac:dyDescent="0.15">
      <c r="M100" s="272"/>
      <c r="V100" s="272"/>
      <c r="AG100" s="272"/>
      <c r="AO100" s="272"/>
      <c r="AX100" s="281"/>
      <c r="BH100" s="281"/>
      <c r="BQ100" s="272"/>
      <c r="BZ100" s="272"/>
      <c r="CZ100" s="281"/>
      <c r="DI100" s="272"/>
      <c r="DQ100" s="272"/>
    </row>
    <row r="101" spans="13:121" x14ac:dyDescent="0.15">
      <c r="M101" s="272"/>
      <c r="V101" s="272"/>
      <c r="AG101" s="272"/>
      <c r="AO101" s="272"/>
      <c r="AX101" s="281"/>
      <c r="BH101" s="281"/>
      <c r="BQ101" s="272"/>
      <c r="BZ101" s="272"/>
      <c r="CZ101" s="281"/>
      <c r="DI101" s="272"/>
      <c r="DQ101" s="272"/>
    </row>
    <row r="102" spans="13:121" x14ac:dyDescent="0.15">
      <c r="M102" s="272"/>
      <c r="V102" s="272"/>
      <c r="AG102" s="272"/>
      <c r="AO102" s="272"/>
      <c r="AX102" s="281"/>
      <c r="BH102" s="281"/>
      <c r="BQ102" s="272"/>
      <c r="BZ102" s="272"/>
      <c r="CZ102" s="281"/>
      <c r="DI102" s="272"/>
      <c r="DQ102" s="272"/>
    </row>
    <row r="103" spans="13:121" x14ac:dyDescent="0.15">
      <c r="M103" s="272"/>
      <c r="V103" s="272"/>
      <c r="AG103" s="272"/>
      <c r="AO103" s="272"/>
      <c r="AX103" s="281"/>
      <c r="BH103" s="281"/>
      <c r="BQ103" s="272"/>
      <c r="BZ103" s="272"/>
      <c r="CZ103" s="281"/>
      <c r="DI103" s="272"/>
      <c r="DQ103" s="272"/>
    </row>
    <row r="104" spans="13:121" x14ac:dyDescent="0.15">
      <c r="M104" s="272"/>
      <c r="V104" s="272"/>
      <c r="AG104" s="272"/>
      <c r="AO104" s="272"/>
      <c r="AX104" s="281"/>
      <c r="BH104" s="281"/>
      <c r="BQ104" s="272"/>
      <c r="BZ104" s="272"/>
      <c r="CZ104" s="281"/>
      <c r="DI104" s="272"/>
      <c r="DQ104" s="272"/>
    </row>
    <row r="105" spans="13:121" x14ac:dyDescent="0.15">
      <c r="M105" s="272"/>
      <c r="V105" s="272"/>
      <c r="AG105" s="272"/>
      <c r="AO105" s="272"/>
      <c r="AX105" s="281"/>
      <c r="BH105" s="281"/>
      <c r="BQ105" s="272"/>
      <c r="BZ105" s="272"/>
      <c r="CZ105" s="281"/>
      <c r="DI105" s="272"/>
      <c r="DQ105" s="272"/>
    </row>
    <row r="106" spans="13:121" x14ac:dyDescent="0.15">
      <c r="M106" s="272"/>
      <c r="V106" s="272"/>
      <c r="AG106" s="272"/>
      <c r="AO106" s="272"/>
      <c r="AX106" s="281"/>
      <c r="BH106" s="281"/>
      <c r="BQ106" s="272"/>
      <c r="BZ106" s="272"/>
      <c r="CZ106" s="281"/>
      <c r="DI106" s="272"/>
      <c r="DQ106" s="272"/>
    </row>
    <row r="107" spans="13:121" x14ac:dyDescent="0.15">
      <c r="M107" s="272"/>
      <c r="V107" s="272"/>
      <c r="AG107" s="272"/>
      <c r="AO107" s="272"/>
      <c r="AX107" s="281"/>
      <c r="BH107" s="281"/>
      <c r="BQ107" s="272"/>
      <c r="BZ107" s="272"/>
      <c r="CZ107" s="281"/>
      <c r="DI107" s="272"/>
      <c r="DQ107" s="272"/>
    </row>
    <row r="108" spans="13:121" x14ac:dyDescent="0.15">
      <c r="M108" s="272"/>
      <c r="V108" s="272"/>
      <c r="AG108" s="272"/>
      <c r="AO108" s="272"/>
      <c r="AX108" s="281"/>
      <c r="BH108" s="281"/>
      <c r="BQ108" s="272"/>
      <c r="BZ108" s="272"/>
      <c r="CZ108" s="281"/>
      <c r="DI108" s="272"/>
      <c r="DQ108" s="272"/>
    </row>
    <row r="109" spans="13:121" x14ac:dyDescent="0.15">
      <c r="M109" s="272"/>
      <c r="V109" s="272"/>
      <c r="AG109" s="272"/>
      <c r="AO109" s="272"/>
      <c r="AX109" s="281"/>
      <c r="BH109" s="281"/>
      <c r="BQ109" s="272"/>
      <c r="BZ109" s="272"/>
      <c r="CZ109" s="281"/>
      <c r="DI109" s="272"/>
      <c r="DQ109" s="272"/>
    </row>
    <row r="110" spans="13:121" x14ac:dyDescent="0.15">
      <c r="M110" s="272"/>
      <c r="V110" s="272"/>
      <c r="AG110" s="272"/>
      <c r="AO110" s="272"/>
      <c r="AX110" s="281"/>
      <c r="BH110" s="281"/>
      <c r="BQ110" s="272"/>
      <c r="BZ110" s="272"/>
      <c r="CZ110" s="281"/>
      <c r="DI110" s="272"/>
      <c r="DQ110" s="272"/>
    </row>
    <row r="111" spans="13:121" x14ac:dyDescent="0.15">
      <c r="M111" s="272"/>
      <c r="V111" s="272"/>
      <c r="AG111" s="272"/>
      <c r="AO111" s="272"/>
      <c r="AX111" s="281"/>
      <c r="BH111" s="281"/>
      <c r="BQ111" s="272"/>
      <c r="BZ111" s="272"/>
      <c r="CZ111" s="281"/>
      <c r="DI111" s="272"/>
      <c r="DQ111" s="272"/>
    </row>
    <row r="112" spans="13:121" x14ac:dyDescent="0.15">
      <c r="M112" s="272"/>
      <c r="V112" s="272"/>
      <c r="AG112" s="272"/>
      <c r="AO112" s="272"/>
      <c r="AX112" s="281"/>
      <c r="BH112" s="281"/>
      <c r="BQ112" s="272"/>
      <c r="BZ112" s="272"/>
      <c r="CZ112" s="281"/>
      <c r="DI112" s="272"/>
      <c r="DQ112" s="272"/>
    </row>
    <row r="113" spans="13:121" x14ac:dyDescent="0.15">
      <c r="M113" s="272"/>
      <c r="V113" s="272"/>
      <c r="AG113" s="272"/>
      <c r="AO113" s="272"/>
      <c r="AX113" s="281"/>
      <c r="BH113" s="281"/>
      <c r="BQ113" s="272"/>
      <c r="BZ113" s="272"/>
      <c r="CZ113" s="281"/>
      <c r="DI113" s="272"/>
      <c r="DQ113" s="272"/>
    </row>
    <row r="114" spans="13:121" x14ac:dyDescent="0.15">
      <c r="M114" s="272"/>
      <c r="V114" s="272"/>
      <c r="AG114" s="272"/>
      <c r="AO114" s="272"/>
      <c r="AX114" s="281"/>
      <c r="BH114" s="281"/>
      <c r="BQ114" s="272"/>
      <c r="BZ114" s="272"/>
      <c r="CZ114" s="281"/>
      <c r="DI114" s="272"/>
      <c r="DQ114" s="272"/>
    </row>
    <row r="115" spans="13:121" x14ac:dyDescent="0.15">
      <c r="M115" s="272"/>
      <c r="V115" s="272"/>
      <c r="AG115" s="272"/>
      <c r="AO115" s="272"/>
      <c r="AX115" s="281"/>
      <c r="BH115" s="281"/>
      <c r="BQ115" s="272"/>
      <c r="BZ115" s="272"/>
      <c r="CZ115" s="281"/>
      <c r="DI115" s="272"/>
      <c r="DQ115" s="272"/>
    </row>
    <row r="116" spans="13:121" x14ac:dyDescent="0.15">
      <c r="M116" s="272"/>
      <c r="V116" s="272"/>
      <c r="AG116" s="272"/>
      <c r="AO116" s="272"/>
      <c r="AX116" s="281"/>
      <c r="BH116" s="281"/>
      <c r="BQ116" s="272"/>
      <c r="BZ116" s="272"/>
      <c r="CZ116" s="281"/>
      <c r="DI116" s="272"/>
      <c r="DQ116" s="272"/>
    </row>
    <row r="117" spans="13:121" x14ac:dyDescent="0.15">
      <c r="M117" s="272"/>
      <c r="V117" s="272"/>
      <c r="AG117" s="272"/>
      <c r="AO117" s="272"/>
      <c r="AX117" s="281"/>
      <c r="BH117" s="281"/>
      <c r="BQ117" s="272"/>
      <c r="BZ117" s="272"/>
      <c r="CZ117" s="281"/>
      <c r="DI117" s="272"/>
      <c r="DQ117" s="272"/>
    </row>
    <row r="118" spans="13:121" x14ac:dyDescent="0.15">
      <c r="M118" s="272"/>
      <c r="V118" s="272"/>
      <c r="AG118" s="272"/>
      <c r="AO118" s="272"/>
      <c r="AX118" s="281"/>
      <c r="BH118" s="281"/>
      <c r="BQ118" s="272"/>
      <c r="BZ118" s="272"/>
      <c r="CZ118" s="281"/>
      <c r="DI118" s="272"/>
      <c r="DQ118" s="272"/>
    </row>
    <row r="119" spans="13:121" x14ac:dyDescent="0.15">
      <c r="M119" s="272"/>
      <c r="V119" s="272"/>
      <c r="AG119" s="272"/>
      <c r="AO119" s="272"/>
      <c r="AX119" s="281"/>
      <c r="BH119" s="281"/>
      <c r="BQ119" s="272"/>
      <c r="BZ119" s="272"/>
      <c r="CZ119" s="281"/>
      <c r="DI119" s="272"/>
      <c r="DQ119" s="272"/>
    </row>
    <row r="120" spans="13:121" x14ac:dyDescent="0.15">
      <c r="M120" s="272"/>
      <c r="V120" s="272"/>
      <c r="AG120" s="272"/>
      <c r="AO120" s="272"/>
      <c r="AX120" s="281"/>
      <c r="BH120" s="281"/>
      <c r="BQ120" s="272"/>
      <c r="BZ120" s="272"/>
      <c r="CZ120" s="281"/>
      <c r="DI120" s="272"/>
      <c r="DQ120" s="272"/>
    </row>
    <row r="121" spans="13:121" x14ac:dyDescent="0.15">
      <c r="M121" s="272"/>
      <c r="V121" s="272"/>
      <c r="AG121" s="272"/>
      <c r="AO121" s="272"/>
      <c r="AX121" s="281"/>
      <c r="BH121" s="281"/>
      <c r="BQ121" s="272"/>
      <c r="BZ121" s="272"/>
      <c r="CZ121" s="281"/>
      <c r="DI121" s="272"/>
      <c r="DQ121" s="272"/>
    </row>
    <row r="122" spans="13:121" x14ac:dyDescent="0.15">
      <c r="M122" s="272"/>
      <c r="V122" s="272"/>
      <c r="AG122" s="272"/>
      <c r="AO122" s="272"/>
      <c r="AX122" s="281"/>
      <c r="BH122" s="281"/>
      <c r="BQ122" s="272"/>
      <c r="BZ122" s="272"/>
      <c r="CZ122" s="281"/>
      <c r="DI122" s="272"/>
      <c r="DQ122" s="272"/>
    </row>
    <row r="123" spans="13:121" x14ac:dyDescent="0.15">
      <c r="M123" s="272"/>
      <c r="V123" s="272"/>
      <c r="AG123" s="272"/>
      <c r="AO123" s="272"/>
      <c r="AX123" s="281"/>
      <c r="BH123" s="281"/>
      <c r="BQ123" s="272"/>
      <c r="BZ123" s="272"/>
      <c r="CZ123" s="281"/>
      <c r="DI123" s="272"/>
      <c r="DQ123" s="272"/>
    </row>
    <row r="124" spans="13:121" x14ac:dyDescent="0.15">
      <c r="M124" s="272"/>
      <c r="V124" s="272"/>
      <c r="AG124" s="272"/>
      <c r="AO124" s="272"/>
      <c r="AX124" s="281"/>
      <c r="BH124" s="281"/>
      <c r="BQ124" s="272"/>
      <c r="BZ124" s="272"/>
      <c r="CZ124" s="281"/>
      <c r="DI124" s="272"/>
      <c r="DQ124" s="272"/>
    </row>
    <row r="125" spans="13:121" x14ac:dyDescent="0.15">
      <c r="M125" s="272"/>
      <c r="V125" s="272"/>
      <c r="AG125" s="272"/>
      <c r="AO125" s="272"/>
      <c r="AX125" s="281"/>
      <c r="BH125" s="281"/>
      <c r="BQ125" s="272"/>
      <c r="BZ125" s="272"/>
      <c r="CZ125" s="281"/>
      <c r="DI125" s="272"/>
      <c r="DQ125" s="272"/>
    </row>
    <row r="126" spans="13:121" x14ac:dyDescent="0.15">
      <c r="M126" s="272"/>
      <c r="V126" s="272"/>
      <c r="AG126" s="272"/>
      <c r="AO126" s="272"/>
      <c r="AX126" s="281"/>
      <c r="BH126" s="281"/>
      <c r="BQ126" s="272"/>
      <c r="BZ126" s="272"/>
      <c r="CZ126" s="281"/>
      <c r="DI126" s="272"/>
      <c r="DQ126" s="272"/>
    </row>
    <row r="127" spans="13:121" x14ac:dyDescent="0.15">
      <c r="M127" s="272"/>
      <c r="V127" s="272"/>
      <c r="AG127" s="272"/>
      <c r="AO127" s="272"/>
      <c r="AX127" s="281"/>
      <c r="BH127" s="281"/>
      <c r="BQ127" s="272"/>
      <c r="BZ127" s="272"/>
      <c r="CZ127" s="281"/>
      <c r="DI127" s="272"/>
      <c r="DQ127" s="272"/>
    </row>
    <row r="128" spans="13:121" x14ac:dyDescent="0.15">
      <c r="M128" s="272"/>
      <c r="V128" s="272"/>
      <c r="AG128" s="272"/>
      <c r="AO128" s="272"/>
      <c r="AX128" s="281"/>
      <c r="BH128" s="281"/>
      <c r="BQ128" s="272"/>
      <c r="BZ128" s="272"/>
      <c r="CZ128" s="281"/>
      <c r="DI128" s="272"/>
      <c r="DQ128" s="272"/>
    </row>
    <row r="129" spans="13:121" x14ac:dyDescent="0.15">
      <c r="M129" s="272"/>
      <c r="V129" s="272"/>
      <c r="AG129" s="272"/>
      <c r="AO129" s="272"/>
      <c r="AX129" s="281"/>
      <c r="BH129" s="281"/>
      <c r="BQ129" s="272"/>
      <c r="BZ129" s="272"/>
      <c r="CZ129" s="281"/>
      <c r="DI129" s="272"/>
      <c r="DQ129" s="272"/>
    </row>
    <row r="130" spans="13:121" x14ac:dyDescent="0.15">
      <c r="M130" s="272"/>
      <c r="V130" s="272"/>
      <c r="AG130" s="272"/>
      <c r="AO130" s="272"/>
      <c r="AX130" s="281"/>
      <c r="BH130" s="281"/>
      <c r="BQ130" s="272"/>
      <c r="BZ130" s="272"/>
      <c r="CZ130" s="281"/>
      <c r="DI130" s="272"/>
      <c r="DQ130" s="272"/>
    </row>
    <row r="131" spans="13:121" x14ac:dyDescent="0.15">
      <c r="M131" s="272"/>
      <c r="V131" s="272"/>
      <c r="AG131" s="272"/>
      <c r="AO131" s="272"/>
      <c r="AX131" s="281"/>
      <c r="BH131" s="281"/>
      <c r="BQ131" s="272"/>
      <c r="BZ131" s="272"/>
      <c r="CZ131" s="281"/>
      <c r="DI131" s="272"/>
      <c r="DQ131" s="272"/>
    </row>
    <row r="132" spans="13:121" x14ac:dyDescent="0.15">
      <c r="M132" s="272"/>
      <c r="V132" s="272"/>
      <c r="AG132" s="272"/>
      <c r="AO132" s="272"/>
      <c r="AX132" s="281"/>
      <c r="BH132" s="281"/>
      <c r="BQ132" s="272"/>
      <c r="BZ132" s="272"/>
      <c r="CZ132" s="281"/>
      <c r="DI132" s="272"/>
      <c r="DQ132" s="272"/>
    </row>
    <row r="133" spans="13:121" x14ac:dyDescent="0.15">
      <c r="M133" s="272"/>
      <c r="V133" s="272"/>
      <c r="AG133" s="272"/>
      <c r="AO133" s="272"/>
      <c r="AX133" s="281"/>
      <c r="BH133" s="281"/>
      <c r="BQ133" s="272"/>
      <c r="BZ133" s="272"/>
      <c r="CZ133" s="281"/>
      <c r="DI133" s="272"/>
      <c r="DQ133" s="272"/>
    </row>
    <row r="134" spans="13:121" x14ac:dyDescent="0.15">
      <c r="M134" s="272"/>
      <c r="V134" s="272"/>
      <c r="AG134" s="272"/>
      <c r="AO134" s="272"/>
      <c r="AX134" s="281"/>
      <c r="BH134" s="281"/>
      <c r="BQ134" s="272"/>
      <c r="BZ134" s="272"/>
      <c r="CZ134" s="281"/>
      <c r="DI134" s="272"/>
      <c r="DQ134" s="272"/>
    </row>
    <row r="135" spans="13:121" x14ac:dyDescent="0.15">
      <c r="M135" s="272"/>
      <c r="V135" s="272"/>
      <c r="AG135" s="272"/>
      <c r="AO135" s="272"/>
      <c r="AX135" s="281"/>
      <c r="BH135" s="281"/>
      <c r="BQ135" s="272"/>
      <c r="BZ135" s="272"/>
      <c r="CZ135" s="281"/>
      <c r="DI135" s="272"/>
      <c r="DQ135" s="272"/>
    </row>
    <row r="136" spans="13:121" x14ac:dyDescent="0.15">
      <c r="M136" s="272"/>
      <c r="V136" s="272"/>
      <c r="AG136" s="272"/>
      <c r="AO136" s="272"/>
      <c r="AX136" s="281"/>
      <c r="BH136" s="281"/>
      <c r="BQ136" s="272"/>
      <c r="BZ136" s="272"/>
      <c r="CZ136" s="281"/>
      <c r="DI136" s="272"/>
      <c r="DQ136" s="272"/>
    </row>
    <row r="137" spans="13:121" x14ac:dyDescent="0.15">
      <c r="M137" s="272"/>
      <c r="V137" s="272"/>
      <c r="AG137" s="272"/>
      <c r="AO137" s="272"/>
      <c r="AX137" s="281"/>
      <c r="BH137" s="281"/>
      <c r="BQ137" s="272"/>
      <c r="BZ137" s="272"/>
      <c r="CZ137" s="281"/>
      <c r="DI137" s="272"/>
      <c r="DQ137" s="272"/>
    </row>
    <row r="138" spans="13:121" x14ac:dyDescent="0.15">
      <c r="M138" s="272"/>
      <c r="V138" s="272"/>
      <c r="AG138" s="272"/>
      <c r="AO138" s="272"/>
      <c r="AX138" s="281"/>
      <c r="BH138" s="281"/>
      <c r="BQ138" s="272"/>
      <c r="BZ138" s="272"/>
      <c r="CZ138" s="281"/>
      <c r="DI138" s="272"/>
      <c r="DQ138" s="272"/>
    </row>
    <row r="139" spans="13:121" x14ac:dyDescent="0.15">
      <c r="M139" s="272"/>
      <c r="V139" s="272"/>
      <c r="AG139" s="272"/>
      <c r="AO139" s="272"/>
      <c r="AX139" s="281"/>
      <c r="BH139" s="281"/>
      <c r="BQ139" s="272"/>
      <c r="BZ139" s="272"/>
      <c r="CZ139" s="281"/>
      <c r="DI139" s="272"/>
      <c r="DQ139" s="272"/>
    </row>
    <row r="140" spans="13:121" x14ac:dyDescent="0.15">
      <c r="M140" s="272"/>
      <c r="V140" s="272"/>
      <c r="AG140" s="272"/>
      <c r="AO140" s="272"/>
      <c r="AX140" s="281"/>
      <c r="BH140" s="281"/>
      <c r="BQ140" s="272"/>
      <c r="BZ140" s="272"/>
      <c r="CZ140" s="281"/>
      <c r="DI140" s="272"/>
      <c r="DQ140" s="272"/>
    </row>
    <row r="141" spans="13:121" x14ac:dyDescent="0.15">
      <c r="M141" s="272"/>
      <c r="V141" s="272"/>
      <c r="AG141" s="272"/>
      <c r="AO141" s="272"/>
      <c r="AX141" s="281"/>
      <c r="BH141" s="281"/>
      <c r="BQ141" s="272"/>
      <c r="BZ141" s="272"/>
      <c r="CZ141" s="281"/>
      <c r="DI141" s="272"/>
      <c r="DQ141" s="272"/>
    </row>
    <row r="142" spans="13:121" x14ac:dyDescent="0.15">
      <c r="M142" s="272"/>
      <c r="V142" s="272"/>
      <c r="AG142" s="272"/>
      <c r="AO142" s="272"/>
      <c r="AX142" s="281"/>
      <c r="BH142" s="281"/>
      <c r="BQ142" s="272"/>
      <c r="BZ142" s="272"/>
      <c r="CZ142" s="281"/>
      <c r="DI142" s="272"/>
      <c r="DQ142" s="272"/>
    </row>
    <row r="143" spans="13:121" x14ac:dyDescent="0.15">
      <c r="M143" s="272"/>
      <c r="V143" s="272"/>
      <c r="AG143" s="272"/>
      <c r="AO143" s="272"/>
      <c r="AX143" s="281"/>
      <c r="BH143" s="281"/>
      <c r="BQ143" s="272"/>
      <c r="BZ143" s="272"/>
      <c r="CZ143" s="281"/>
      <c r="DI143" s="272"/>
      <c r="DQ143" s="272"/>
    </row>
    <row r="144" spans="13:121" x14ac:dyDescent="0.15">
      <c r="M144" s="272"/>
      <c r="V144" s="272"/>
      <c r="AG144" s="272"/>
      <c r="AO144" s="272"/>
      <c r="AX144" s="281"/>
      <c r="BH144" s="281"/>
      <c r="BQ144" s="272"/>
      <c r="BZ144" s="272"/>
      <c r="CZ144" s="281"/>
      <c r="DI144" s="272"/>
      <c r="DQ144" s="272"/>
    </row>
    <row r="145" spans="13:121" x14ac:dyDescent="0.15">
      <c r="M145" s="272"/>
      <c r="V145" s="272"/>
      <c r="AG145" s="272"/>
      <c r="AO145" s="272"/>
      <c r="AX145" s="281"/>
      <c r="BH145" s="281"/>
      <c r="BQ145" s="272"/>
      <c r="BZ145" s="272"/>
      <c r="CZ145" s="281"/>
      <c r="DI145" s="272"/>
      <c r="DQ145" s="272"/>
    </row>
    <row r="146" spans="13:121" x14ac:dyDescent="0.15">
      <c r="M146" s="272"/>
      <c r="V146" s="272"/>
      <c r="AG146" s="272"/>
      <c r="AO146" s="272"/>
      <c r="AX146" s="281"/>
      <c r="BH146" s="281"/>
      <c r="BQ146" s="272"/>
      <c r="BZ146" s="272"/>
      <c r="CZ146" s="281"/>
      <c r="DI146" s="272"/>
      <c r="DQ146" s="272"/>
    </row>
    <row r="147" spans="13:121" x14ac:dyDescent="0.15">
      <c r="M147" s="272"/>
      <c r="V147" s="272"/>
      <c r="AG147" s="272"/>
      <c r="AO147" s="272"/>
      <c r="AX147" s="281"/>
      <c r="BH147" s="281"/>
      <c r="BQ147" s="272"/>
      <c r="BZ147" s="272"/>
      <c r="CZ147" s="281"/>
      <c r="DI147" s="272"/>
      <c r="DQ147" s="272"/>
    </row>
    <row r="148" spans="13:121" x14ac:dyDescent="0.15">
      <c r="M148" s="272"/>
      <c r="V148" s="272"/>
      <c r="AG148" s="272"/>
      <c r="AO148" s="272"/>
      <c r="AX148" s="281"/>
      <c r="BH148" s="281"/>
      <c r="BQ148" s="272"/>
      <c r="BZ148" s="272"/>
      <c r="CZ148" s="281"/>
      <c r="DI148" s="272"/>
      <c r="DQ148" s="272"/>
    </row>
    <row r="149" spans="13:121" x14ac:dyDescent="0.15">
      <c r="M149" s="272"/>
      <c r="V149" s="272"/>
      <c r="AG149" s="272"/>
      <c r="AO149" s="272"/>
      <c r="AX149" s="281"/>
      <c r="BH149" s="281"/>
      <c r="BQ149" s="272"/>
      <c r="BZ149" s="272"/>
      <c r="CZ149" s="281"/>
      <c r="DI149" s="272"/>
      <c r="DQ149" s="272"/>
    </row>
    <row r="150" spans="13:121" x14ac:dyDescent="0.15">
      <c r="M150" s="272"/>
      <c r="V150" s="272"/>
      <c r="AG150" s="272"/>
      <c r="AO150" s="272"/>
      <c r="AX150" s="281"/>
      <c r="BH150" s="281"/>
      <c r="BQ150" s="272"/>
      <c r="BZ150" s="272"/>
      <c r="CZ150" s="281"/>
      <c r="DI150" s="272"/>
      <c r="DQ150" s="272"/>
    </row>
    <row r="151" spans="13:121" x14ac:dyDescent="0.15">
      <c r="M151" s="272"/>
      <c r="V151" s="272"/>
      <c r="AG151" s="272"/>
      <c r="AO151" s="272"/>
      <c r="AX151" s="281"/>
      <c r="BH151" s="281"/>
      <c r="BQ151" s="272"/>
      <c r="BZ151" s="272"/>
      <c r="CZ151" s="281"/>
      <c r="DI151" s="272"/>
      <c r="DQ151" s="272"/>
    </row>
    <row r="152" spans="13:121" x14ac:dyDescent="0.15">
      <c r="M152" s="272"/>
      <c r="V152" s="272"/>
      <c r="AG152" s="272"/>
      <c r="AO152" s="272"/>
      <c r="AX152" s="281"/>
      <c r="BH152" s="281"/>
      <c r="BQ152" s="272"/>
      <c r="BZ152" s="272"/>
      <c r="CZ152" s="281"/>
      <c r="DI152" s="272"/>
      <c r="DQ152" s="272"/>
    </row>
    <row r="153" spans="13:121" x14ac:dyDescent="0.15">
      <c r="M153" s="272"/>
      <c r="V153" s="272"/>
      <c r="AG153" s="272"/>
      <c r="AO153" s="272"/>
      <c r="AX153" s="281"/>
      <c r="BH153" s="281"/>
      <c r="BQ153" s="272"/>
      <c r="BZ153" s="272"/>
      <c r="CZ153" s="281"/>
      <c r="DI153" s="272"/>
      <c r="DQ153" s="272"/>
    </row>
    <row r="154" spans="13:121" x14ac:dyDescent="0.15">
      <c r="M154" s="272"/>
      <c r="V154" s="272"/>
      <c r="AG154" s="272"/>
      <c r="AO154" s="272"/>
      <c r="AX154" s="281"/>
      <c r="BH154" s="281"/>
      <c r="BQ154" s="272"/>
      <c r="BZ154" s="272"/>
      <c r="CZ154" s="281"/>
      <c r="DI154" s="272"/>
      <c r="DQ154" s="272"/>
    </row>
    <row r="155" spans="13:121" x14ac:dyDescent="0.15">
      <c r="M155" s="272"/>
      <c r="V155" s="272"/>
      <c r="AG155" s="272"/>
      <c r="AO155" s="272"/>
      <c r="AX155" s="281"/>
      <c r="BH155" s="281"/>
      <c r="BQ155" s="272"/>
      <c r="BZ155" s="272"/>
      <c r="CZ155" s="281"/>
      <c r="DI155" s="272"/>
      <c r="DQ155" s="272"/>
    </row>
    <row r="156" spans="13:121" x14ac:dyDescent="0.15">
      <c r="M156" s="272"/>
      <c r="V156" s="272"/>
      <c r="AG156" s="272"/>
      <c r="AO156" s="272"/>
      <c r="AX156" s="281"/>
      <c r="BH156" s="281"/>
      <c r="BQ156" s="272"/>
      <c r="BZ156" s="272"/>
      <c r="CZ156" s="281"/>
      <c r="DI156" s="272"/>
      <c r="DQ156" s="272"/>
    </row>
    <row r="157" spans="13:121" x14ac:dyDescent="0.15">
      <c r="M157" s="272"/>
      <c r="V157" s="272"/>
      <c r="AG157" s="272"/>
      <c r="AO157" s="272"/>
      <c r="AX157" s="281"/>
      <c r="BH157" s="281"/>
      <c r="BQ157" s="272"/>
      <c r="BZ157" s="272"/>
      <c r="CZ157" s="281"/>
      <c r="DI157" s="272"/>
      <c r="DQ157" s="272"/>
    </row>
    <row r="158" spans="13:121" x14ac:dyDescent="0.15">
      <c r="M158" s="272"/>
      <c r="V158" s="272"/>
      <c r="AG158" s="272"/>
      <c r="AO158" s="272"/>
      <c r="AX158" s="281"/>
      <c r="BH158" s="281"/>
      <c r="BQ158" s="272"/>
      <c r="BZ158" s="272"/>
      <c r="CZ158" s="281"/>
      <c r="DI158" s="272"/>
      <c r="DQ158" s="272"/>
    </row>
    <row r="159" spans="13:121" x14ac:dyDescent="0.15">
      <c r="M159" s="272"/>
      <c r="V159" s="272"/>
      <c r="AG159" s="272"/>
      <c r="AO159" s="272"/>
      <c r="AX159" s="281"/>
      <c r="BH159" s="281"/>
      <c r="BQ159" s="272"/>
      <c r="BZ159" s="272"/>
      <c r="CZ159" s="281"/>
      <c r="DI159" s="272"/>
      <c r="DQ159" s="272"/>
    </row>
    <row r="160" spans="13:121" x14ac:dyDescent="0.15">
      <c r="M160" s="272"/>
      <c r="V160" s="272"/>
      <c r="AG160" s="272"/>
      <c r="AO160" s="272"/>
      <c r="AX160" s="281"/>
      <c r="BH160" s="281"/>
      <c r="BQ160" s="272"/>
      <c r="BZ160" s="272"/>
      <c r="CZ160" s="281"/>
      <c r="DI160" s="272"/>
      <c r="DQ160" s="272"/>
    </row>
    <row r="161" spans="13:121" x14ac:dyDescent="0.15">
      <c r="M161" s="272"/>
      <c r="V161" s="272"/>
      <c r="AG161" s="272"/>
      <c r="AO161" s="272"/>
      <c r="AX161" s="281"/>
      <c r="BH161" s="281"/>
      <c r="BQ161" s="272"/>
      <c r="BZ161" s="272"/>
      <c r="CZ161" s="281"/>
      <c r="DI161" s="272"/>
      <c r="DQ161" s="272"/>
    </row>
    <row r="162" spans="13:121" x14ac:dyDescent="0.15">
      <c r="M162" s="272"/>
      <c r="V162" s="272"/>
      <c r="AG162" s="272"/>
      <c r="AO162" s="272"/>
      <c r="AX162" s="281"/>
      <c r="BH162" s="281"/>
      <c r="BQ162" s="272"/>
      <c r="BZ162" s="272"/>
      <c r="CZ162" s="281"/>
      <c r="DI162" s="272"/>
      <c r="DQ162" s="272"/>
    </row>
    <row r="163" spans="13:121" x14ac:dyDescent="0.15">
      <c r="M163" s="272"/>
      <c r="V163" s="272"/>
      <c r="AG163" s="272"/>
      <c r="AO163" s="272"/>
      <c r="AX163" s="281"/>
      <c r="BH163" s="281"/>
      <c r="BQ163" s="272"/>
      <c r="BZ163" s="272"/>
      <c r="CZ163" s="281"/>
      <c r="DI163" s="272"/>
      <c r="DQ163" s="272"/>
    </row>
    <row r="164" spans="13:121" x14ac:dyDescent="0.15">
      <c r="M164" s="272"/>
      <c r="V164" s="272"/>
      <c r="AG164" s="272"/>
      <c r="AO164" s="272"/>
      <c r="AX164" s="281"/>
      <c r="BH164" s="281"/>
      <c r="BQ164" s="272"/>
      <c r="BZ164" s="272"/>
      <c r="CZ164" s="281"/>
      <c r="DI164" s="272"/>
      <c r="DQ164" s="272"/>
    </row>
    <row r="165" spans="13:121" x14ac:dyDescent="0.15">
      <c r="M165" s="272"/>
      <c r="V165" s="272"/>
      <c r="AG165" s="272"/>
      <c r="AO165" s="272"/>
      <c r="AX165" s="281"/>
      <c r="BH165" s="281"/>
      <c r="BQ165" s="272"/>
      <c r="BZ165" s="272"/>
      <c r="CZ165" s="281"/>
      <c r="DI165" s="272"/>
      <c r="DQ165" s="272"/>
    </row>
    <row r="166" spans="13:121" x14ac:dyDescent="0.15">
      <c r="M166" s="272"/>
      <c r="V166" s="272"/>
      <c r="AG166" s="272"/>
      <c r="AO166" s="272"/>
      <c r="AX166" s="281"/>
      <c r="BH166" s="281"/>
      <c r="BQ166" s="272"/>
      <c r="BZ166" s="272"/>
      <c r="CZ166" s="281"/>
      <c r="DI166" s="272"/>
      <c r="DQ166" s="272"/>
    </row>
    <row r="167" spans="13:121" x14ac:dyDescent="0.15">
      <c r="M167" s="272"/>
      <c r="V167" s="272"/>
      <c r="AG167" s="272"/>
      <c r="AO167" s="272"/>
      <c r="AX167" s="281"/>
      <c r="BH167" s="281"/>
      <c r="BQ167" s="272"/>
      <c r="BZ167" s="272"/>
      <c r="CZ167" s="281"/>
      <c r="DI167" s="272"/>
      <c r="DQ167" s="272"/>
    </row>
    <row r="168" spans="13:121" x14ac:dyDescent="0.15">
      <c r="M168" s="272"/>
      <c r="V168" s="272"/>
      <c r="AG168" s="272"/>
      <c r="AO168" s="272"/>
      <c r="AX168" s="281"/>
      <c r="BH168" s="281"/>
      <c r="BQ168" s="272"/>
      <c r="BZ168" s="272"/>
      <c r="CZ168" s="281"/>
      <c r="DI168" s="272"/>
      <c r="DQ168" s="272"/>
    </row>
    <row r="169" spans="13:121" x14ac:dyDescent="0.15">
      <c r="M169" s="272"/>
      <c r="V169" s="272"/>
      <c r="AG169" s="272"/>
      <c r="AO169" s="272"/>
      <c r="AX169" s="281"/>
      <c r="BH169" s="281"/>
      <c r="BQ169" s="272"/>
      <c r="BZ169" s="272"/>
      <c r="CZ169" s="281"/>
      <c r="DI169" s="272"/>
      <c r="DQ169" s="272"/>
    </row>
    <row r="170" spans="13:121" x14ac:dyDescent="0.15">
      <c r="M170" s="272"/>
      <c r="V170" s="272"/>
      <c r="AG170" s="272"/>
      <c r="AO170" s="272"/>
      <c r="AX170" s="281"/>
      <c r="BH170" s="281"/>
      <c r="BQ170" s="272"/>
      <c r="BZ170" s="272"/>
      <c r="CZ170" s="281"/>
      <c r="DI170" s="272"/>
      <c r="DQ170" s="272"/>
    </row>
    <row r="171" spans="13:121" x14ac:dyDescent="0.15">
      <c r="M171" s="272"/>
      <c r="V171" s="272"/>
      <c r="AG171" s="272"/>
      <c r="AO171" s="272"/>
      <c r="AX171" s="281"/>
      <c r="BH171" s="281"/>
      <c r="BQ171" s="272"/>
      <c r="BZ171" s="272"/>
      <c r="CZ171" s="281"/>
      <c r="DI171" s="272"/>
      <c r="DQ171" s="272"/>
    </row>
    <row r="172" spans="13:121" x14ac:dyDescent="0.15">
      <c r="M172" s="272"/>
      <c r="V172" s="272"/>
      <c r="AG172" s="272"/>
      <c r="AO172" s="272"/>
      <c r="AX172" s="281"/>
      <c r="BH172" s="281"/>
      <c r="BQ172" s="272"/>
      <c r="BZ172" s="272"/>
      <c r="CZ172" s="281"/>
      <c r="DI172" s="272"/>
      <c r="DQ172" s="272"/>
    </row>
    <row r="173" spans="13:121" x14ac:dyDescent="0.15">
      <c r="M173" s="272"/>
      <c r="V173" s="272"/>
      <c r="AG173" s="272"/>
      <c r="AO173" s="272"/>
      <c r="AX173" s="281"/>
      <c r="BH173" s="281"/>
      <c r="BQ173" s="272"/>
      <c r="BZ173" s="272"/>
      <c r="CZ173" s="281"/>
      <c r="DI173" s="272"/>
      <c r="DQ173" s="272"/>
    </row>
    <row r="174" spans="13:121" x14ac:dyDescent="0.15">
      <c r="M174" s="272"/>
      <c r="V174" s="272"/>
      <c r="AG174" s="272"/>
      <c r="AO174" s="272"/>
      <c r="AX174" s="281"/>
      <c r="BH174" s="281"/>
      <c r="BQ174" s="272"/>
      <c r="BZ174" s="272"/>
      <c r="CZ174" s="281"/>
      <c r="DI174" s="272"/>
      <c r="DQ174" s="272"/>
    </row>
    <row r="175" spans="13:121" x14ac:dyDescent="0.15">
      <c r="M175" s="272"/>
      <c r="V175" s="272"/>
      <c r="AG175" s="272"/>
      <c r="AO175" s="272"/>
      <c r="AX175" s="281"/>
      <c r="BH175" s="281"/>
      <c r="BQ175" s="272"/>
      <c r="BZ175" s="272"/>
      <c r="CZ175" s="281"/>
      <c r="DI175" s="272"/>
      <c r="DQ175" s="272"/>
    </row>
    <row r="176" spans="13:121" x14ac:dyDescent="0.15">
      <c r="M176" s="272"/>
      <c r="V176" s="272"/>
      <c r="AG176" s="272"/>
      <c r="AO176" s="272"/>
      <c r="AX176" s="281"/>
      <c r="BH176" s="281"/>
      <c r="BQ176" s="272"/>
      <c r="BZ176" s="272"/>
      <c r="CZ176" s="281"/>
      <c r="DI176" s="272"/>
      <c r="DQ176" s="272"/>
    </row>
    <row r="177" spans="13:121" x14ac:dyDescent="0.15">
      <c r="M177" s="272"/>
      <c r="V177" s="272"/>
      <c r="AG177" s="272"/>
      <c r="AO177" s="272"/>
      <c r="AX177" s="281"/>
      <c r="BH177" s="281"/>
      <c r="BQ177" s="272"/>
      <c r="BZ177" s="272"/>
      <c r="CZ177" s="281"/>
      <c r="DI177" s="272"/>
      <c r="DQ177" s="272"/>
    </row>
    <row r="178" spans="13:121" x14ac:dyDescent="0.15">
      <c r="M178" s="272"/>
      <c r="V178" s="272"/>
      <c r="AG178" s="272"/>
      <c r="AO178" s="272"/>
      <c r="AX178" s="281"/>
      <c r="BH178" s="281"/>
      <c r="BQ178" s="272"/>
      <c r="BZ178" s="272"/>
      <c r="CZ178" s="281"/>
      <c r="DI178" s="272"/>
      <c r="DQ178" s="272"/>
    </row>
    <row r="179" spans="13:121" x14ac:dyDescent="0.15">
      <c r="M179" s="272"/>
      <c r="V179" s="272"/>
      <c r="AG179" s="272"/>
      <c r="AO179" s="272"/>
      <c r="AX179" s="281"/>
      <c r="BH179" s="281"/>
      <c r="BQ179" s="272"/>
      <c r="BZ179" s="272"/>
      <c r="CZ179" s="281"/>
      <c r="DI179" s="272"/>
      <c r="DQ179" s="272"/>
    </row>
    <row r="180" spans="13:121" x14ac:dyDescent="0.15">
      <c r="M180" s="272"/>
      <c r="V180" s="272"/>
      <c r="AG180" s="272"/>
      <c r="AO180" s="272"/>
      <c r="AX180" s="281"/>
      <c r="BH180" s="281"/>
      <c r="BQ180" s="272"/>
      <c r="BZ180" s="272"/>
      <c r="CZ180" s="281"/>
      <c r="DI180" s="272"/>
      <c r="DQ180" s="272"/>
    </row>
    <row r="181" spans="13:121" x14ac:dyDescent="0.15">
      <c r="M181" s="272"/>
      <c r="V181" s="272"/>
      <c r="AG181" s="272"/>
      <c r="AO181" s="272"/>
      <c r="AX181" s="281"/>
      <c r="BH181" s="281"/>
      <c r="BQ181" s="272"/>
      <c r="BZ181" s="272"/>
      <c r="CZ181" s="281"/>
      <c r="DI181" s="272"/>
      <c r="DQ181" s="272"/>
    </row>
    <row r="182" spans="13:121" x14ac:dyDescent="0.15">
      <c r="M182" s="272"/>
      <c r="V182" s="272"/>
      <c r="AG182" s="272"/>
      <c r="AO182" s="272"/>
      <c r="AX182" s="281"/>
      <c r="BH182" s="281"/>
      <c r="BQ182" s="272"/>
      <c r="BZ182" s="272"/>
      <c r="CZ182" s="281"/>
      <c r="DI182" s="272"/>
      <c r="DQ182" s="272"/>
    </row>
    <row r="183" spans="13:121" x14ac:dyDescent="0.15">
      <c r="M183" s="272"/>
      <c r="V183" s="272"/>
      <c r="AG183" s="272"/>
      <c r="AO183" s="272"/>
      <c r="AX183" s="281"/>
      <c r="BH183" s="281"/>
      <c r="BQ183" s="272"/>
      <c r="BZ183" s="272"/>
      <c r="CZ183" s="281"/>
      <c r="DI183" s="272"/>
      <c r="DQ183" s="272"/>
    </row>
    <row r="184" spans="13:121" x14ac:dyDescent="0.15">
      <c r="M184" s="272"/>
      <c r="V184" s="272"/>
      <c r="AG184" s="272"/>
      <c r="AO184" s="272"/>
      <c r="AX184" s="281"/>
      <c r="BH184" s="281"/>
      <c r="BQ184" s="272"/>
      <c r="BZ184" s="272"/>
      <c r="CZ184" s="281"/>
      <c r="DI184" s="272"/>
      <c r="DQ184" s="272"/>
    </row>
    <row r="185" spans="13:121" x14ac:dyDescent="0.15">
      <c r="M185" s="272"/>
      <c r="V185" s="272"/>
      <c r="AG185" s="272"/>
      <c r="AO185" s="272"/>
      <c r="AX185" s="281"/>
      <c r="BH185" s="281"/>
      <c r="BQ185" s="272"/>
      <c r="BZ185" s="272"/>
      <c r="CZ185" s="281"/>
      <c r="DI185" s="272"/>
      <c r="DQ185" s="272"/>
    </row>
    <row r="186" spans="13:121" x14ac:dyDescent="0.15">
      <c r="M186" s="272"/>
      <c r="V186" s="272"/>
      <c r="AG186" s="272"/>
      <c r="AO186" s="272"/>
      <c r="AX186" s="281"/>
      <c r="BH186" s="281"/>
      <c r="BQ186" s="272"/>
      <c r="BZ186" s="272"/>
      <c r="CZ186" s="281"/>
      <c r="DI186" s="272"/>
      <c r="DQ186" s="272"/>
    </row>
    <row r="187" spans="13:121" x14ac:dyDescent="0.15">
      <c r="M187" s="272"/>
      <c r="V187" s="272"/>
      <c r="AG187" s="272"/>
      <c r="AO187" s="272"/>
      <c r="AX187" s="281"/>
      <c r="BH187" s="281"/>
      <c r="BQ187" s="272"/>
      <c r="BZ187" s="272"/>
      <c r="CZ187" s="281"/>
      <c r="DI187" s="272"/>
      <c r="DQ187" s="272"/>
    </row>
    <row r="188" spans="13:121" x14ac:dyDescent="0.15">
      <c r="M188" s="272"/>
      <c r="V188" s="272"/>
      <c r="AG188" s="272"/>
      <c r="AO188" s="272"/>
      <c r="AX188" s="281"/>
      <c r="BH188" s="281"/>
      <c r="BQ188" s="272"/>
      <c r="BZ188" s="272"/>
      <c r="CZ188" s="281"/>
      <c r="DI188" s="272"/>
      <c r="DQ188" s="272"/>
    </row>
    <row r="189" spans="13:121" x14ac:dyDescent="0.15">
      <c r="M189" s="272"/>
      <c r="V189" s="272"/>
      <c r="AG189" s="272"/>
      <c r="AO189" s="272"/>
      <c r="AX189" s="281"/>
      <c r="BH189" s="281"/>
      <c r="BQ189" s="272"/>
      <c r="BZ189" s="272"/>
      <c r="CZ189" s="281"/>
      <c r="DI189" s="272"/>
      <c r="DQ189" s="272"/>
    </row>
    <row r="190" spans="13:121" x14ac:dyDescent="0.15">
      <c r="M190" s="272"/>
      <c r="V190" s="272"/>
      <c r="AG190" s="272"/>
      <c r="AO190" s="272"/>
      <c r="AX190" s="281"/>
      <c r="BH190" s="281"/>
      <c r="BQ190" s="272"/>
      <c r="BZ190" s="272"/>
      <c r="CZ190" s="281"/>
      <c r="DI190" s="272"/>
      <c r="DQ190" s="272"/>
    </row>
    <row r="191" spans="13:121" x14ac:dyDescent="0.15">
      <c r="M191" s="272"/>
      <c r="V191" s="272"/>
      <c r="AG191" s="272"/>
      <c r="AO191" s="272"/>
      <c r="AX191" s="281"/>
      <c r="BH191" s="281"/>
      <c r="BQ191" s="272"/>
      <c r="BZ191" s="272"/>
      <c r="CZ191" s="281"/>
      <c r="DI191" s="272"/>
      <c r="DQ191" s="272"/>
    </row>
    <row r="192" spans="13:121" x14ac:dyDescent="0.15">
      <c r="M192" s="272"/>
      <c r="V192" s="272"/>
      <c r="AG192" s="272"/>
      <c r="AO192" s="272"/>
      <c r="AX192" s="281"/>
      <c r="BH192" s="281"/>
      <c r="BQ192" s="272"/>
      <c r="BZ192" s="272"/>
      <c r="CZ192" s="281"/>
      <c r="DI192" s="272"/>
      <c r="DQ192" s="272"/>
    </row>
    <row r="193" spans="13:121" x14ac:dyDescent="0.15">
      <c r="M193" s="272"/>
      <c r="V193" s="272"/>
      <c r="AG193" s="272"/>
      <c r="AO193" s="272"/>
      <c r="AX193" s="281"/>
      <c r="BH193" s="281"/>
      <c r="BQ193" s="272"/>
      <c r="BZ193" s="272"/>
      <c r="CZ193" s="281"/>
      <c r="DI193" s="272"/>
      <c r="DQ193" s="272"/>
    </row>
    <row r="194" spans="13:121" x14ac:dyDescent="0.15">
      <c r="M194" s="272"/>
      <c r="V194" s="272"/>
      <c r="AG194" s="272"/>
      <c r="AO194" s="272"/>
      <c r="AX194" s="281"/>
      <c r="BH194" s="281"/>
      <c r="BQ194" s="272"/>
      <c r="BZ194" s="272"/>
      <c r="CZ194" s="281"/>
      <c r="DI194" s="272"/>
      <c r="DQ194" s="272"/>
    </row>
    <row r="195" spans="13:121" x14ac:dyDescent="0.15">
      <c r="M195" s="272"/>
      <c r="V195" s="272"/>
      <c r="AG195" s="272"/>
      <c r="AO195" s="272"/>
      <c r="AX195" s="281"/>
      <c r="BH195" s="281"/>
      <c r="BQ195" s="272"/>
      <c r="BZ195" s="272"/>
      <c r="CZ195" s="281"/>
      <c r="DI195" s="272"/>
      <c r="DQ195" s="272"/>
    </row>
    <row r="196" spans="13:121" x14ac:dyDescent="0.15">
      <c r="M196" s="272"/>
      <c r="V196" s="272"/>
      <c r="AG196" s="272"/>
      <c r="AO196" s="272"/>
      <c r="AX196" s="281"/>
      <c r="BH196" s="281"/>
      <c r="BQ196" s="272"/>
      <c r="BZ196" s="272"/>
      <c r="CZ196" s="281"/>
      <c r="DI196" s="272"/>
      <c r="DQ196" s="272"/>
    </row>
    <row r="197" spans="13:121" x14ac:dyDescent="0.15">
      <c r="M197" s="272"/>
      <c r="V197" s="272"/>
      <c r="AG197" s="272"/>
      <c r="AO197" s="272"/>
      <c r="AX197" s="281"/>
      <c r="BH197" s="281"/>
      <c r="BQ197" s="272"/>
      <c r="BZ197" s="272"/>
      <c r="CZ197" s="281"/>
      <c r="DI197" s="272"/>
      <c r="DQ197" s="272"/>
    </row>
    <row r="198" spans="13:121" x14ac:dyDescent="0.15">
      <c r="M198" s="272"/>
      <c r="V198" s="272"/>
      <c r="AG198" s="272"/>
      <c r="AO198" s="272"/>
      <c r="AX198" s="281"/>
      <c r="BH198" s="281"/>
      <c r="BQ198" s="272"/>
      <c r="BZ198" s="272"/>
      <c r="CZ198" s="281"/>
      <c r="DI198" s="272"/>
      <c r="DQ198" s="272"/>
    </row>
    <row r="199" spans="13:121" x14ac:dyDescent="0.15">
      <c r="M199" s="272"/>
      <c r="V199" s="272"/>
      <c r="AG199" s="272"/>
      <c r="AO199" s="272"/>
      <c r="AX199" s="281"/>
      <c r="BH199" s="281"/>
      <c r="BQ199" s="272"/>
      <c r="BZ199" s="272"/>
      <c r="CZ199" s="281"/>
      <c r="DI199" s="272"/>
      <c r="DQ199" s="272"/>
    </row>
    <row r="200" spans="13:121" x14ac:dyDescent="0.15">
      <c r="M200" s="272"/>
      <c r="V200" s="272"/>
      <c r="AG200" s="272"/>
      <c r="AO200" s="272"/>
      <c r="AX200" s="281"/>
      <c r="BH200" s="281"/>
      <c r="BQ200" s="272"/>
      <c r="BZ200" s="272"/>
      <c r="CZ200" s="281"/>
      <c r="DI200" s="272"/>
      <c r="DQ200" s="272"/>
    </row>
    <row r="201" spans="13:121" x14ac:dyDescent="0.15">
      <c r="M201" s="272"/>
      <c r="V201" s="272"/>
      <c r="AG201" s="272"/>
      <c r="AO201" s="272"/>
      <c r="AX201" s="281"/>
      <c r="BH201" s="281"/>
      <c r="BQ201" s="272"/>
      <c r="BZ201" s="272"/>
      <c r="CZ201" s="281"/>
      <c r="DI201" s="272"/>
      <c r="DQ201" s="272"/>
    </row>
    <row r="202" spans="13:121" x14ac:dyDescent="0.15">
      <c r="M202" s="272"/>
      <c r="V202" s="272"/>
      <c r="AG202" s="272"/>
      <c r="AO202" s="272"/>
      <c r="AX202" s="281"/>
      <c r="BH202" s="281"/>
      <c r="BQ202" s="272"/>
      <c r="BZ202" s="272"/>
      <c r="CZ202" s="281"/>
      <c r="DI202" s="272"/>
      <c r="DQ202" s="272"/>
    </row>
    <row r="203" spans="13:121" x14ac:dyDescent="0.15">
      <c r="M203" s="272"/>
      <c r="V203" s="272"/>
      <c r="AG203" s="272"/>
      <c r="AO203" s="272"/>
      <c r="AX203" s="281"/>
      <c r="BH203" s="281"/>
      <c r="BQ203" s="272"/>
      <c r="BZ203" s="272"/>
      <c r="CZ203" s="281"/>
      <c r="DI203" s="272"/>
      <c r="DQ203" s="272"/>
    </row>
    <row r="204" spans="13:121" x14ac:dyDescent="0.15">
      <c r="M204" s="272"/>
      <c r="V204" s="272"/>
      <c r="AG204" s="272"/>
      <c r="AO204" s="272"/>
      <c r="AX204" s="281"/>
      <c r="BH204" s="281"/>
      <c r="BQ204" s="272"/>
      <c r="BZ204" s="272"/>
      <c r="CZ204" s="281"/>
      <c r="DI204" s="272"/>
      <c r="DQ204" s="272"/>
    </row>
    <row r="205" spans="13:121" x14ac:dyDescent="0.15">
      <c r="M205" s="272"/>
      <c r="V205" s="272"/>
      <c r="AG205" s="272"/>
      <c r="AO205" s="272"/>
      <c r="AX205" s="281"/>
      <c r="BH205" s="281"/>
      <c r="BQ205" s="272"/>
      <c r="BZ205" s="272"/>
      <c r="CZ205" s="281"/>
      <c r="DI205" s="272"/>
      <c r="DQ205" s="272"/>
    </row>
    <row r="206" spans="13:121" x14ac:dyDescent="0.15">
      <c r="M206" s="272"/>
      <c r="V206" s="272"/>
      <c r="AG206" s="272"/>
      <c r="AO206" s="272"/>
      <c r="AX206" s="281"/>
      <c r="BH206" s="281"/>
      <c r="BQ206" s="272"/>
      <c r="BZ206" s="272"/>
      <c r="CZ206" s="281"/>
      <c r="DI206" s="272"/>
      <c r="DQ206" s="272"/>
    </row>
    <row r="207" spans="13:121" x14ac:dyDescent="0.15">
      <c r="M207" s="272"/>
      <c r="V207" s="272"/>
      <c r="AG207" s="272"/>
      <c r="AO207" s="272"/>
      <c r="AX207" s="281"/>
      <c r="BH207" s="281"/>
      <c r="BQ207" s="272"/>
      <c r="BZ207" s="272"/>
      <c r="CZ207" s="281"/>
      <c r="DI207" s="272"/>
      <c r="DQ207" s="272"/>
    </row>
    <row r="208" spans="13:121" x14ac:dyDescent="0.15">
      <c r="M208" s="272"/>
      <c r="V208" s="272"/>
      <c r="AG208" s="272"/>
      <c r="AO208" s="272"/>
      <c r="AX208" s="281"/>
      <c r="BH208" s="281"/>
      <c r="BQ208" s="272"/>
      <c r="BZ208" s="272"/>
      <c r="CZ208" s="281"/>
      <c r="DI208" s="272"/>
      <c r="DQ208" s="272"/>
    </row>
    <row r="209" spans="13:121" x14ac:dyDescent="0.15">
      <c r="M209" s="272"/>
      <c r="V209" s="272"/>
      <c r="AG209" s="272"/>
      <c r="AO209" s="272"/>
      <c r="AX209" s="281"/>
      <c r="BH209" s="281"/>
      <c r="BQ209" s="272"/>
      <c r="BZ209" s="272"/>
      <c r="CZ209" s="281"/>
      <c r="DI209" s="272"/>
      <c r="DQ209" s="272"/>
    </row>
    <row r="210" spans="13:121" x14ac:dyDescent="0.15">
      <c r="M210" s="272"/>
      <c r="V210" s="272"/>
      <c r="AG210" s="272"/>
      <c r="AO210" s="272"/>
      <c r="AX210" s="281"/>
      <c r="BH210" s="281"/>
      <c r="BQ210" s="272"/>
      <c r="BZ210" s="272"/>
      <c r="CZ210" s="281"/>
      <c r="DI210" s="272"/>
      <c r="DQ210" s="272"/>
    </row>
    <row r="211" spans="13:121" x14ac:dyDescent="0.15">
      <c r="M211" s="272"/>
      <c r="V211" s="272"/>
      <c r="AG211" s="272"/>
      <c r="AO211" s="272"/>
      <c r="AX211" s="281"/>
      <c r="BH211" s="281"/>
      <c r="BQ211" s="272"/>
      <c r="BZ211" s="272"/>
      <c r="CZ211" s="281"/>
      <c r="DI211" s="272"/>
      <c r="DQ211" s="272"/>
    </row>
    <row r="212" spans="13:121" x14ac:dyDescent="0.15">
      <c r="M212" s="272"/>
      <c r="V212" s="272"/>
      <c r="AG212" s="272"/>
      <c r="AO212" s="272"/>
      <c r="AX212" s="281"/>
      <c r="BH212" s="281"/>
      <c r="BQ212" s="272"/>
      <c r="BZ212" s="272"/>
      <c r="CZ212" s="281"/>
      <c r="DI212" s="272"/>
      <c r="DQ212" s="272"/>
    </row>
    <row r="213" spans="13:121" x14ac:dyDescent="0.15">
      <c r="M213" s="272"/>
      <c r="V213" s="272"/>
      <c r="AG213" s="272"/>
      <c r="AO213" s="272"/>
      <c r="AX213" s="281"/>
      <c r="BH213" s="281"/>
      <c r="BQ213" s="272"/>
      <c r="BZ213" s="272"/>
      <c r="CZ213" s="281"/>
      <c r="DI213" s="272"/>
      <c r="DQ213" s="272"/>
    </row>
    <row r="214" spans="13:121" x14ac:dyDescent="0.15">
      <c r="M214" s="272"/>
      <c r="V214" s="272"/>
      <c r="AG214" s="272"/>
      <c r="AO214" s="272"/>
      <c r="AX214" s="281"/>
      <c r="BH214" s="281"/>
      <c r="BQ214" s="272"/>
      <c r="BZ214" s="272"/>
      <c r="CZ214" s="281"/>
      <c r="DI214" s="272"/>
      <c r="DQ214" s="272"/>
    </row>
    <row r="215" spans="13:121" x14ac:dyDescent="0.15">
      <c r="M215" s="272"/>
      <c r="V215" s="272"/>
      <c r="AG215" s="272"/>
      <c r="AO215" s="272"/>
      <c r="AX215" s="281"/>
      <c r="BH215" s="281"/>
      <c r="BQ215" s="272"/>
      <c r="BZ215" s="272"/>
      <c r="CZ215" s="281"/>
      <c r="DI215" s="272"/>
      <c r="DQ215" s="272"/>
    </row>
    <row r="216" spans="13:121" x14ac:dyDescent="0.15">
      <c r="M216" s="272"/>
      <c r="V216" s="272"/>
      <c r="AG216" s="272"/>
      <c r="AO216" s="272"/>
      <c r="AX216" s="281"/>
      <c r="BH216" s="281"/>
      <c r="BQ216" s="272"/>
      <c r="BZ216" s="272"/>
      <c r="CZ216" s="281"/>
      <c r="DI216" s="272"/>
      <c r="DQ216" s="272"/>
    </row>
    <row r="217" spans="13:121" x14ac:dyDescent="0.15">
      <c r="M217" s="272"/>
      <c r="V217" s="272"/>
      <c r="AG217" s="272"/>
      <c r="AO217" s="272"/>
      <c r="AX217" s="281"/>
      <c r="BH217" s="281"/>
      <c r="BQ217" s="272"/>
      <c r="BZ217" s="272"/>
      <c r="CZ217" s="281"/>
      <c r="DI217" s="272"/>
      <c r="DQ217" s="272"/>
    </row>
    <row r="218" spans="13:121" x14ac:dyDescent="0.15">
      <c r="M218" s="272"/>
      <c r="V218" s="272"/>
      <c r="AG218" s="272"/>
      <c r="AO218" s="272"/>
      <c r="AX218" s="281"/>
      <c r="BH218" s="281"/>
      <c r="BQ218" s="272"/>
      <c r="BZ218" s="272"/>
      <c r="CZ218" s="281"/>
      <c r="DI218" s="272"/>
      <c r="DQ218" s="272"/>
    </row>
    <row r="219" spans="13:121" x14ac:dyDescent="0.15">
      <c r="M219" s="272"/>
      <c r="V219" s="272"/>
      <c r="AG219" s="272"/>
      <c r="AO219" s="272"/>
      <c r="AX219" s="281"/>
      <c r="BH219" s="281"/>
      <c r="BQ219" s="272"/>
      <c r="BZ219" s="272"/>
      <c r="CZ219" s="281"/>
      <c r="DI219" s="272"/>
      <c r="DQ219" s="272"/>
    </row>
    <row r="220" spans="13:121" x14ac:dyDescent="0.15">
      <c r="M220" s="272"/>
      <c r="V220" s="272"/>
      <c r="AG220" s="272"/>
      <c r="AO220" s="272"/>
      <c r="AX220" s="281"/>
      <c r="BH220" s="281"/>
      <c r="BQ220" s="272"/>
      <c r="BZ220" s="272"/>
      <c r="CZ220" s="281"/>
      <c r="DI220" s="272"/>
      <c r="DQ220" s="272"/>
    </row>
    <row r="221" spans="13:121" x14ac:dyDescent="0.15">
      <c r="M221" s="272"/>
      <c r="V221" s="272"/>
      <c r="AG221" s="272"/>
      <c r="AO221" s="272"/>
      <c r="AX221" s="281"/>
      <c r="BH221" s="281"/>
      <c r="BQ221" s="272"/>
      <c r="BZ221" s="272"/>
      <c r="CZ221" s="281"/>
      <c r="DI221" s="272"/>
      <c r="DQ221" s="272"/>
    </row>
    <row r="222" spans="13:121" x14ac:dyDescent="0.15">
      <c r="M222" s="272"/>
      <c r="V222" s="272"/>
      <c r="AG222" s="272"/>
      <c r="AO222" s="272"/>
      <c r="AX222" s="281"/>
      <c r="BH222" s="281"/>
      <c r="BQ222" s="272"/>
      <c r="BZ222" s="272"/>
      <c r="CZ222" s="281"/>
      <c r="DI222" s="272"/>
      <c r="DQ222" s="272"/>
    </row>
    <row r="223" spans="13:121" x14ac:dyDescent="0.15">
      <c r="M223" s="272"/>
      <c r="V223" s="272"/>
      <c r="AG223" s="272"/>
      <c r="AO223" s="272"/>
      <c r="AX223" s="281"/>
      <c r="BH223" s="281"/>
      <c r="BQ223" s="272"/>
      <c r="BZ223" s="272"/>
      <c r="CZ223" s="281"/>
      <c r="DI223" s="272"/>
      <c r="DQ223" s="272"/>
    </row>
    <row r="224" spans="13:121" x14ac:dyDescent="0.15">
      <c r="M224" s="272"/>
      <c r="V224" s="272"/>
      <c r="AG224" s="272"/>
      <c r="AO224" s="272"/>
      <c r="AX224" s="281"/>
      <c r="BH224" s="281"/>
      <c r="BQ224" s="272"/>
      <c r="BZ224" s="272"/>
      <c r="CZ224" s="281"/>
      <c r="DI224" s="272"/>
      <c r="DQ224" s="272"/>
    </row>
    <row r="225" spans="13:121" x14ac:dyDescent="0.15">
      <c r="M225" s="272"/>
      <c r="V225" s="272"/>
      <c r="AG225" s="272"/>
      <c r="AO225" s="272"/>
      <c r="AX225" s="281"/>
      <c r="BH225" s="281"/>
      <c r="BQ225" s="272"/>
      <c r="BZ225" s="272"/>
      <c r="CZ225" s="281"/>
      <c r="DI225" s="272"/>
      <c r="DQ225" s="272"/>
    </row>
    <row r="226" spans="13:121" x14ac:dyDescent="0.15">
      <c r="M226" s="272"/>
      <c r="V226" s="272"/>
      <c r="AG226" s="272"/>
      <c r="AO226" s="272"/>
      <c r="AX226" s="281"/>
      <c r="BH226" s="281"/>
      <c r="BQ226" s="272"/>
      <c r="BZ226" s="272"/>
      <c r="CZ226" s="281"/>
      <c r="DI226" s="272"/>
      <c r="DQ226" s="272"/>
    </row>
    <row r="227" spans="13:121" x14ac:dyDescent="0.15">
      <c r="M227" s="272"/>
      <c r="V227" s="272"/>
      <c r="AG227" s="272"/>
      <c r="AO227" s="272"/>
      <c r="AX227" s="281"/>
      <c r="BH227" s="281"/>
      <c r="BQ227" s="272"/>
      <c r="BZ227" s="272"/>
      <c r="CZ227" s="281"/>
      <c r="DI227" s="272"/>
      <c r="DQ227" s="272"/>
    </row>
    <row r="228" spans="13:121" x14ac:dyDescent="0.15">
      <c r="M228" s="272"/>
      <c r="V228" s="272"/>
      <c r="AG228" s="272"/>
      <c r="AO228" s="272"/>
      <c r="AX228" s="281"/>
      <c r="BH228" s="281"/>
      <c r="BQ228" s="272"/>
      <c r="BZ228" s="272"/>
      <c r="CZ228" s="281"/>
      <c r="DI228" s="272"/>
      <c r="DQ228" s="272"/>
    </row>
    <row r="229" spans="13:121" x14ac:dyDescent="0.15">
      <c r="M229" s="272"/>
      <c r="V229" s="272"/>
      <c r="AG229" s="272"/>
      <c r="AO229" s="272"/>
      <c r="AX229" s="281"/>
      <c r="BH229" s="281"/>
      <c r="BQ229" s="272"/>
      <c r="BZ229" s="272"/>
      <c r="CZ229" s="281"/>
      <c r="DI229" s="272"/>
      <c r="DQ229" s="272"/>
    </row>
    <row r="230" spans="13:121" x14ac:dyDescent="0.15">
      <c r="M230" s="272"/>
      <c r="V230" s="272"/>
      <c r="AG230" s="272"/>
      <c r="AO230" s="272"/>
      <c r="AX230" s="281"/>
      <c r="BH230" s="281"/>
      <c r="BQ230" s="272"/>
      <c r="BZ230" s="272"/>
      <c r="CZ230" s="281"/>
      <c r="DI230" s="272"/>
      <c r="DQ230" s="272"/>
    </row>
    <row r="231" spans="13:121" x14ac:dyDescent="0.15">
      <c r="M231" s="272"/>
      <c r="V231" s="272"/>
      <c r="AG231" s="272"/>
      <c r="AO231" s="272"/>
      <c r="AX231" s="281"/>
      <c r="BH231" s="281"/>
      <c r="BQ231" s="272"/>
      <c r="BZ231" s="272"/>
      <c r="CZ231" s="281"/>
      <c r="DI231" s="272"/>
      <c r="DQ231" s="272"/>
    </row>
    <row r="232" spans="13:121" x14ac:dyDescent="0.15">
      <c r="M232" s="272"/>
      <c r="V232" s="272"/>
      <c r="AG232" s="272"/>
      <c r="AO232" s="272"/>
      <c r="AX232" s="281"/>
      <c r="BH232" s="281"/>
      <c r="BQ232" s="272"/>
      <c r="BZ232" s="272"/>
      <c r="CZ232" s="281"/>
      <c r="DI232" s="272"/>
      <c r="DQ232" s="272"/>
    </row>
    <row r="233" spans="13:121" x14ac:dyDescent="0.15">
      <c r="M233" s="272"/>
      <c r="V233" s="272"/>
      <c r="AG233" s="272"/>
      <c r="AO233" s="272"/>
      <c r="AX233" s="281"/>
      <c r="BH233" s="281"/>
      <c r="BQ233" s="272"/>
      <c r="BZ233" s="272"/>
      <c r="CZ233" s="281"/>
      <c r="DI233" s="272"/>
      <c r="DQ233" s="272"/>
    </row>
    <row r="234" spans="13:121" x14ac:dyDescent="0.15">
      <c r="M234" s="272"/>
      <c r="V234" s="272"/>
      <c r="AG234" s="272"/>
      <c r="AO234" s="272"/>
      <c r="AX234" s="281"/>
      <c r="BH234" s="281"/>
      <c r="BQ234" s="272"/>
      <c r="BZ234" s="272"/>
      <c r="CZ234" s="281"/>
      <c r="DI234" s="272"/>
      <c r="DQ234" s="272"/>
    </row>
    <row r="235" spans="13:121" x14ac:dyDescent="0.15">
      <c r="M235" s="272"/>
      <c r="V235" s="272"/>
      <c r="AG235" s="272"/>
      <c r="AO235" s="272"/>
      <c r="AX235" s="281"/>
      <c r="BH235" s="281"/>
      <c r="BQ235" s="272"/>
      <c r="BZ235" s="272"/>
      <c r="CZ235" s="281"/>
      <c r="DI235" s="272"/>
      <c r="DQ235" s="272"/>
    </row>
    <row r="236" spans="13:121" x14ac:dyDescent="0.15">
      <c r="M236" s="272"/>
      <c r="V236" s="272"/>
      <c r="AG236" s="272"/>
      <c r="AO236" s="272"/>
      <c r="AX236" s="281"/>
      <c r="BH236" s="281"/>
      <c r="BQ236" s="272"/>
      <c r="BZ236" s="272"/>
      <c r="CZ236" s="281"/>
      <c r="DI236" s="272"/>
      <c r="DQ236" s="272"/>
    </row>
    <row r="237" spans="13:121" x14ac:dyDescent="0.15">
      <c r="M237" s="272"/>
      <c r="V237" s="272"/>
      <c r="AG237" s="272"/>
      <c r="AO237" s="272"/>
      <c r="AX237" s="281"/>
      <c r="BH237" s="281"/>
      <c r="BQ237" s="272"/>
      <c r="BZ237" s="272"/>
      <c r="CZ237" s="281"/>
      <c r="DI237" s="272"/>
      <c r="DQ237" s="272"/>
    </row>
    <row r="238" spans="13:121" x14ac:dyDescent="0.15">
      <c r="M238" s="272"/>
      <c r="V238" s="272"/>
      <c r="AG238" s="272"/>
      <c r="AO238" s="272"/>
      <c r="AX238" s="281"/>
      <c r="BH238" s="281"/>
      <c r="BQ238" s="272"/>
      <c r="BZ238" s="272"/>
      <c r="CZ238" s="281"/>
      <c r="DI238" s="272"/>
      <c r="DQ238" s="272"/>
    </row>
    <row r="239" spans="13:121" x14ac:dyDescent="0.15">
      <c r="M239" s="272"/>
      <c r="V239" s="272"/>
      <c r="AG239" s="272"/>
      <c r="AO239" s="272"/>
      <c r="AX239" s="281"/>
      <c r="BH239" s="281"/>
      <c r="BQ239" s="272"/>
      <c r="BZ239" s="272"/>
      <c r="CZ239" s="281"/>
      <c r="DI239" s="272"/>
      <c r="DQ239" s="272"/>
    </row>
    <row r="240" spans="13:121" x14ac:dyDescent="0.15">
      <c r="M240" s="272"/>
      <c r="V240" s="272"/>
      <c r="AG240" s="272"/>
      <c r="AO240" s="272"/>
      <c r="AX240" s="281"/>
      <c r="BH240" s="281"/>
      <c r="BQ240" s="272"/>
      <c r="BZ240" s="272"/>
      <c r="CZ240" s="281"/>
      <c r="DI240" s="272"/>
      <c r="DQ240" s="272"/>
    </row>
    <row r="241" spans="13:121" x14ac:dyDescent="0.15">
      <c r="M241" s="272"/>
      <c r="V241" s="272"/>
      <c r="AG241" s="272"/>
      <c r="AO241" s="272"/>
      <c r="AX241" s="281"/>
      <c r="BH241" s="281"/>
      <c r="BQ241" s="272"/>
      <c r="BZ241" s="272"/>
      <c r="CZ241" s="281"/>
      <c r="DI241" s="272"/>
      <c r="DQ241" s="272"/>
    </row>
    <row r="242" spans="13:121" x14ac:dyDescent="0.15">
      <c r="M242" s="272"/>
      <c r="V242" s="272"/>
      <c r="AG242" s="272"/>
      <c r="AO242" s="272"/>
      <c r="AX242" s="281"/>
      <c r="BH242" s="281"/>
      <c r="BQ242" s="272"/>
      <c r="BZ242" s="272"/>
      <c r="CZ242" s="281"/>
      <c r="DI242" s="272"/>
      <c r="DQ242" s="272"/>
    </row>
    <row r="243" spans="13:121" x14ac:dyDescent="0.15">
      <c r="M243" s="272"/>
      <c r="V243" s="272"/>
      <c r="AG243" s="272"/>
      <c r="AO243" s="272"/>
      <c r="AX243" s="281"/>
      <c r="BH243" s="281"/>
      <c r="BQ243" s="272"/>
      <c r="BZ243" s="272"/>
      <c r="CZ243" s="281"/>
      <c r="DI243" s="272"/>
      <c r="DQ243" s="272"/>
    </row>
    <row r="244" spans="13:121" x14ac:dyDescent="0.15">
      <c r="M244" s="272"/>
      <c r="V244" s="272"/>
      <c r="AG244" s="272"/>
      <c r="AO244" s="272"/>
      <c r="AX244" s="281"/>
      <c r="BH244" s="281"/>
      <c r="BQ244" s="272"/>
      <c r="BZ244" s="272"/>
      <c r="CZ244" s="281"/>
      <c r="DI244" s="272"/>
      <c r="DQ244" s="272"/>
    </row>
    <row r="245" spans="13:121" x14ac:dyDescent="0.15">
      <c r="M245" s="272"/>
      <c r="V245" s="272"/>
      <c r="AG245" s="272"/>
      <c r="AO245" s="272"/>
      <c r="AX245" s="281"/>
      <c r="BH245" s="281"/>
      <c r="BQ245" s="272"/>
      <c r="BZ245" s="272"/>
      <c r="CZ245" s="281"/>
      <c r="DI245" s="272"/>
      <c r="DQ245" s="272"/>
    </row>
    <row r="246" spans="13:121" x14ac:dyDescent="0.15">
      <c r="M246" s="272"/>
      <c r="V246" s="272"/>
      <c r="AG246" s="272"/>
      <c r="AO246" s="272"/>
      <c r="AX246" s="281"/>
      <c r="BH246" s="281"/>
      <c r="BQ246" s="272"/>
      <c r="BZ246" s="272"/>
      <c r="CZ246" s="281"/>
      <c r="DI246" s="272"/>
      <c r="DQ246" s="272"/>
    </row>
    <row r="247" spans="13:121" x14ac:dyDescent="0.15">
      <c r="M247" s="272"/>
      <c r="V247" s="272"/>
      <c r="AG247" s="272"/>
      <c r="AO247" s="272"/>
      <c r="AX247" s="281"/>
      <c r="BH247" s="281"/>
      <c r="BQ247" s="272"/>
      <c r="BZ247" s="272"/>
      <c r="CZ247" s="281"/>
      <c r="DI247" s="272"/>
      <c r="DQ247" s="272"/>
    </row>
    <row r="248" spans="13:121" x14ac:dyDescent="0.15">
      <c r="M248" s="272"/>
      <c r="V248" s="272"/>
      <c r="AG248" s="272"/>
      <c r="AO248" s="272"/>
      <c r="AX248" s="281"/>
      <c r="BH248" s="281"/>
      <c r="BQ248" s="272"/>
      <c r="BZ248" s="272"/>
      <c r="CZ248" s="281"/>
      <c r="DI248" s="272"/>
      <c r="DQ248" s="272"/>
    </row>
    <row r="249" spans="13:121" x14ac:dyDescent="0.15">
      <c r="M249" s="272"/>
      <c r="V249" s="272"/>
      <c r="AG249" s="272"/>
      <c r="AO249" s="272"/>
      <c r="AX249" s="281"/>
      <c r="BH249" s="281"/>
      <c r="BQ249" s="272"/>
      <c r="BZ249" s="272"/>
      <c r="CZ249" s="281"/>
      <c r="DI249" s="272"/>
      <c r="DQ249" s="272"/>
    </row>
    <row r="250" spans="13:121" x14ac:dyDescent="0.15">
      <c r="M250" s="272"/>
      <c r="V250" s="272"/>
      <c r="AG250" s="272"/>
      <c r="AO250" s="272"/>
      <c r="AX250" s="281"/>
      <c r="BH250" s="281"/>
      <c r="BQ250" s="272"/>
      <c r="BZ250" s="272"/>
      <c r="CZ250" s="281"/>
      <c r="DI250" s="272"/>
      <c r="DQ250" s="272"/>
    </row>
    <row r="251" spans="13:121" x14ac:dyDescent="0.15">
      <c r="M251" s="272"/>
      <c r="V251" s="272"/>
      <c r="AG251" s="272"/>
      <c r="AO251" s="272"/>
      <c r="AX251" s="281"/>
      <c r="BH251" s="281"/>
      <c r="BQ251" s="272"/>
      <c r="BZ251" s="272"/>
      <c r="CZ251" s="281"/>
      <c r="DI251" s="272"/>
      <c r="DQ251" s="272"/>
    </row>
    <row r="252" spans="13:121" x14ac:dyDescent="0.15">
      <c r="M252" s="272"/>
      <c r="V252" s="272"/>
      <c r="AG252" s="272"/>
      <c r="AO252" s="272"/>
      <c r="AX252" s="281"/>
      <c r="BH252" s="281"/>
      <c r="BQ252" s="272"/>
      <c r="BZ252" s="272"/>
      <c r="CZ252" s="281"/>
      <c r="DI252" s="272"/>
      <c r="DQ252" s="272"/>
    </row>
    <row r="253" spans="13:121" x14ac:dyDescent="0.15">
      <c r="M253" s="272"/>
      <c r="V253" s="272"/>
      <c r="AG253" s="272"/>
      <c r="AO253" s="272"/>
      <c r="AX253" s="281"/>
      <c r="BH253" s="281"/>
      <c r="BQ253" s="272"/>
      <c r="BZ253" s="272"/>
      <c r="CZ253" s="281"/>
      <c r="DI253" s="272"/>
      <c r="DQ253" s="272"/>
    </row>
    <row r="254" spans="13:121" x14ac:dyDescent="0.15">
      <c r="M254" s="272"/>
      <c r="V254" s="272"/>
      <c r="AG254" s="272"/>
      <c r="AO254" s="272"/>
      <c r="AX254" s="281"/>
      <c r="BH254" s="281"/>
      <c r="BQ254" s="272"/>
      <c r="BZ254" s="272"/>
      <c r="CZ254" s="281"/>
      <c r="DI254" s="272"/>
      <c r="DQ254" s="272"/>
    </row>
    <row r="255" spans="13:121" x14ac:dyDescent="0.15">
      <c r="M255" s="272"/>
      <c r="V255" s="272"/>
      <c r="AG255" s="272"/>
      <c r="AO255" s="272"/>
      <c r="AX255" s="281"/>
      <c r="BH255" s="281"/>
      <c r="BQ255" s="272"/>
      <c r="BZ255" s="272"/>
      <c r="CZ255" s="281"/>
      <c r="DI255" s="272"/>
      <c r="DQ255" s="272"/>
    </row>
    <row r="256" spans="13:121" x14ac:dyDescent="0.15">
      <c r="M256" s="272"/>
      <c r="V256" s="272"/>
      <c r="AG256" s="272"/>
      <c r="AO256" s="272"/>
      <c r="AX256" s="281"/>
      <c r="BH256" s="281"/>
      <c r="BQ256" s="272"/>
      <c r="BZ256" s="272"/>
      <c r="CZ256" s="281"/>
      <c r="DI256" s="272"/>
      <c r="DQ256" s="272"/>
    </row>
    <row r="257" spans="13:121" x14ac:dyDescent="0.15">
      <c r="M257" s="272"/>
      <c r="V257" s="272"/>
      <c r="AG257" s="272"/>
      <c r="AO257" s="272"/>
      <c r="AX257" s="281"/>
      <c r="BH257" s="281"/>
      <c r="BQ257" s="272"/>
      <c r="BZ257" s="272"/>
      <c r="CZ257" s="281"/>
      <c r="DI257" s="272"/>
      <c r="DQ257" s="272"/>
    </row>
    <row r="258" spans="13:121" x14ac:dyDescent="0.15">
      <c r="M258" s="272"/>
      <c r="V258" s="272"/>
      <c r="AG258" s="272"/>
      <c r="AO258" s="272"/>
      <c r="AX258" s="281"/>
      <c r="BH258" s="281"/>
      <c r="BQ258" s="272"/>
      <c r="BZ258" s="272"/>
      <c r="CZ258" s="281"/>
      <c r="DI258" s="272"/>
      <c r="DQ258" s="272"/>
    </row>
    <row r="259" spans="13:121" x14ac:dyDescent="0.15">
      <c r="M259" s="272"/>
      <c r="V259" s="272"/>
      <c r="AG259" s="272"/>
      <c r="AO259" s="272"/>
      <c r="AX259" s="281"/>
      <c r="BH259" s="281"/>
      <c r="BQ259" s="272"/>
      <c r="BZ259" s="272"/>
      <c r="CZ259" s="281"/>
      <c r="DI259" s="272"/>
      <c r="DQ259" s="272"/>
    </row>
    <row r="260" spans="13:121" x14ac:dyDescent="0.15">
      <c r="M260" s="272"/>
      <c r="V260" s="272"/>
      <c r="AG260" s="272"/>
      <c r="AO260" s="272"/>
      <c r="AX260" s="281"/>
      <c r="BH260" s="281"/>
      <c r="BQ260" s="272"/>
      <c r="BZ260" s="272"/>
      <c r="CZ260" s="281"/>
      <c r="DI260" s="272"/>
      <c r="DQ260" s="272"/>
    </row>
    <row r="261" spans="13:121" x14ac:dyDescent="0.15">
      <c r="M261" s="272"/>
      <c r="V261" s="272"/>
      <c r="AG261" s="272"/>
      <c r="AO261" s="272"/>
      <c r="AX261" s="281"/>
      <c r="BH261" s="281"/>
      <c r="BQ261" s="272"/>
      <c r="BZ261" s="272"/>
      <c r="CZ261" s="281"/>
      <c r="DI261" s="272"/>
      <c r="DQ261" s="272"/>
    </row>
    <row r="262" spans="13:121" x14ac:dyDescent="0.15">
      <c r="M262" s="272"/>
      <c r="V262" s="272"/>
      <c r="AG262" s="272"/>
      <c r="AO262" s="272"/>
      <c r="AX262" s="281"/>
      <c r="BH262" s="281"/>
      <c r="BQ262" s="272"/>
      <c r="BZ262" s="272"/>
      <c r="CZ262" s="281"/>
      <c r="DI262" s="272"/>
      <c r="DQ262" s="272"/>
    </row>
    <row r="263" spans="13:121" x14ac:dyDescent="0.15">
      <c r="M263" s="272"/>
      <c r="V263" s="272"/>
      <c r="AG263" s="272"/>
      <c r="AO263" s="272"/>
      <c r="AX263" s="281"/>
      <c r="BH263" s="281"/>
      <c r="BQ263" s="272"/>
      <c r="BZ263" s="272"/>
      <c r="CZ263" s="281"/>
      <c r="DI263" s="272"/>
      <c r="DQ263" s="272"/>
    </row>
    <row r="264" spans="13:121" x14ac:dyDescent="0.15">
      <c r="M264" s="272"/>
      <c r="V264" s="272"/>
      <c r="AG264" s="272"/>
      <c r="AO264" s="272"/>
      <c r="AX264" s="281"/>
      <c r="BH264" s="281"/>
      <c r="BQ264" s="272"/>
      <c r="BZ264" s="272"/>
      <c r="CZ264" s="281"/>
      <c r="DI264" s="272"/>
      <c r="DQ264" s="272"/>
    </row>
    <row r="265" spans="13:121" x14ac:dyDescent="0.15">
      <c r="M265" s="272"/>
      <c r="V265" s="272"/>
      <c r="AG265" s="272"/>
      <c r="AO265" s="272"/>
      <c r="AX265" s="281"/>
      <c r="BH265" s="281"/>
      <c r="BQ265" s="272"/>
      <c r="BZ265" s="272"/>
      <c r="CZ265" s="281"/>
      <c r="DI265" s="272"/>
      <c r="DQ265" s="272"/>
    </row>
    <row r="266" spans="13:121" x14ac:dyDescent="0.15">
      <c r="M266" s="272"/>
      <c r="V266" s="272"/>
      <c r="AG266" s="272"/>
      <c r="AO266" s="272"/>
      <c r="AX266" s="281"/>
      <c r="BH266" s="281"/>
      <c r="BQ266" s="272"/>
      <c r="BZ266" s="272"/>
      <c r="CZ266" s="281"/>
      <c r="DI266" s="272"/>
      <c r="DQ266" s="272"/>
    </row>
    <row r="267" spans="13:121" x14ac:dyDescent="0.15">
      <c r="M267" s="272"/>
      <c r="V267" s="272"/>
      <c r="AG267" s="272"/>
      <c r="AO267" s="272"/>
      <c r="AX267" s="281"/>
      <c r="BH267" s="281"/>
      <c r="BQ267" s="272"/>
      <c r="BZ267" s="272"/>
      <c r="CZ267" s="281"/>
      <c r="DI267" s="272"/>
      <c r="DQ267" s="272"/>
    </row>
    <row r="268" spans="13:121" x14ac:dyDescent="0.15">
      <c r="M268" s="272"/>
      <c r="V268" s="272"/>
      <c r="AG268" s="272"/>
      <c r="AO268" s="272"/>
      <c r="AX268" s="281"/>
      <c r="BH268" s="281"/>
      <c r="BQ268" s="272"/>
      <c r="BZ268" s="272"/>
      <c r="CZ268" s="281"/>
      <c r="DI268" s="272"/>
      <c r="DQ268" s="272"/>
    </row>
    <row r="269" spans="13:121" x14ac:dyDescent="0.15">
      <c r="M269" s="272"/>
      <c r="V269" s="272"/>
      <c r="AG269" s="272"/>
      <c r="AO269" s="272"/>
      <c r="AX269" s="281"/>
      <c r="BH269" s="281"/>
      <c r="BQ269" s="272"/>
      <c r="BZ269" s="272"/>
      <c r="CZ269" s="281"/>
      <c r="DI269" s="272"/>
      <c r="DQ269" s="272"/>
    </row>
    <row r="270" spans="13:121" x14ac:dyDescent="0.15">
      <c r="M270" s="272"/>
      <c r="V270" s="272"/>
      <c r="AG270" s="272"/>
      <c r="AO270" s="272"/>
      <c r="AX270" s="281"/>
      <c r="BH270" s="281"/>
      <c r="BQ270" s="272"/>
      <c r="BZ270" s="272"/>
      <c r="CZ270" s="281"/>
      <c r="DI270" s="272"/>
      <c r="DQ270" s="272"/>
    </row>
    <row r="271" spans="13:121" x14ac:dyDescent="0.15">
      <c r="M271" s="272"/>
      <c r="V271" s="272"/>
      <c r="AG271" s="272"/>
      <c r="AO271" s="272"/>
      <c r="AX271" s="281"/>
      <c r="BH271" s="281"/>
      <c r="BQ271" s="272"/>
      <c r="BZ271" s="272"/>
      <c r="CZ271" s="281"/>
      <c r="DI271" s="272"/>
      <c r="DQ271" s="272"/>
    </row>
    <row r="272" spans="13:121" x14ac:dyDescent="0.15">
      <c r="M272" s="272"/>
      <c r="V272" s="272"/>
      <c r="AG272" s="272"/>
      <c r="AO272" s="272"/>
      <c r="AX272" s="281"/>
      <c r="BH272" s="281"/>
      <c r="BQ272" s="272"/>
      <c r="BZ272" s="272"/>
      <c r="CZ272" s="281"/>
      <c r="DI272" s="272"/>
      <c r="DQ272" s="272"/>
    </row>
    <row r="273" spans="13:121" x14ac:dyDescent="0.15">
      <c r="M273" s="272"/>
      <c r="V273" s="272"/>
      <c r="AG273" s="272"/>
      <c r="AO273" s="272"/>
      <c r="AX273" s="281"/>
      <c r="BH273" s="281"/>
      <c r="BQ273" s="272"/>
      <c r="BZ273" s="272"/>
      <c r="CZ273" s="281"/>
      <c r="DI273" s="272"/>
      <c r="DQ273" s="272"/>
    </row>
    <row r="274" spans="13:121" x14ac:dyDescent="0.15">
      <c r="M274" s="272"/>
      <c r="V274" s="272"/>
      <c r="AG274" s="272"/>
      <c r="AO274" s="272"/>
      <c r="AX274" s="281"/>
      <c r="BH274" s="281"/>
      <c r="BQ274" s="272"/>
      <c r="BZ274" s="272"/>
      <c r="CZ274" s="281"/>
      <c r="DI274" s="272"/>
      <c r="DQ274" s="272"/>
    </row>
    <row r="275" spans="13:121" x14ac:dyDescent="0.15">
      <c r="M275" s="272"/>
      <c r="V275" s="272"/>
      <c r="AG275" s="272"/>
      <c r="AO275" s="272"/>
      <c r="AX275" s="281"/>
      <c r="BH275" s="281"/>
      <c r="BQ275" s="272"/>
      <c r="BZ275" s="272"/>
      <c r="CZ275" s="281"/>
      <c r="DI275" s="272"/>
      <c r="DQ275" s="272"/>
    </row>
    <row r="276" spans="13:121" x14ac:dyDescent="0.15">
      <c r="M276" s="272"/>
      <c r="V276" s="272"/>
      <c r="AG276" s="272"/>
      <c r="AO276" s="272"/>
      <c r="AX276" s="281"/>
      <c r="BH276" s="281"/>
      <c r="BQ276" s="272"/>
      <c r="BZ276" s="272"/>
      <c r="CZ276" s="281"/>
      <c r="DI276" s="272"/>
      <c r="DQ276" s="272"/>
    </row>
    <row r="277" spans="13:121" x14ac:dyDescent="0.15">
      <c r="M277" s="272"/>
      <c r="V277" s="272"/>
      <c r="AG277" s="272"/>
      <c r="AO277" s="272"/>
      <c r="AX277" s="281"/>
      <c r="BH277" s="281"/>
      <c r="BQ277" s="272"/>
      <c r="BZ277" s="272"/>
      <c r="CZ277" s="281"/>
      <c r="DI277" s="272"/>
      <c r="DQ277" s="272"/>
    </row>
    <row r="278" spans="13:121" x14ac:dyDescent="0.15">
      <c r="M278" s="272"/>
      <c r="V278" s="272"/>
      <c r="AG278" s="272"/>
      <c r="AO278" s="272"/>
      <c r="AX278" s="281"/>
      <c r="BH278" s="281"/>
      <c r="BQ278" s="272"/>
      <c r="BZ278" s="272"/>
      <c r="CZ278" s="281"/>
      <c r="DI278" s="272"/>
      <c r="DQ278" s="272"/>
    </row>
    <row r="279" spans="13:121" x14ac:dyDescent="0.15">
      <c r="M279" s="272"/>
      <c r="V279" s="272"/>
      <c r="AG279" s="272"/>
      <c r="AO279" s="272"/>
      <c r="AX279" s="281"/>
      <c r="BH279" s="281"/>
      <c r="BQ279" s="272"/>
      <c r="BZ279" s="272"/>
      <c r="CZ279" s="281"/>
      <c r="DI279" s="272"/>
      <c r="DQ279" s="272"/>
    </row>
    <row r="280" spans="13:121" x14ac:dyDescent="0.15">
      <c r="M280" s="272"/>
      <c r="V280" s="272"/>
      <c r="AG280" s="272"/>
      <c r="AO280" s="272"/>
      <c r="AX280" s="281"/>
      <c r="BH280" s="281"/>
      <c r="BQ280" s="272"/>
      <c r="BZ280" s="272"/>
      <c r="CZ280" s="281"/>
      <c r="DI280" s="272"/>
      <c r="DQ280" s="272"/>
    </row>
    <row r="281" spans="13:121" x14ac:dyDescent="0.15">
      <c r="M281" s="272"/>
      <c r="V281" s="272"/>
      <c r="AG281" s="272"/>
      <c r="AO281" s="272"/>
      <c r="AX281" s="281"/>
      <c r="BH281" s="281"/>
      <c r="BQ281" s="272"/>
      <c r="BZ281" s="272"/>
      <c r="CZ281" s="281"/>
      <c r="DI281" s="272"/>
      <c r="DQ281" s="272"/>
    </row>
    <row r="282" spans="13:121" x14ac:dyDescent="0.15">
      <c r="M282" s="272"/>
      <c r="V282" s="272"/>
      <c r="AG282" s="272"/>
      <c r="AO282" s="272"/>
      <c r="AX282" s="281"/>
      <c r="BH282" s="281"/>
      <c r="BQ282" s="272"/>
      <c r="BZ282" s="272"/>
      <c r="CZ282" s="281"/>
      <c r="DI282" s="272"/>
      <c r="DQ282" s="272"/>
    </row>
    <row r="283" spans="13:121" x14ac:dyDescent="0.15">
      <c r="M283" s="272"/>
      <c r="V283" s="272"/>
      <c r="AG283" s="272"/>
      <c r="AO283" s="272"/>
      <c r="AX283" s="281"/>
      <c r="BH283" s="281"/>
      <c r="BQ283" s="272"/>
      <c r="BZ283" s="272"/>
      <c r="CZ283" s="281"/>
      <c r="DI283" s="272"/>
      <c r="DQ283" s="272"/>
    </row>
    <row r="284" spans="13:121" x14ac:dyDescent="0.15">
      <c r="M284" s="272"/>
      <c r="V284" s="272"/>
      <c r="AG284" s="272"/>
      <c r="AO284" s="272"/>
      <c r="AX284" s="281"/>
      <c r="BH284" s="281"/>
      <c r="BQ284" s="272"/>
      <c r="BZ284" s="272"/>
      <c r="CZ284" s="281"/>
      <c r="DI284" s="272"/>
      <c r="DQ284" s="272"/>
    </row>
    <row r="285" spans="13:121" x14ac:dyDescent="0.15">
      <c r="M285" s="272"/>
      <c r="V285" s="272"/>
      <c r="AG285" s="272"/>
      <c r="AO285" s="272"/>
      <c r="AX285" s="281"/>
      <c r="BH285" s="281"/>
      <c r="BQ285" s="272"/>
      <c r="BZ285" s="272"/>
      <c r="CZ285" s="281"/>
      <c r="DI285" s="272"/>
      <c r="DQ285" s="272"/>
    </row>
    <row r="286" spans="13:121" x14ac:dyDescent="0.15">
      <c r="M286" s="272"/>
      <c r="V286" s="272"/>
      <c r="AG286" s="272"/>
      <c r="AO286" s="272"/>
      <c r="AX286" s="281"/>
      <c r="BH286" s="281"/>
      <c r="BQ286" s="272"/>
      <c r="BZ286" s="272"/>
      <c r="CZ286" s="281"/>
      <c r="DI286" s="272"/>
      <c r="DQ286" s="272"/>
    </row>
    <row r="287" spans="13:121" x14ac:dyDescent="0.15">
      <c r="M287" s="272"/>
      <c r="V287" s="272"/>
      <c r="AG287" s="272"/>
      <c r="AO287" s="272"/>
      <c r="AX287" s="281"/>
      <c r="BH287" s="281"/>
      <c r="BQ287" s="272"/>
      <c r="BZ287" s="272"/>
      <c r="CZ287" s="281"/>
      <c r="DI287" s="272"/>
      <c r="DQ287" s="272"/>
    </row>
    <row r="288" spans="13:121" x14ac:dyDescent="0.15">
      <c r="M288" s="272"/>
      <c r="V288" s="272"/>
      <c r="AG288" s="272"/>
      <c r="AO288" s="272"/>
      <c r="AX288" s="281"/>
      <c r="BH288" s="281"/>
      <c r="BQ288" s="272"/>
      <c r="BZ288" s="272"/>
      <c r="CZ288" s="281"/>
      <c r="DI288" s="272"/>
      <c r="DQ288" s="272"/>
    </row>
    <row r="289" spans="13:121" x14ac:dyDescent="0.15">
      <c r="M289" s="272"/>
      <c r="V289" s="272"/>
      <c r="AG289" s="272"/>
      <c r="AO289" s="272"/>
      <c r="AX289" s="281"/>
      <c r="BH289" s="281"/>
      <c r="BQ289" s="272"/>
      <c r="BZ289" s="272"/>
      <c r="CZ289" s="281"/>
      <c r="DI289" s="272"/>
      <c r="DQ289" s="272"/>
    </row>
    <row r="290" spans="13:121" x14ac:dyDescent="0.15">
      <c r="M290" s="272"/>
      <c r="V290" s="272"/>
      <c r="AG290" s="272"/>
      <c r="AO290" s="272"/>
      <c r="AX290" s="281"/>
      <c r="BH290" s="281"/>
      <c r="BQ290" s="272"/>
      <c r="BZ290" s="272"/>
      <c r="CZ290" s="281"/>
      <c r="DI290" s="272"/>
      <c r="DQ290" s="272"/>
    </row>
    <row r="291" spans="13:121" x14ac:dyDescent="0.15">
      <c r="M291" s="272"/>
      <c r="V291" s="272"/>
      <c r="AG291" s="272"/>
      <c r="AO291" s="272"/>
      <c r="AX291" s="281"/>
      <c r="BH291" s="281"/>
      <c r="BQ291" s="272"/>
      <c r="BZ291" s="272"/>
      <c r="CZ291" s="281"/>
      <c r="DI291" s="272"/>
      <c r="DQ291" s="272"/>
    </row>
    <row r="292" spans="13:121" x14ac:dyDescent="0.15">
      <c r="M292" s="272"/>
      <c r="V292" s="272"/>
      <c r="AG292" s="272"/>
      <c r="AO292" s="272"/>
      <c r="AX292" s="281"/>
      <c r="BH292" s="281"/>
      <c r="BQ292" s="272"/>
      <c r="BZ292" s="272"/>
      <c r="CZ292" s="281"/>
      <c r="DI292" s="272"/>
      <c r="DQ292" s="272"/>
    </row>
    <row r="293" spans="13:121" x14ac:dyDescent="0.15">
      <c r="M293" s="272"/>
      <c r="V293" s="272"/>
      <c r="AG293" s="272"/>
      <c r="AO293" s="272"/>
      <c r="AX293" s="281"/>
      <c r="BH293" s="281"/>
      <c r="BQ293" s="272"/>
      <c r="BZ293" s="272"/>
      <c r="CZ293" s="281"/>
      <c r="DI293" s="272"/>
      <c r="DQ293" s="272"/>
    </row>
    <row r="294" spans="13:121" x14ac:dyDescent="0.15">
      <c r="M294" s="272"/>
      <c r="V294" s="272"/>
      <c r="AG294" s="272"/>
      <c r="AO294" s="272"/>
      <c r="AX294" s="281"/>
      <c r="BH294" s="281"/>
      <c r="BQ294" s="272"/>
      <c r="BZ294" s="272"/>
      <c r="CZ294" s="281"/>
      <c r="DI294" s="272"/>
      <c r="DQ294" s="272"/>
    </row>
    <row r="295" spans="13:121" x14ac:dyDescent="0.15">
      <c r="M295" s="272"/>
      <c r="V295" s="272"/>
      <c r="AG295" s="272"/>
      <c r="AO295" s="272"/>
      <c r="AX295" s="281"/>
      <c r="BH295" s="281"/>
      <c r="BQ295" s="272"/>
      <c r="BZ295" s="272"/>
      <c r="CZ295" s="281"/>
      <c r="DI295" s="272"/>
      <c r="DQ295" s="272"/>
    </row>
    <row r="296" spans="13:121" x14ac:dyDescent="0.15">
      <c r="M296" s="272"/>
      <c r="V296" s="272"/>
      <c r="AG296" s="272"/>
      <c r="AO296" s="272"/>
      <c r="AX296" s="281"/>
      <c r="BH296" s="281"/>
      <c r="BQ296" s="272"/>
      <c r="BZ296" s="272"/>
      <c r="CZ296" s="281"/>
      <c r="DI296" s="272"/>
      <c r="DQ296" s="272"/>
    </row>
    <row r="297" spans="13:121" x14ac:dyDescent="0.15">
      <c r="M297" s="272"/>
      <c r="V297" s="272"/>
      <c r="AG297" s="272"/>
      <c r="AO297" s="272"/>
      <c r="AX297" s="281"/>
      <c r="BH297" s="281"/>
      <c r="BQ297" s="272"/>
      <c r="BZ297" s="272"/>
      <c r="CZ297" s="281"/>
      <c r="DI297" s="272"/>
      <c r="DQ297" s="272"/>
    </row>
    <row r="298" spans="13:121" x14ac:dyDescent="0.15">
      <c r="M298" s="272"/>
      <c r="V298" s="272"/>
      <c r="AG298" s="272"/>
      <c r="AO298" s="272"/>
      <c r="AX298" s="281"/>
      <c r="BH298" s="281"/>
      <c r="BQ298" s="272"/>
      <c r="BZ298" s="272"/>
      <c r="CZ298" s="281"/>
      <c r="DI298" s="272"/>
      <c r="DQ298" s="272"/>
    </row>
    <row r="299" spans="13:121" x14ac:dyDescent="0.15">
      <c r="M299" s="272"/>
      <c r="V299" s="272"/>
      <c r="AG299" s="272"/>
      <c r="AO299" s="272"/>
      <c r="AX299" s="281"/>
      <c r="BH299" s="281"/>
      <c r="BQ299" s="272"/>
      <c r="BZ299" s="272"/>
      <c r="CZ299" s="281"/>
      <c r="DI299" s="272"/>
      <c r="DQ299" s="272"/>
    </row>
    <row r="300" spans="13:121" x14ac:dyDescent="0.15">
      <c r="M300" s="272"/>
      <c r="V300" s="272"/>
      <c r="AG300" s="272"/>
      <c r="AO300" s="272"/>
      <c r="AX300" s="281"/>
      <c r="BH300" s="281"/>
      <c r="BQ300" s="272"/>
      <c r="BZ300" s="272"/>
      <c r="CZ300" s="281"/>
      <c r="DI300" s="272"/>
      <c r="DQ300" s="272"/>
    </row>
    <row r="301" spans="13:121" x14ac:dyDescent="0.15">
      <c r="M301" s="272"/>
      <c r="V301" s="272"/>
      <c r="AG301" s="272"/>
      <c r="AO301" s="272"/>
      <c r="AX301" s="281"/>
      <c r="BH301" s="281"/>
      <c r="BQ301" s="272"/>
      <c r="BZ301" s="272"/>
      <c r="CZ301" s="281"/>
      <c r="DI301" s="272"/>
      <c r="DQ301" s="272"/>
    </row>
    <row r="302" spans="13:121" x14ac:dyDescent="0.15">
      <c r="M302" s="272"/>
      <c r="V302" s="272"/>
      <c r="AG302" s="272"/>
      <c r="AO302" s="272"/>
      <c r="AX302" s="281"/>
      <c r="BH302" s="281"/>
      <c r="BQ302" s="272"/>
      <c r="BZ302" s="272"/>
      <c r="CZ302" s="281"/>
      <c r="DI302" s="272"/>
      <c r="DQ302" s="272"/>
    </row>
    <row r="303" spans="13:121" x14ac:dyDescent="0.15">
      <c r="M303" s="272"/>
      <c r="V303" s="272"/>
      <c r="AG303" s="272"/>
      <c r="AO303" s="272"/>
      <c r="AX303" s="281"/>
      <c r="BH303" s="281"/>
      <c r="BQ303" s="272"/>
      <c r="BZ303" s="272"/>
      <c r="CZ303" s="281"/>
      <c r="DI303" s="272"/>
      <c r="DQ303" s="272"/>
    </row>
    <row r="304" spans="13:121" x14ac:dyDescent="0.15">
      <c r="M304" s="272"/>
      <c r="V304" s="272"/>
      <c r="AG304" s="272"/>
      <c r="AO304" s="272"/>
      <c r="AX304" s="281"/>
      <c r="BH304" s="281"/>
      <c r="BQ304" s="272"/>
      <c r="BZ304" s="272"/>
      <c r="CZ304" s="281"/>
      <c r="DI304" s="272"/>
      <c r="DQ304" s="272"/>
    </row>
    <row r="305" spans="13:121" x14ac:dyDescent="0.15">
      <c r="M305" s="272"/>
      <c r="V305" s="272"/>
      <c r="AG305" s="272"/>
      <c r="AO305" s="272"/>
      <c r="AX305" s="281"/>
      <c r="BH305" s="281"/>
      <c r="BQ305" s="272"/>
      <c r="BZ305" s="272"/>
      <c r="CZ305" s="281"/>
      <c r="DI305" s="272"/>
      <c r="DQ305" s="272"/>
    </row>
    <row r="306" spans="13:121" x14ac:dyDescent="0.15">
      <c r="M306" s="272"/>
      <c r="V306" s="272"/>
      <c r="AG306" s="272"/>
      <c r="AO306" s="272"/>
      <c r="AX306" s="281"/>
      <c r="BH306" s="281"/>
      <c r="BQ306" s="272"/>
      <c r="BZ306" s="272"/>
      <c r="CZ306" s="281"/>
      <c r="DI306" s="272"/>
      <c r="DQ306" s="272"/>
    </row>
    <row r="307" spans="13:121" x14ac:dyDescent="0.15">
      <c r="M307" s="272"/>
      <c r="V307" s="272"/>
      <c r="AG307" s="272"/>
      <c r="AO307" s="272"/>
      <c r="AX307" s="281"/>
      <c r="BH307" s="281"/>
      <c r="BQ307" s="272"/>
      <c r="BZ307" s="272"/>
      <c r="CZ307" s="281"/>
      <c r="DI307" s="272"/>
      <c r="DQ307" s="272"/>
    </row>
    <row r="308" spans="13:121" x14ac:dyDescent="0.15">
      <c r="M308" s="272"/>
      <c r="V308" s="272"/>
      <c r="AG308" s="272"/>
      <c r="AO308" s="272"/>
      <c r="AX308" s="281"/>
      <c r="BH308" s="281"/>
      <c r="BQ308" s="272"/>
      <c r="BZ308" s="272"/>
      <c r="CZ308" s="281"/>
      <c r="DI308" s="272"/>
      <c r="DQ308" s="272"/>
    </row>
    <row r="309" spans="13:121" x14ac:dyDescent="0.15">
      <c r="M309" s="272"/>
      <c r="V309" s="272"/>
      <c r="AG309" s="272"/>
      <c r="AO309" s="272"/>
      <c r="AX309" s="281"/>
      <c r="BH309" s="281"/>
      <c r="BQ309" s="272"/>
      <c r="BZ309" s="272"/>
      <c r="CZ309" s="281"/>
      <c r="DI309" s="272"/>
      <c r="DQ309" s="272"/>
    </row>
    <row r="310" spans="13:121" x14ac:dyDescent="0.15">
      <c r="M310" s="272"/>
      <c r="V310" s="272"/>
      <c r="AG310" s="272"/>
      <c r="AO310" s="272"/>
      <c r="AX310" s="281"/>
      <c r="BH310" s="281"/>
      <c r="BQ310" s="272"/>
      <c r="BZ310" s="272"/>
      <c r="CZ310" s="281"/>
      <c r="DI310" s="272"/>
      <c r="DQ310" s="272"/>
    </row>
    <row r="311" spans="13:121" x14ac:dyDescent="0.15">
      <c r="M311" s="272"/>
      <c r="V311" s="272"/>
      <c r="AG311" s="272"/>
      <c r="AO311" s="272"/>
      <c r="AX311" s="281"/>
      <c r="BH311" s="281"/>
      <c r="BQ311" s="272"/>
      <c r="BZ311" s="272"/>
      <c r="CZ311" s="281"/>
      <c r="DI311" s="272"/>
      <c r="DQ311" s="272"/>
    </row>
    <row r="312" spans="13:121" x14ac:dyDescent="0.15">
      <c r="M312" s="272"/>
      <c r="V312" s="272"/>
      <c r="AG312" s="272"/>
      <c r="AO312" s="272"/>
      <c r="AX312" s="281"/>
      <c r="BH312" s="281"/>
      <c r="BQ312" s="272"/>
      <c r="BZ312" s="272"/>
      <c r="CZ312" s="281"/>
      <c r="DI312" s="272"/>
      <c r="DQ312" s="272"/>
    </row>
    <row r="313" spans="13:121" x14ac:dyDescent="0.15">
      <c r="M313" s="272"/>
      <c r="V313" s="272"/>
      <c r="AG313" s="272"/>
      <c r="AO313" s="272"/>
      <c r="AX313" s="281"/>
      <c r="BH313" s="281"/>
      <c r="BQ313" s="272"/>
      <c r="BZ313" s="272"/>
      <c r="CZ313" s="281"/>
      <c r="DI313" s="272"/>
      <c r="DQ313" s="272"/>
    </row>
    <row r="314" spans="13:121" x14ac:dyDescent="0.15">
      <c r="M314" s="272"/>
      <c r="V314" s="272"/>
      <c r="AG314" s="272"/>
      <c r="AO314" s="272"/>
      <c r="AX314" s="281"/>
      <c r="BH314" s="281"/>
      <c r="BQ314" s="272"/>
      <c r="BZ314" s="272"/>
      <c r="CZ314" s="281"/>
      <c r="DI314" s="272"/>
      <c r="DQ314" s="272"/>
    </row>
    <row r="315" spans="13:121" x14ac:dyDescent="0.15">
      <c r="M315" s="272"/>
      <c r="V315" s="272"/>
      <c r="AG315" s="272"/>
      <c r="AO315" s="272"/>
      <c r="AX315" s="281"/>
      <c r="BH315" s="281"/>
      <c r="BQ315" s="272"/>
      <c r="BZ315" s="272"/>
      <c r="CZ315" s="281"/>
      <c r="DI315" s="272"/>
      <c r="DQ315" s="272"/>
    </row>
    <row r="316" spans="13:121" x14ac:dyDescent="0.15">
      <c r="M316" s="272"/>
      <c r="V316" s="272"/>
      <c r="AG316" s="272"/>
      <c r="AO316" s="272"/>
      <c r="AX316" s="281"/>
      <c r="BH316" s="281"/>
      <c r="BQ316" s="272"/>
      <c r="BZ316" s="272"/>
      <c r="CZ316" s="281"/>
      <c r="DI316" s="272"/>
      <c r="DQ316" s="272"/>
    </row>
    <row r="317" spans="13:121" x14ac:dyDescent="0.15">
      <c r="M317" s="272"/>
      <c r="V317" s="272"/>
      <c r="AG317" s="272"/>
      <c r="AO317" s="272"/>
      <c r="AX317" s="281"/>
      <c r="BH317" s="281"/>
      <c r="BQ317" s="272"/>
      <c r="BZ317" s="272"/>
      <c r="CZ317" s="281"/>
      <c r="DI317" s="272"/>
      <c r="DQ317" s="272"/>
    </row>
    <row r="318" spans="13:121" x14ac:dyDescent="0.15">
      <c r="M318" s="272"/>
      <c r="V318" s="272"/>
      <c r="AG318" s="272"/>
      <c r="AO318" s="272"/>
      <c r="AX318" s="281"/>
      <c r="BH318" s="281"/>
      <c r="BQ318" s="272"/>
      <c r="BZ318" s="272"/>
      <c r="CZ318" s="281"/>
      <c r="DI318" s="272"/>
      <c r="DQ318" s="272"/>
    </row>
    <row r="319" spans="13:121" x14ac:dyDescent="0.15">
      <c r="M319" s="272"/>
      <c r="V319" s="272"/>
      <c r="AG319" s="272"/>
      <c r="AO319" s="272"/>
      <c r="AX319" s="281"/>
      <c r="BH319" s="281"/>
      <c r="BQ319" s="272"/>
      <c r="BZ319" s="272"/>
      <c r="CZ319" s="281"/>
      <c r="DI319" s="272"/>
      <c r="DQ319" s="272"/>
    </row>
    <row r="320" spans="13:121" x14ac:dyDescent="0.15">
      <c r="M320" s="272"/>
      <c r="V320" s="272"/>
      <c r="AG320" s="272"/>
      <c r="AO320" s="272"/>
      <c r="AX320" s="281"/>
      <c r="BH320" s="281"/>
      <c r="BQ320" s="272"/>
      <c r="BZ320" s="272"/>
      <c r="CZ320" s="281"/>
      <c r="DI320" s="272"/>
      <c r="DQ320" s="272"/>
    </row>
    <row r="321" spans="13:121" x14ac:dyDescent="0.15">
      <c r="M321" s="272"/>
      <c r="V321" s="272"/>
      <c r="AG321" s="272"/>
      <c r="AO321" s="272"/>
      <c r="AX321" s="281"/>
      <c r="BH321" s="281"/>
      <c r="BQ321" s="272"/>
      <c r="BZ321" s="272"/>
      <c r="CZ321" s="281"/>
      <c r="DI321" s="272"/>
      <c r="DQ321" s="272"/>
    </row>
    <row r="322" spans="13:121" x14ac:dyDescent="0.15">
      <c r="M322" s="272"/>
      <c r="V322" s="272"/>
      <c r="AG322" s="272"/>
      <c r="AO322" s="272"/>
      <c r="AX322" s="281"/>
      <c r="BH322" s="281"/>
      <c r="BQ322" s="272"/>
      <c r="BZ322" s="272"/>
      <c r="CZ322" s="281"/>
      <c r="DI322" s="272"/>
      <c r="DQ322" s="272"/>
    </row>
    <row r="323" spans="13:121" x14ac:dyDescent="0.15">
      <c r="M323" s="272"/>
      <c r="V323" s="272"/>
      <c r="AG323" s="272"/>
      <c r="AO323" s="272"/>
      <c r="AX323" s="281"/>
      <c r="BH323" s="281"/>
      <c r="BQ323" s="272"/>
      <c r="BZ323" s="272"/>
      <c r="CZ323" s="281"/>
      <c r="DI323" s="272"/>
      <c r="DQ323" s="272"/>
    </row>
    <row r="324" spans="13:121" x14ac:dyDescent="0.15">
      <c r="M324" s="272"/>
      <c r="V324" s="272"/>
      <c r="AG324" s="272"/>
      <c r="AO324" s="272"/>
      <c r="AX324" s="281"/>
      <c r="BH324" s="281"/>
      <c r="BQ324" s="272"/>
      <c r="BZ324" s="272"/>
      <c r="CZ324" s="281"/>
      <c r="DI324" s="272"/>
      <c r="DQ324" s="272"/>
    </row>
    <row r="325" spans="13:121" x14ac:dyDescent="0.15">
      <c r="M325" s="272"/>
      <c r="V325" s="272"/>
      <c r="AG325" s="272"/>
      <c r="AO325" s="272"/>
      <c r="AX325" s="281"/>
      <c r="BH325" s="281"/>
      <c r="BQ325" s="272"/>
      <c r="BZ325" s="272"/>
      <c r="CZ325" s="281"/>
      <c r="DI325" s="272"/>
      <c r="DQ325" s="272"/>
    </row>
    <row r="326" spans="13:121" x14ac:dyDescent="0.15">
      <c r="M326" s="272"/>
      <c r="V326" s="272"/>
      <c r="AG326" s="272"/>
      <c r="AO326" s="272"/>
      <c r="AX326" s="281"/>
      <c r="BH326" s="281"/>
      <c r="BQ326" s="272"/>
      <c r="BZ326" s="272"/>
      <c r="CZ326" s="281"/>
      <c r="DI326" s="272"/>
      <c r="DQ326" s="272"/>
    </row>
    <row r="327" spans="13:121" x14ac:dyDescent="0.15">
      <c r="M327" s="272"/>
      <c r="V327" s="272"/>
      <c r="AG327" s="272"/>
      <c r="AO327" s="272"/>
      <c r="AX327" s="281"/>
      <c r="BH327" s="281"/>
      <c r="BQ327" s="272"/>
      <c r="BZ327" s="272"/>
      <c r="CZ327" s="281"/>
      <c r="DI327" s="272"/>
      <c r="DQ327" s="272"/>
    </row>
    <row r="328" spans="13:121" x14ac:dyDescent="0.15">
      <c r="M328" s="272"/>
      <c r="V328" s="272"/>
      <c r="AG328" s="272"/>
      <c r="AO328" s="272"/>
      <c r="AX328" s="281"/>
      <c r="BH328" s="281"/>
      <c r="BQ328" s="272"/>
      <c r="BZ328" s="272"/>
      <c r="CZ328" s="281"/>
      <c r="DI328" s="272"/>
      <c r="DQ328" s="272"/>
    </row>
    <row r="329" spans="13:121" x14ac:dyDescent="0.15">
      <c r="M329" s="272"/>
      <c r="V329" s="272"/>
      <c r="AG329" s="272"/>
      <c r="AO329" s="272"/>
      <c r="AX329" s="281"/>
      <c r="BH329" s="281"/>
      <c r="BQ329" s="272"/>
      <c r="BZ329" s="272"/>
      <c r="CZ329" s="281"/>
      <c r="DI329" s="272"/>
      <c r="DQ329" s="272"/>
    </row>
    <row r="330" spans="13:121" x14ac:dyDescent="0.15">
      <c r="M330" s="272"/>
      <c r="V330" s="272"/>
      <c r="AG330" s="272"/>
      <c r="AO330" s="272"/>
      <c r="AX330" s="281"/>
      <c r="BH330" s="281"/>
      <c r="BQ330" s="272"/>
      <c r="BZ330" s="272"/>
      <c r="CZ330" s="281"/>
      <c r="DI330" s="272"/>
      <c r="DQ330" s="272"/>
    </row>
    <row r="331" spans="13:121" x14ac:dyDescent="0.15">
      <c r="M331" s="272"/>
      <c r="V331" s="272"/>
      <c r="AG331" s="272"/>
      <c r="AO331" s="272"/>
      <c r="AX331" s="281"/>
      <c r="BH331" s="281"/>
      <c r="BQ331" s="272"/>
      <c r="BZ331" s="272"/>
      <c r="CZ331" s="281"/>
      <c r="DI331" s="272"/>
      <c r="DQ331" s="272"/>
    </row>
    <row r="332" spans="13:121" x14ac:dyDescent="0.15">
      <c r="M332" s="272"/>
      <c r="V332" s="272"/>
      <c r="AG332" s="272"/>
      <c r="AO332" s="272"/>
      <c r="AX332" s="281"/>
      <c r="BH332" s="281"/>
      <c r="BQ332" s="272"/>
      <c r="BZ332" s="272"/>
      <c r="CZ332" s="281"/>
      <c r="DI332" s="272"/>
      <c r="DQ332" s="272"/>
    </row>
    <row r="333" spans="13:121" x14ac:dyDescent="0.15">
      <c r="M333" s="272"/>
      <c r="V333" s="272"/>
      <c r="AG333" s="272"/>
      <c r="AO333" s="272"/>
      <c r="AX333" s="281"/>
      <c r="BH333" s="281"/>
      <c r="BQ333" s="272"/>
      <c r="BZ333" s="272"/>
      <c r="CZ333" s="281"/>
      <c r="DI333" s="272"/>
      <c r="DQ333" s="272"/>
    </row>
    <row r="334" spans="13:121" x14ac:dyDescent="0.15">
      <c r="M334" s="272"/>
      <c r="V334" s="272"/>
      <c r="AG334" s="272"/>
      <c r="AO334" s="272"/>
      <c r="AX334" s="281"/>
      <c r="BH334" s="281"/>
      <c r="BQ334" s="272"/>
      <c r="BZ334" s="272"/>
      <c r="CZ334" s="281"/>
      <c r="DI334" s="272"/>
      <c r="DQ334" s="272"/>
    </row>
    <row r="335" spans="13:121" x14ac:dyDescent="0.15">
      <c r="M335" s="272"/>
      <c r="V335" s="272"/>
      <c r="AG335" s="272"/>
      <c r="AO335" s="272"/>
      <c r="AX335" s="281"/>
      <c r="BH335" s="281"/>
      <c r="BQ335" s="272"/>
      <c r="BZ335" s="272"/>
      <c r="CZ335" s="281"/>
      <c r="DI335" s="272"/>
      <c r="DQ335" s="272"/>
    </row>
    <row r="336" spans="13:121" x14ac:dyDescent="0.15">
      <c r="M336" s="272"/>
      <c r="V336" s="272"/>
      <c r="AG336" s="272"/>
      <c r="AO336" s="272"/>
      <c r="AX336" s="281"/>
      <c r="BH336" s="281"/>
      <c r="BQ336" s="272"/>
      <c r="BZ336" s="272"/>
      <c r="CZ336" s="281"/>
      <c r="DI336" s="272"/>
      <c r="DQ336" s="272"/>
    </row>
    <row r="337" spans="13:121" x14ac:dyDescent="0.15">
      <c r="M337" s="272"/>
      <c r="V337" s="272"/>
      <c r="AG337" s="272"/>
      <c r="AO337" s="272"/>
      <c r="AX337" s="281"/>
      <c r="BH337" s="281"/>
      <c r="BQ337" s="272"/>
      <c r="BZ337" s="272"/>
      <c r="CZ337" s="281"/>
      <c r="DI337" s="272"/>
      <c r="DQ337" s="272"/>
    </row>
    <row r="338" spans="13:121" x14ac:dyDescent="0.15">
      <c r="M338" s="272"/>
      <c r="V338" s="272"/>
      <c r="AG338" s="272"/>
      <c r="AO338" s="272"/>
      <c r="AX338" s="281"/>
      <c r="BH338" s="281"/>
      <c r="BQ338" s="272"/>
      <c r="BZ338" s="272"/>
      <c r="CZ338" s="281"/>
      <c r="DI338" s="272"/>
      <c r="DQ338" s="272"/>
    </row>
    <row r="339" spans="13:121" x14ac:dyDescent="0.15">
      <c r="M339" s="272"/>
      <c r="V339" s="272"/>
      <c r="AG339" s="272"/>
      <c r="AO339" s="272"/>
      <c r="AX339" s="281"/>
      <c r="BH339" s="281"/>
      <c r="BQ339" s="272"/>
      <c r="BZ339" s="272"/>
      <c r="CZ339" s="281"/>
      <c r="DI339" s="272"/>
      <c r="DQ339" s="272"/>
    </row>
    <row r="340" spans="13:121" x14ac:dyDescent="0.15">
      <c r="M340" s="272"/>
      <c r="V340" s="272"/>
      <c r="AG340" s="272"/>
      <c r="AO340" s="272"/>
      <c r="AX340" s="281"/>
      <c r="BH340" s="281"/>
      <c r="BQ340" s="272"/>
      <c r="BZ340" s="272"/>
      <c r="CZ340" s="281"/>
      <c r="DI340" s="272"/>
      <c r="DQ340" s="272"/>
    </row>
    <row r="341" spans="13:121" x14ac:dyDescent="0.15">
      <c r="M341" s="272"/>
      <c r="V341" s="272"/>
      <c r="AG341" s="272"/>
      <c r="AO341" s="272"/>
      <c r="AX341" s="281"/>
      <c r="BH341" s="281"/>
      <c r="BQ341" s="272"/>
      <c r="BZ341" s="272"/>
      <c r="CZ341" s="281"/>
      <c r="DI341" s="272"/>
      <c r="DQ341" s="272"/>
    </row>
    <row r="342" spans="13:121" x14ac:dyDescent="0.15">
      <c r="M342" s="272"/>
      <c r="V342" s="272"/>
      <c r="AG342" s="272"/>
      <c r="AO342" s="272"/>
      <c r="AX342" s="281"/>
      <c r="BH342" s="281"/>
      <c r="BQ342" s="272"/>
      <c r="BZ342" s="272"/>
      <c r="CZ342" s="281"/>
      <c r="DI342" s="272"/>
      <c r="DQ342" s="272"/>
    </row>
    <row r="343" spans="13:121" x14ac:dyDescent="0.15">
      <c r="M343" s="272"/>
      <c r="V343" s="272"/>
      <c r="AG343" s="272"/>
      <c r="AO343" s="272"/>
      <c r="AX343" s="281"/>
      <c r="BH343" s="281"/>
      <c r="BQ343" s="272"/>
      <c r="BZ343" s="272"/>
      <c r="CZ343" s="281"/>
      <c r="DI343" s="272"/>
      <c r="DQ343" s="272"/>
    </row>
    <row r="344" spans="13:121" x14ac:dyDescent="0.15">
      <c r="M344" s="272"/>
      <c r="V344" s="272"/>
      <c r="AG344" s="272"/>
      <c r="AO344" s="272"/>
      <c r="AX344" s="281"/>
      <c r="BH344" s="281"/>
      <c r="BQ344" s="272"/>
      <c r="BZ344" s="272"/>
      <c r="CZ344" s="281"/>
      <c r="DI344" s="272"/>
      <c r="DQ344" s="272"/>
    </row>
    <row r="345" spans="13:121" x14ac:dyDescent="0.15">
      <c r="M345" s="272"/>
      <c r="V345" s="272"/>
      <c r="AG345" s="272"/>
      <c r="AO345" s="272"/>
      <c r="AX345" s="281"/>
      <c r="BH345" s="281"/>
      <c r="BQ345" s="272"/>
      <c r="BZ345" s="272"/>
      <c r="CZ345" s="281"/>
      <c r="DI345" s="272"/>
      <c r="DQ345" s="272"/>
    </row>
    <row r="346" spans="13:121" x14ac:dyDescent="0.15">
      <c r="M346" s="272"/>
      <c r="V346" s="272"/>
      <c r="AG346" s="272"/>
      <c r="AO346" s="272"/>
      <c r="AX346" s="281"/>
      <c r="BH346" s="281"/>
      <c r="BQ346" s="272"/>
      <c r="BZ346" s="272"/>
      <c r="CZ346" s="281"/>
      <c r="DI346" s="272"/>
      <c r="DQ346" s="272"/>
    </row>
    <row r="347" spans="13:121" x14ac:dyDescent="0.15">
      <c r="M347" s="272"/>
      <c r="V347" s="272"/>
      <c r="AG347" s="272"/>
      <c r="AO347" s="272"/>
      <c r="AX347" s="281"/>
      <c r="BH347" s="281"/>
      <c r="BQ347" s="272"/>
      <c r="BZ347" s="272"/>
      <c r="CZ347" s="281"/>
      <c r="DI347" s="272"/>
      <c r="DQ347" s="272"/>
    </row>
    <row r="348" spans="13:121" x14ac:dyDescent="0.15">
      <c r="M348" s="272"/>
      <c r="V348" s="272"/>
      <c r="AG348" s="272"/>
      <c r="AO348" s="272"/>
      <c r="AX348" s="281"/>
      <c r="BH348" s="281"/>
      <c r="BQ348" s="272"/>
      <c r="BZ348" s="272"/>
      <c r="CZ348" s="281"/>
      <c r="DI348" s="272"/>
      <c r="DQ348" s="272"/>
    </row>
    <row r="349" spans="13:121" x14ac:dyDescent="0.15">
      <c r="M349" s="272"/>
      <c r="V349" s="272"/>
      <c r="AG349" s="272"/>
      <c r="AO349" s="272"/>
      <c r="AX349" s="281"/>
      <c r="BH349" s="281"/>
      <c r="BQ349" s="272"/>
      <c r="BZ349" s="272"/>
      <c r="CZ349" s="281"/>
      <c r="DI349" s="272"/>
      <c r="DQ349" s="272"/>
    </row>
    <row r="350" spans="13:121" x14ac:dyDescent="0.15">
      <c r="M350" s="272"/>
      <c r="V350" s="272"/>
      <c r="AG350" s="272"/>
      <c r="AO350" s="272"/>
      <c r="AX350" s="281"/>
      <c r="BH350" s="281"/>
      <c r="BQ350" s="272"/>
      <c r="BZ350" s="272"/>
      <c r="CZ350" s="281"/>
      <c r="DI350" s="272"/>
      <c r="DQ350" s="272"/>
    </row>
    <row r="351" spans="13:121" x14ac:dyDescent="0.15">
      <c r="M351" s="272"/>
      <c r="V351" s="272"/>
      <c r="AG351" s="272"/>
      <c r="AO351" s="272"/>
      <c r="AX351" s="281"/>
      <c r="BH351" s="281"/>
      <c r="BQ351" s="272"/>
      <c r="BZ351" s="272"/>
      <c r="CZ351" s="281"/>
      <c r="DI351" s="272"/>
      <c r="DQ351" s="272"/>
    </row>
    <row r="352" spans="13:121" x14ac:dyDescent="0.15">
      <c r="M352" s="272"/>
      <c r="V352" s="272"/>
      <c r="AG352" s="272"/>
      <c r="AO352" s="272"/>
      <c r="AX352" s="281"/>
      <c r="BH352" s="281"/>
      <c r="BQ352" s="272"/>
      <c r="BZ352" s="272"/>
      <c r="CZ352" s="281"/>
      <c r="DI352" s="272"/>
      <c r="DQ352" s="272"/>
    </row>
    <row r="353" spans="13:121" x14ac:dyDescent="0.15">
      <c r="M353" s="272"/>
      <c r="V353" s="272"/>
      <c r="AG353" s="272"/>
      <c r="AO353" s="272"/>
      <c r="AX353" s="281"/>
      <c r="BH353" s="281"/>
      <c r="BQ353" s="272"/>
      <c r="BZ353" s="272"/>
      <c r="CZ353" s="281"/>
      <c r="DI353" s="272"/>
      <c r="DQ353" s="272"/>
    </row>
    <row r="354" spans="13:121" x14ac:dyDescent="0.15">
      <c r="M354" s="272"/>
      <c r="V354" s="272"/>
      <c r="AG354" s="272"/>
      <c r="AO354" s="272"/>
      <c r="AX354" s="281"/>
      <c r="BH354" s="281"/>
      <c r="BQ354" s="272"/>
      <c r="BZ354" s="272"/>
      <c r="CZ354" s="281"/>
      <c r="DI354" s="272"/>
      <c r="DQ354" s="272"/>
    </row>
    <row r="355" spans="13:121" x14ac:dyDescent="0.15">
      <c r="M355" s="272"/>
      <c r="V355" s="272"/>
      <c r="AG355" s="272"/>
      <c r="AO355" s="272"/>
      <c r="AX355" s="281"/>
      <c r="BH355" s="281"/>
      <c r="BQ355" s="272"/>
      <c r="BZ355" s="272"/>
      <c r="CZ355" s="281"/>
      <c r="DI355" s="272"/>
      <c r="DQ355" s="272"/>
    </row>
    <row r="356" spans="13:121" x14ac:dyDescent="0.15">
      <c r="M356" s="272"/>
      <c r="V356" s="272"/>
      <c r="AG356" s="272"/>
      <c r="AO356" s="272"/>
      <c r="AX356" s="281"/>
      <c r="BH356" s="281"/>
      <c r="BQ356" s="272"/>
      <c r="BZ356" s="272"/>
      <c r="CZ356" s="281"/>
      <c r="DI356" s="272"/>
      <c r="DQ356" s="272"/>
    </row>
    <row r="357" spans="13:121" x14ac:dyDescent="0.15">
      <c r="M357" s="272"/>
      <c r="V357" s="272"/>
      <c r="AG357" s="272"/>
      <c r="AO357" s="272"/>
      <c r="AX357" s="281"/>
      <c r="BH357" s="281"/>
      <c r="BQ357" s="272"/>
      <c r="BZ357" s="272"/>
      <c r="CZ357" s="281"/>
      <c r="DI357" s="272"/>
      <c r="DQ357" s="272"/>
    </row>
    <row r="358" spans="13:121" x14ac:dyDescent="0.15">
      <c r="M358" s="272"/>
      <c r="V358" s="272"/>
      <c r="AG358" s="272"/>
      <c r="AO358" s="272"/>
      <c r="AX358" s="281"/>
      <c r="BH358" s="281"/>
      <c r="BQ358" s="272"/>
      <c r="BZ358" s="272"/>
      <c r="CZ358" s="281"/>
      <c r="DI358" s="272"/>
      <c r="DQ358" s="272"/>
    </row>
    <row r="359" spans="13:121" x14ac:dyDescent="0.15">
      <c r="M359" s="272"/>
      <c r="V359" s="272"/>
      <c r="AG359" s="272"/>
      <c r="AO359" s="272"/>
      <c r="AX359" s="281"/>
      <c r="BH359" s="281"/>
      <c r="BQ359" s="272"/>
      <c r="BZ359" s="272"/>
      <c r="CZ359" s="281"/>
      <c r="DI359" s="272"/>
      <c r="DQ359" s="272"/>
    </row>
    <row r="360" spans="13:121" x14ac:dyDescent="0.15">
      <c r="M360" s="272"/>
      <c r="V360" s="272"/>
      <c r="AG360" s="272"/>
      <c r="AO360" s="272"/>
      <c r="AX360" s="281"/>
      <c r="BH360" s="281"/>
      <c r="BQ360" s="272"/>
      <c r="BZ360" s="272"/>
      <c r="CZ360" s="281"/>
      <c r="DI360" s="272"/>
      <c r="DQ360" s="272"/>
    </row>
    <row r="361" spans="13:121" x14ac:dyDescent="0.15">
      <c r="M361" s="272"/>
      <c r="V361" s="272"/>
      <c r="AG361" s="272"/>
      <c r="AO361" s="272"/>
      <c r="AX361" s="281"/>
      <c r="BH361" s="281"/>
      <c r="BQ361" s="272"/>
      <c r="BZ361" s="272"/>
      <c r="CZ361" s="281"/>
      <c r="DI361" s="272"/>
      <c r="DQ361" s="272"/>
    </row>
    <row r="362" spans="13:121" x14ac:dyDescent="0.15">
      <c r="M362" s="272"/>
      <c r="V362" s="272"/>
      <c r="AG362" s="272"/>
      <c r="AO362" s="272"/>
      <c r="AX362" s="281"/>
      <c r="BH362" s="281"/>
      <c r="BQ362" s="272"/>
      <c r="BZ362" s="272"/>
      <c r="CZ362" s="281"/>
      <c r="DI362" s="272"/>
      <c r="DQ362" s="272"/>
    </row>
    <row r="363" spans="13:121" x14ac:dyDescent="0.15">
      <c r="M363" s="272"/>
      <c r="V363" s="272"/>
      <c r="AG363" s="272"/>
      <c r="AO363" s="272"/>
      <c r="AX363" s="281"/>
      <c r="BH363" s="281"/>
      <c r="BQ363" s="272"/>
      <c r="BZ363" s="272"/>
      <c r="CZ363" s="281"/>
      <c r="DI363" s="272"/>
      <c r="DQ363" s="272"/>
    </row>
    <row r="364" spans="13:121" x14ac:dyDescent="0.15">
      <c r="M364" s="272"/>
      <c r="V364" s="272"/>
      <c r="AG364" s="272"/>
      <c r="AO364" s="272"/>
      <c r="AX364" s="281"/>
      <c r="BH364" s="281"/>
      <c r="BQ364" s="272"/>
      <c r="BZ364" s="272"/>
      <c r="CZ364" s="281"/>
      <c r="DI364" s="272"/>
      <c r="DQ364" s="272"/>
    </row>
    <row r="365" spans="13:121" x14ac:dyDescent="0.15">
      <c r="M365" s="272"/>
      <c r="V365" s="272"/>
      <c r="AG365" s="272"/>
      <c r="AO365" s="272"/>
      <c r="AX365" s="281"/>
      <c r="BH365" s="281"/>
      <c r="BQ365" s="272"/>
      <c r="BZ365" s="272"/>
      <c r="CZ365" s="281"/>
      <c r="DI365" s="272"/>
      <c r="DQ365" s="272"/>
    </row>
    <row r="366" spans="13:121" x14ac:dyDescent="0.15">
      <c r="M366" s="272"/>
      <c r="V366" s="272"/>
      <c r="AG366" s="272"/>
      <c r="AO366" s="272"/>
      <c r="AX366" s="281"/>
      <c r="BH366" s="281"/>
      <c r="BQ366" s="272"/>
      <c r="BZ366" s="272"/>
      <c r="CZ366" s="281"/>
      <c r="DI366" s="272"/>
      <c r="DQ366" s="272"/>
    </row>
    <row r="367" spans="13:121" x14ac:dyDescent="0.15">
      <c r="M367" s="272"/>
      <c r="V367" s="272"/>
      <c r="AG367" s="272"/>
      <c r="AO367" s="272"/>
      <c r="AX367" s="281"/>
      <c r="BH367" s="281"/>
      <c r="BQ367" s="272"/>
      <c r="BZ367" s="272"/>
      <c r="CZ367" s="281"/>
      <c r="DI367" s="272"/>
      <c r="DQ367" s="272"/>
    </row>
    <row r="368" spans="13:121" x14ac:dyDescent="0.15">
      <c r="M368" s="272"/>
      <c r="V368" s="272"/>
      <c r="AG368" s="272"/>
      <c r="AO368" s="272"/>
      <c r="AX368" s="281"/>
      <c r="BH368" s="281"/>
      <c r="BQ368" s="272"/>
      <c r="BZ368" s="272"/>
      <c r="CZ368" s="281"/>
      <c r="DI368" s="272"/>
      <c r="DQ368" s="272"/>
    </row>
    <row r="369" spans="13:121" x14ac:dyDescent="0.15">
      <c r="M369" s="272"/>
      <c r="V369" s="272"/>
      <c r="AG369" s="272"/>
      <c r="AO369" s="272"/>
      <c r="AX369" s="281"/>
      <c r="BH369" s="281"/>
      <c r="BQ369" s="272"/>
      <c r="BZ369" s="272"/>
      <c r="CZ369" s="281"/>
      <c r="DI369" s="272"/>
      <c r="DQ369" s="272"/>
    </row>
    <row r="370" spans="13:121" x14ac:dyDescent="0.15">
      <c r="M370" s="272"/>
      <c r="V370" s="272"/>
      <c r="AG370" s="272"/>
      <c r="AO370" s="272"/>
      <c r="AX370" s="281"/>
      <c r="BH370" s="281"/>
      <c r="BQ370" s="272"/>
      <c r="BZ370" s="272"/>
      <c r="CZ370" s="281"/>
      <c r="DI370" s="272"/>
      <c r="DQ370" s="272"/>
    </row>
    <row r="371" spans="13:121" x14ac:dyDescent="0.15">
      <c r="M371" s="272"/>
      <c r="V371" s="272"/>
      <c r="AG371" s="272"/>
      <c r="AO371" s="272"/>
      <c r="AX371" s="281"/>
      <c r="BH371" s="281"/>
      <c r="BQ371" s="272"/>
      <c r="BZ371" s="272"/>
      <c r="CZ371" s="281"/>
      <c r="DI371" s="272"/>
      <c r="DQ371" s="272"/>
    </row>
    <row r="372" spans="13:121" x14ac:dyDescent="0.15">
      <c r="M372" s="272"/>
      <c r="V372" s="272"/>
      <c r="AG372" s="272"/>
      <c r="AO372" s="272"/>
      <c r="AX372" s="281"/>
      <c r="BH372" s="281"/>
      <c r="BQ372" s="272"/>
      <c r="BZ372" s="272"/>
      <c r="CZ372" s="281"/>
      <c r="DI372" s="272"/>
      <c r="DQ372" s="272"/>
    </row>
    <row r="373" spans="13:121" x14ac:dyDescent="0.15">
      <c r="M373" s="272"/>
      <c r="V373" s="272"/>
      <c r="AG373" s="272"/>
      <c r="AO373" s="272"/>
      <c r="AX373" s="281"/>
      <c r="BH373" s="281"/>
      <c r="BQ373" s="272"/>
      <c r="BZ373" s="272"/>
      <c r="CZ373" s="281"/>
      <c r="DI373" s="272"/>
      <c r="DQ373" s="272"/>
    </row>
    <row r="374" spans="13:121" x14ac:dyDescent="0.15">
      <c r="M374" s="272"/>
      <c r="V374" s="272"/>
      <c r="AG374" s="272"/>
      <c r="AO374" s="272"/>
      <c r="AX374" s="281"/>
      <c r="BH374" s="281"/>
      <c r="BQ374" s="272"/>
      <c r="BZ374" s="272"/>
      <c r="CZ374" s="281"/>
      <c r="DI374" s="272"/>
      <c r="DQ374" s="272"/>
    </row>
    <row r="375" spans="13:121" x14ac:dyDescent="0.15">
      <c r="M375" s="272"/>
      <c r="V375" s="272"/>
      <c r="AG375" s="272"/>
      <c r="AO375" s="272"/>
      <c r="AX375" s="281"/>
      <c r="BH375" s="281"/>
      <c r="BQ375" s="272"/>
      <c r="BZ375" s="272"/>
      <c r="CZ375" s="281"/>
      <c r="DI375" s="272"/>
      <c r="DQ375" s="272"/>
    </row>
    <row r="376" spans="13:121" x14ac:dyDescent="0.15">
      <c r="M376" s="272"/>
      <c r="V376" s="272"/>
      <c r="AG376" s="272"/>
      <c r="AO376" s="272"/>
      <c r="AX376" s="281"/>
      <c r="BH376" s="281"/>
      <c r="BQ376" s="272"/>
      <c r="BZ376" s="272"/>
      <c r="CZ376" s="281"/>
      <c r="DI376" s="272"/>
      <c r="DQ376" s="272"/>
    </row>
    <row r="377" spans="13:121" x14ac:dyDescent="0.15">
      <c r="M377" s="272"/>
      <c r="V377" s="272"/>
      <c r="AG377" s="272"/>
      <c r="AO377" s="272"/>
      <c r="AX377" s="281"/>
      <c r="BH377" s="281"/>
      <c r="BQ377" s="272"/>
      <c r="BZ377" s="272"/>
      <c r="CZ377" s="281"/>
      <c r="DI377" s="272"/>
      <c r="DQ377" s="272"/>
    </row>
    <row r="378" spans="13:121" x14ac:dyDescent="0.15">
      <c r="M378" s="272"/>
      <c r="V378" s="272"/>
      <c r="AG378" s="272"/>
      <c r="AO378" s="272"/>
      <c r="AX378" s="281"/>
      <c r="BH378" s="281"/>
      <c r="BQ378" s="272"/>
      <c r="BZ378" s="272"/>
      <c r="CZ378" s="281"/>
      <c r="DI378" s="272"/>
      <c r="DQ378" s="272"/>
    </row>
    <row r="379" spans="13:121" x14ac:dyDescent="0.15">
      <c r="M379" s="272"/>
      <c r="V379" s="272"/>
      <c r="AG379" s="272"/>
      <c r="AO379" s="272"/>
      <c r="AX379" s="281"/>
      <c r="BH379" s="281"/>
      <c r="BQ379" s="272"/>
      <c r="BZ379" s="272"/>
      <c r="CZ379" s="281"/>
      <c r="DI379" s="272"/>
      <c r="DQ379" s="272"/>
    </row>
    <row r="380" spans="13:121" x14ac:dyDescent="0.15">
      <c r="M380" s="272"/>
      <c r="V380" s="272"/>
      <c r="AG380" s="272"/>
      <c r="AO380" s="272"/>
      <c r="AX380" s="281"/>
      <c r="BH380" s="281"/>
      <c r="BQ380" s="272"/>
      <c r="BZ380" s="272"/>
      <c r="CZ380" s="281"/>
      <c r="DI380" s="272"/>
      <c r="DQ380" s="272"/>
    </row>
    <row r="381" spans="13:121" x14ac:dyDescent="0.15">
      <c r="M381" s="272"/>
      <c r="V381" s="272"/>
      <c r="AG381" s="272"/>
      <c r="AO381" s="272"/>
      <c r="AX381" s="281"/>
      <c r="BH381" s="281"/>
      <c r="BQ381" s="272"/>
      <c r="BZ381" s="272"/>
    </row>
    <row r="382" spans="13:121" x14ac:dyDescent="0.15">
      <c r="M382" s="272"/>
      <c r="V382" s="272"/>
      <c r="AG382" s="272"/>
      <c r="AO382" s="272"/>
      <c r="AX382" s="281"/>
      <c r="BH382" s="281"/>
      <c r="BQ382" s="272"/>
      <c r="BZ382" s="272"/>
    </row>
  </sheetData>
  <mergeCells count="27">
    <mergeCell ref="DN53:DO53"/>
    <mergeCell ref="C5:K5"/>
    <mergeCell ref="AH5:AM5"/>
    <mergeCell ref="CE50:CF50"/>
    <mergeCell ref="CE51:CF51"/>
    <mergeCell ref="CE49:CF49"/>
    <mergeCell ref="DN49:DO49"/>
    <mergeCell ref="DN50:DO50"/>
    <mergeCell ref="X5:AE5"/>
    <mergeCell ref="N5:U5"/>
    <mergeCell ref="BJ5:BP5"/>
    <mergeCell ref="CA5:CG5"/>
    <mergeCell ref="BR5:BX5"/>
    <mergeCell ref="AY5:BF5"/>
    <mergeCell ref="AP5:AW5"/>
    <mergeCell ref="CN50:CO50"/>
    <mergeCell ref="CN51:CO51"/>
    <mergeCell ref="CR5:CX5"/>
    <mergeCell ref="DA5:DG5"/>
    <mergeCell ref="DN51:DO51"/>
    <mergeCell ref="CJ5:CP5"/>
    <mergeCell ref="CN49:CO49"/>
    <mergeCell ref="DW51:DX51"/>
    <mergeCell ref="DJ5:DP5"/>
    <mergeCell ref="DS5:DY5"/>
    <mergeCell ref="DW49:DX49"/>
    <mergeCell ref="DW50:DX50"/>
  </mergeCells>
  <pageMargins left="0.7" right="0.7" top="0.75" bottom="0.75" header="0.3" footer="0.3"/>
  <pageSetup paperSize="9" orientation="portrait" r:id="rId1"/>
  <ignoredErrors>
    <ignoredError sqref="Q10 AS20 AS10:AS19 AS21:AS26 AS27:AS44 AS45:AS48 Q11:Q26 Q27:Q43 Q44:Q48"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1D349-0BEE-4269-B6E1-1E8D474BE817}">
  <sheetPr codeName="Sheet1"/>
  <dimension ref="A3:AF55"/>
  <sheetViews>
    <sheetView topLeftCell="A27" zoomScale="85" zoomScaleNormal="85" workbookViewId="0">
      <pane xSplit="5" topLeftCell="I1" activePane="topRight" state="frozen"/>
      <selection pane="topRight" activeCell="A51" sqref="A51"/>
    </sheetView>
  </sheetViews>
  <sheetFormatPr baseColWidth="10" defaultColWidth="8.83203125" defaultRowHeight="15" x14ac:dyDescent="0.2"/>
  <cols>
    <col min="1" max="1" width="15.1640625" style="1" customWidth="1"/>
    <col min="2" max="2" width="11.1640625" style="1" customWidth="1"/>
    <col min="3" max="3" width="10.5" style="1" customWidth="1"/>
    <col min="4" max="4" width="10" customWidth="1"/>
    <col min="5" max="5" width="9.1640625" customWidth="1"/>
    <col min="6" max="6" width="2.1640625" customWidth="1"/>
    <col min="7" max="7" width="12.1640625" customWidth="1"/>
    <col min="8" max="8" width="19.83203125" customWidth="1"/>
    <col min="9" max="9" width="19" customWidth="1"/>
    <col min="10" max="10" width="14.5" customWidth="1"/>
    <col min="11" max="11" width="2.5" customWidth="1"/>
    <col min="12" max="12" width="13" customWidth="1"/>
    <col min="13" max="13" width="16.1640625" customWidth="1"/>
    <col min="14" max="14" width="13.1640625" customWidth="1"/>
    <col min="15" max="15" width="12.5" customWidth="1"/>
    <col min="16" max="16" width="2.5" customWidth="1"/>
    <col min="17" max="17" width="11" customWidth="1"/>
    <col min="18" max="18" width="15.5" customWidth="1"/>
    <col min="19" max="19" width="13.1640625" customWidth="1"/>
    <col min="20" max="20" width="14.83203125" customWidth="1"/>
    <col min="21" max="21" width="2.83203125" customWidth="1"/>
    <col min="22" max="22" width="10.1640625" customWidth="1"/>
    <col min="23" max="23" width="15" customWidth="1"/>
    <col min="24" max="24" width="13.5" customWidth="1"/>
    <col min="25" max="25" width="13.83203125" customWidth="1"/>
    <col min="26" max="26" width="4.1640625" customWidth="1"/>
    <col min="27" max="27" width="11.5" customWidth="1"/>
    <col min="28" max="28" width="12.83203125" customWidth="1"/>
    <col min="29" max="29" width="13.1640625" customWidth="1"/>
    <col min="30" max="30" width="14" customWidth="1"/>
    <col min="2000" max="2000" width="2.5" customWidth="1"/>
  </cols>
  <sheetData>
    <row r="3" spans="1:32" x14ac:dyDescent="0.2">
      <c r="A3" s="139" t="s">
        <v>880</v>
      </c>
      <c r="B3" s="113" t="s">
        <v>141</v>
      </c>
      <c r="C3" s="113" t="s">
        <v>549</v>
      </c>
      <c r="D3" s="113" t="s">
        <v>550</v>
      </c>
      <c r="E3" s="114" t="s">
        <v>143</v>
      </c>
      <c r="F3" s="1"/>
      <c r="G3" s="1"/>
    </row>
    <row r="4" spans="1:32" x14ac:dyDescent="0.2">
      <c r="A4" s="41" t="s">
        <v>301</v>
      </c>
      <c r="B4" s="1">
        <v>2</v>
      </c>
      <c r="C4" s="1">
        <v>1.99</v>
      </c>
      <c r="D4" s="1">
        <v>2.0099999999999998</v>
      </c>
      <c r="E4" s="140">
        <f>(D4-C4)/(1.96*2)</f>
        <v>5.1020408163264782E-3</v>
      </c>
      <c r="F4" s="1"/>
    </row>
    <row r="5" spans="1:32" x14ac:dyDescent="0.2">
      <c r="A5" s="41" t="s">
        <v>307</v>
      </c>
      <c r="B5" s="1">
        <v>4.5</v>
      </c>
      <c r="C5" s="1">
        <v>4.43</v>
      </c>
      <c r="D5" s="1">
        <v>4.57</v>
      </c>
      <c r="E5" s="140">
        <f>(D5-C5)/(1.96*2)</f>
        <v>3.5714285714285858E-2</v>
      </c>
      <c r="F5" s="1"/>
    </row>
    <row r="6" spans="1:32" x14ac:dyDescent="0.2">
      <c r="A6" s="41" t="s">
        <v>309</v>
      </c>
      <c r="B6" s="1">
        <v>3</v>
      </c>
      <c r="C6" s="1">
        <v>2.95</v>
      </c>
      <c r="D6" s="1">
        <v>3.05</v>
      </c>
      <c r="E6" s="140">
        <f>(D6-C6)/(1.96*2)</f>
        <v>2.5510204081632563E-2</v>
      </c>
      <c r="F6" s="1"/>
    </row>
    <row r="7" spans="1:32" x14ac:dyDescent="0.2">
      <c r="A7" s="93" t="s">
        <v>881</v>
      </c>
      <c r="B7" s="1">
        <v>4.7300000000000004</v>
      </c>
      <c r="C7" s="1">
        <v>4.34</v>
      </c>
      <c r="D7" s="1">
        <v>5.15</v>
      </c>
      <c r="E7" s="140">
        <f>(D7-C7)/(1.96*2)</f>
        <v>0.20663265306122461</v>
      </c>
      <c r="F7" s="1"/>
    </row>
    <row r="8" spans="1:32" x14ac:dyDescent="0.2">
      <c r="A8" s="93" t="s">
        <v>315</v>
      </c>
      <c r="B8" s="1">
        <v>2.3199999999999998</v>
      </c>
      <c r="C8" s="1">
        <v>2.17</v>
      </c>
      <c r="D8" s="1">
        <v>2.4900000000000002</v>
      </c>
      <c r="E8" s="140">
        <f>(D8-C8)/(1.96*2)</f>
        <v>8.1632653061224567E-2</v>
      </c>
      <c r="F8" s="1"/>
    </row>
    <row r="9" spans="1:32" x14ac:dyDescent="0.2">
      <c r="A9" s="141" t="s">
        <v>882</v>
      </c>
      <c r="B9" s="1">
        <v>0.72</v>
      </c>
      <c r="C9" s="99"/>
      <c r="D9" s="45"/>
      <c r="E9" s="46"/>
    </row>
    <row r="11" spans="1:32" s="31" customFormat="1" ht="26.5" customHeight="1" x14ac:dyDescent="0.15">
      <c r="A11" s="448" t="s">
        <v>883</v>
      </c>
      <c r="B11" s="448"/>
      <c r="C11" s="30"/>
      <c r="D11" s="30"/>
      <c r="E11" s="137"/>
      <c r="F11" s="137"/>
      <c r="G11" s="448" t="s">
        <v>884</v>
      </c>
      <c r="H11" s="448"/>
      <c r="I11" s="22"/>
      <c r="J11" s="22"/>
      <c r="K11" s="22"/>
      <c r="L11" s="448" t="s">
        <v>885</v>
      </c>
      <c r="M11" s="448"/>
      <c r="N11" s="137"/>
      <c r="O11" s="137"/>
      <c r="P11" s="137"/>
      <c r="Q11" s="448" t="s">
        <v>886</v>
      </c>
      <c r="R11" s="448"/>
      <c r="S11" s="137"/>
      <c r="T11" s="137"/>
      <c r="U11" s="137"/>
      <c r="V11" s="448" t="s">
        <v>887</v>
      </c>
      <c r="W11" s="448"/>
      <c r="AA11" s="448" t="s">
        <v>888</v>
      </c>
      <c r="AB11" s="448"/>
    </row>
    <row r="12" spans="1:32" ht="27" x14ac:dyDescent="0.2">
      <c r="A12" s="23" t="s">
        <v>889</v>
      </c>
      <c r="B12" s="23" t="s">
        <v>890</v>
      </c>
      <c r="C12" s="23" t="s">
        <v>891</v>
      </c>
      <c r="D12" s="23" t="s">
        <v>892</v>
      </c>
      <c r="E12" s="22"/>
      <c r="F12" s="22"/>
      <c r="G12" s="276" t="s">
        <v>857</v>
      </c>
      <c r="H12" s="276" t="s">
        <v>893</v>
      </c>
      <c r="I12" s="276" t="s">
        <v>894</v>
      </c>
      <c r="J12" s="276" t="s">
        <v>895</v>
      </c>
      <c r="K12" s="22"/>
      <c r="L12" s="142" t="s">
        <v>857</v>
      </c>
      <c r="M12" s="143" t="s">
        <v>896</v>
      </c>
      <c r="N12" s="143" t="s">
        <v>897</v>
      </c>
      <c r="O12" s="143" t="s">
        <v>898</v>
      </c>
      <c r="P12" s="22"/>
      <c r="Q12" s="32" t="s">
        <v>899</v>
      </c>
      <c r="R12" s="26" t="s">
        <v>896</v>
      </c>
      <c r="S12" s="26" t="s">
        <v>897</v>
      </c>
      <c r="T12" s="26" t="s">
        <v>898</v>
      </c>
      <c r="U12" s="22"/>
      <c r="V12" s="144" t="s">
        <v>857</v>
      </c>
      <c r="W12" s="27" t="s">
        <v>896</v>
      </c>
      <c r="X12" s="27" t="s">
        <v>897</v>
      </c>
      <c r="Y12" s="27" t="s">
        <v>898</v>
      </c>
      <c r="Z12" s="22"/>
      <c r="AA12" s="146" t="s">
        <v>857</v>
      </c>
      <c r="AB12" s="29" t="s">
        <v>896</v>
      </c>
      <c r="AC12" s="29" t="s">
        <v>897</v>
      </c>
      <c r="AD12" s="29" t="s">
        <v>898</v>
      </c>
    </row>
    <row r="13" spans="1:32" x14ac:dyDescent="0.2">
      <c r="A13" s="24">
        <v>64</v>
      </c>
      <c r="B13" s="25">
        <v>1.1379999999999999E-2</v>
      </c>
      <c r="C13" s="24">
        <v>69</v>
      </c>
      <c r="D13" s="25">
        <v>1.1665E-2</v>
      </c>
      <c r="E13" s="138"/>
      <c r="F13" s="138"/>
      <c r="G13" s="24">
        <v>64</v>
      </c>
      <c r="H13" s="34">
        <f t="shared" ref="H13:H51" si="0">MIN(B13*smr_noevent,1)</f>
        <v>2.2759999999999999E-2</v>
      </c>
      <c r="I13" s="34">
        <f t="shared" ref="I13:I51" si="1">MIN(D13*smr_noevent, 1)</f>
        <v>2.333E-2</v>
      </c>
      <c r="J13" s="34">
        <f t="shared" ref="J13:J51" si="2">(H13*male_proportion_STEMI)+(I13*(1-male_proportion_STEMI))</f>
        <v>2.2919599999999998E-2</v>
      </c>
      <c r="K13" s="126"/>
      <c r="L13" s="24">
        <v>64</v>
      </c>
      <c r="M13" s="142">
        <f t="shared" ref="M13:M51" si="3">MIN(B13*smr_rinfar, 1)</f>
        <v>5.1209999999999999E-2</v>
      </c>
      <c r="N13" s="142">
        <f t="shared" ref="N13:N51" si="4">MIN(D13*smr_rinfar,1)</f>
        <v>5.2492499999999997E-2</v>
      </c>
      <c r="O13" s="142">
        <f t="shared" ref="O13:O51" si="5">MIN((M13*male_proportion_STEMI)+(N13*(1 - male_proportion_STEMI)), 1)</f>
        <v>5.15691E-2</v>
      </c>
      <c r="P13" s="126"/>
      <c r="Q13" s="24">
        <v>64</v>
      </c>
      <c r="R13" s="33">
        <f t="shared" ref="R13:R51" si="6">MIN(B13*smr_post_rinfar,1)</f>
        <v>3.4139999999999997E-2</v>
      </c>
      <c r="S13" s="33">
        <f t="shared" ref="S13:S51" si="7">MIN(D13*smr_post_rinfar, 1)</f>
        <v>3.4994999999999998E-2</v>
      </c>
      <c r="T13" s="33">
        <f t="shared" ref="T13:T51" si="8">(R13*male_proportion_STEMI)+(S13*(1-male_proportion_STEMI))</f>
        <v>3.4379399999999997E-2</v>
      </c>
      <c r="U13" s="126"/>
      <c r="V13" s="24">
        <v>64</v>
      </c>
      <c r="W13" s="145">
        <f>MIN(B13*smr_stk, 1)</f>
        <v>5.3827400000000004E-2</v>
      </c>
      <c r="X13" s="145">
        <f>MIN(D13*smr_stk, 1)</f>
        <v>5.5175450000000008E-2</v>
      </c>
      <c r="Y13" s="145">
        <f t="shared" ref="Y13:Y51" si="9">(W13*male_proportion_STEMI)+(X13*(1-male_proportion_STEMI))</f>
        <v>5.4204854000000011E-2</v>
      </c>
      <c r="Z13" s="126"/>
      <c r="AA13" s="24">
        <v>64</v>
      </c>
      <c r="AB13" s="147">
        <f>MIN(B13*smr_post_stk, 1)</f>
        <v>2.6401599999999997E-2</v>
      </c>
      <c r="AC13" s="147">
        <f>MIN(D13*smr_post_stk, 1)</f>
        <v>2.7062799999999998E-2</v>
      </c>
      <c r="AD13" s="147">
        <f t="shared" ref="AD13:AD51" si="10">(AB13*male_proportion_STEMI)+(AC13*(1-male_proportion_STEMI))</f>
        <v>2.6586736E-2</v>
      </c>
      <c r="AE13" s="28"/>
      <c r="AF13" s="28"/>
    </row>
    <row r="14" spans="1:32" x14ac:dyDescent="0.2">
      <c r="A14" s="24">
        <v>65</v>
      </c>
      <c r="B14" s="25">
        <v>1.2389000000000001E-2</v>
      </c>
      <c r="C14" s="24">
        <v>70</v>
      </c>
      <c r="D14" s="25">
        <v>1.298E-2</v>
      </c>
      <c r="E14" s="138"/>
      <c r="F14" s="138"/>
      <c r="G14" s="24">
        <v>65</v>
      </c>
      <c r="H14" s="34">
        <f t="shared" si="0"/>
        <v>2.4778000000000001E-2</v>
      </c>
      <c r="I14" s="34">
        <f t="shared" si="1"/>
        <v>2.596E-2</v>
      </c>
      <c r="J14" s="34">
        <f t="shared" si="2"/>
        <v>2.510896E-2</v>
      </c>
      <c r="K14" s="126"/>
      <c r="L14" s="24">
        <v>65</v>
      </c>
      <c r="M14" s="142">
        <f t="shared" si="3"/>
        <v>5.5750500000000001E-2</v>
      </c>
      <c r="N14" s="142">
        <f t="shared" si="4"/>
        <v>5.8410000000000004E-2</v>
      </c>
      <c r="O14" s="142">
        <f t="shared" si="5"/>
        <v>5.6495160000000003E-2</v>
      </c>
      <c r="P14" s="126"/>
      <c r="Q14" s="24">
        <v>65</v>
      </c>
      <c r="R14" s="33">
        <f t="shared" si="6"/>
        <v>3.7167000000000006E-2</v>
      </c>
      <c r="S14" s="33">
        <f t="shared" si="7"/>
        <v>3.8940000000000002E-2</v>
      </c>
      <c r="T14" s="33">
        <f t="shared" si="8"/>
        <v>3.7663440000000006E-2</v>
      </c>
      <c r="U14" s="126"/>
      <c r="V14" s="24">
        <v>65</v>
      </c>
      <c r="W14" s="145">
        <f t="shared" ref="W14:W51" si="11">MIN(B14*smr_stk, 1)</f>
        <v>5.8599970000000008E-2</v>
      </c>
      <c r="X14" s="145">
        <f t="shared" ref="X14:X51" si="12">MIN(D14*smr_stk, 1)</f>
        <v>6.139540000000001E-2</v>
      </c>
      <c r="Y14" s="145">
        <f t="shared" si="9"/>
        <v>5.9382690400000007E-2</v>
      </c>
      <c r="Z14" s="126"/>
      <c r="AA14" s="24">
        <v>65</v>
      </c>
      <c r="AB14" s="147">
        <f t="shared" ref="AB14:AB51" si="13">MIN(B14*smr_post_stk, 1)</f>
        <v>2.8742480000000001E-2</v>
      </c>
      <c r="AC14" s="147">
        <f t="shared" ref="AC14:AC51" si="14">MIN(D14*smr_post_stk, 1)</f>
        <v>3.0113599999999997E-2</v>
      </c>
      <c r="AD14" s="147">
        <f t="shared" si="10"/>
        <v>2.9126393600000001E-2</v>
      </c>
      <c r="AE14" s="28"/>
      <c r="AF14" s="28"/>
    </row>
    <row r="15" spans="1:32" x14ac:dyDescent="0.2">
      <c r="A15" s="24">
        <v>66</v>
      </c>
      <c r="B15" s="25">
        <v>1.3665999999999999E-2</v>
      </c>
      <c r="C15" s="24">
        <v>71</v>
      </c>
      <c r="D15" s="25">
        <v>1.3979999999999999E-2</v>
      </c>
      <c r="E15" s="138"/>
      <c r="F15" s="138"/>
      <c r="G15" s="24">
        <v>66</v>
      </c>
      <c r="H15" s="34">
        <f t="shared" si="0"/>
        <v>2.7331999999999999E-2</v>
      </c>
      <c r="I15" s="34">
        <f t="shared" si="1"/>
        <v>2.7959999999999999E-2</v>
      </c>
      <c r="J15" s="34">
        <f t="shared" si="2"/>
        <v>2.7507839999999999E-2</v>
      </c>
      <c r="K15" s="126"/>
      <c r="L15" s="24">
        <v>66</v>
      </c>
      <c r="M15" s="142">
        <f t="shared" si="3"/>
        <v>6.1496999999999996E-2</v>
      </c>
      <c r="N15" s="142">
        <f t="shared" si="4"/>
        <v>6.2909999999999994E-2</v>
      </c>
      <c r="O15" s="142">
        <f t="shared" si="5"/>
        <v>6.1892639999999999E-2</v>
      </c>
      <c r="P15" s="126"/>
      <c r="Q15" s="24">
        <v>66</v>
      </c>
      <c r="R15" s="33">
        <f t="shared" si="6"/>
        <v>4.0998E-2</v>
      </c>
      <c r="S15" s="33">
        <f t="shared" si="7"/>
        <v>4.1939999999999998E-2</v>
      </c>
      <c r="T15" s="33">
        <f t="shared" si="8"/>
        <v>4.1261760000000001E-2</v>
      </c>
      <c r="U15" s="126"/>
      <c r="V15" s="24">
        <v>66</v>
      </c>
      <c r="W15" s="145">
        <f t="shared" si="11"/>
        <v>6.4640180000000005E-2</v>
      </c>
      <c r="X15" s="145">
        <f t="shared" si="12"/>
        <v>6.6125400000000001E-2</v>
      </c>
      <c r="Y15" s="145">
        <f t="shared" si="9"/>
        <v>6.5056041600000003E-2</v>
      </c>
      <c r="Z15" s="126"/>
      <c r="AA15" s="24">
        <v>66</v>
      </c>
      <c r="AB15" s="147">
        <f t="shared" si="13"/>
        <v>3.1705119999999996E-2</v>
      </c>
      <c r="AC15" s="147">
        <f t="shared" si="14"/>
        <v>3.2433599999999993E-2</v>
      </c>
      <c r="AD15" s="147">
        <f t="shared" si="10"/>
        <v>3.1909094399999997E-2</v>
      </c>
      <c r="AE15" s="28"/>
      <c r="AF15" s="28"/>
    </row>
    <row r="16" spans="1:32" x14ac:dyDescent="0.2">
      <c r="A16" s="24">
        <v>67</v>
      </c>
      <c r="B16" s="25">
        <v>1.5075E-2</v>
      </c>
      <c r="C16" s="24">
        <v>72</v>
      </c>
      <c r="D16" s="25">
        <v>1.5350000000000001E-2</v>
      </c>
      <c r="E16" s="138"/>
      <c r="F16" s="138"/>
      <c r="G16" s="24">
        <v>67</v>
      </c>
      <c r="H16" s="34">
        <f t="shared" si="0"/>
        <v>3.015E-2</v>
      </c>
      <c r="I16" s="34">
        <f t="shared" si="1"/>
        <v>3.0700000000000002E-2</v>
      </c>
      <c r="J16" s="34">
        <f t="shared" si="2"/>
        <v>3.0303999999999998E-2</v>
      </c>
      <c r="K16" s="126"/>
      <c r="L16" s="24">
        <v>67</v>
      </c>
      <c r="M16" s="142">
        <f t="shared" si="3"/>
        <v>6.7837499999999995E-2</v>
      </c>
      <c r="N16" s="142">
        <f t="shared" si="4"/>
        <v>6.9074999999999998E-2</v>
      </c>
      <c r="O16" s="142">
        <f t="shared" si="5"/>
        <v>6.8183999999999995E-2</v>
      </c>
      <c r="P16" s="126"/>
      <c r="Q16" s="24">
        <v>67</v>
      </c>
      <c r="R16" s="33">
        <f t="shared" si="6"/>
        <v>4.5225000000000001E-2</v>
      </c>
      <c r="S16" s="33">
        <f t="shared" si="7"/>
        <v>4.6050000000000001E-2</v>
      </c>
      <c r="T16" s="33">
        <f t="shared" si="8"/>
        <v>4.5456000000000003E-2</v>
      </c>
      <c r="U16" s="126"/>
      <c r="V16" s="24">
        <v>67</v>
      </c>
      <c r="W16" s="145">
        <f t="shared" si="11"/>
        <v>7.130475E-2</v>
      </c>
      <c r="X16" s="145">
        <f t="shared" si="12"/>
        <v>7.2605500000000017E-2</v>
      </c>
      <c r="Y16" s="145">
        <f t="shared" si="9"/>
        <v>7.1668960000000004E-2</v>
      </c>
      <c r="Z16" s="126"/>
      <c r="AA16" s="24">
        <v>67</v>
      </c>
      <c r="AB16" s="147">
        <f t="shared" si="13"/>
        <v>3.4973999999999998E-2</v>
      </c>
      <c r="AC16" s="147">
        <f t="shared" si="14"/>
        <v>3.5611999999999998E-2</v>
      </c>
      <c r="AD16" s="147">
        <f t="shared" si="10"/>
        <v>3.5152639999999999E-2</v>
      </c>
      <c r="AE16" s="28"/>
      <c r="AF16" s="28"/>
    </row>
    <row r="17" spans="1:32" x14ac:dyDescent="0.2">
      <c r="A17" s="24">
        <v>68</v>
      </c>
      <c r="B17" s="25">
        <v>1.6594000000000001E-2</v>
      </c>
      <c r="C17" s="24">
        <v>73</v>
      </c>
      <c r="D17" s="25">
        <v>1.6933E-2</v>
      </c>
      <c r="E17" s="138"/>
      <c r="F17" s="138"/>
      <c r="G17" s="24">
        <v>68</v>
      </c>
      <c r="H17" s="34">
        <f t="shared" si="0"/>
        <v>3.3188000000000002E-2</v>
      </c>
      <c r="I17" s="34">
        <f t="shared" si="1"/>
        <v>3.3866E-2</v>
      </c>
      <c r="J17" s="34">
        <f t="shared" si="2"/>
        <v>3.3377840000000006E-2</v>
      </c>
      <c r="K17" s="126"/>
      <c r="L17" s="24">
        <v>68</v>
      </c>
      <c r="M17" s="142">
        <f t="shared" si="3"/>
        <v>7.4673000000000003E-2</v>
      </c>
      <c r="N17" s="142">
        <f t="shared" si="4"/>
        <v>7.6198500000000002E-2</v>
      </c>
      <c r="O17" s="142">
        <f t="shared" si="5"/>
        <v>7.510014000000001E-2</v>
      </c>
      <c r="P17" s="126"/>
      <c r="Q17" s="24">
        <v>68</v>
      </c>
      <c r="R17" s="33">
        <f t="shared" si="6"/>
        <v>4.9782000000000007E-2</v>
      </c>
      <c r="S17" s="33">
        <f t="shared" si="7"/>
        <v>5.0798999999999997E-2</v>
      </c>
      <c r="T17" s="33">
        <f t="shared" si="8"/>
        <v>5.0066760000000009E-2</v>
      </c>
      <c r="U17" s="126"/>
      <c r="V17" s="24">
        <v>68</v>
      </c>
      <c r="W17" s="145">
        <f t="shared" si="11"/>
        <v>7.848962000000001E-2</v>
      </c>
      <c r="X17" s="145">
        <f t="shared" si="12"/>
        <v>8.0093090000000006E-2</v>
      </c>
      <c r="Y17" s="145">
        <f t="shared" si="9"/>
        <v>7.893859160000001E-2</v>
      </c>
      <c r="Z17" s="126"/>
      <c r="AA17" s="24">
        <v>68</v>
      </c>
      <c r="AB17" s="147">
        <f t="shared" si="13"/>
        <v>3.8498079999999997E-2</v>
      </c>
      <c r="AC17" s="147">
        <f t="shared" si="14"/>
        <v>3.9284559999999996E-2</v>
      </c>
      <c r="AD17" s="147">
        <f t="shared" si="10"/>
        <v>3.8718294399999999E-2</v>
      </c>
      <c r="AE17" s="28"/>
      <c r="AF17" s="28"/>
    </row>
    <row r="18" spans="1:32" x14ac:dyDescent="0.2">
      <c r="A18" s="24">
        <v>69</v>
      </c>
      <c r="B18" s="25">
        <v>1.7954000000000001E-2</v>
      </c>
      <c r="C18" s="24">
        <v>74</v>
      </c>
      <c r="D18" s="25">
        <v>1.8619E-2</v>
      </c>
      <c r="E18" s="138"/>
      <c r="F18" s="138"/>
      <c r="G18" s="24">
        <v>69</v>
      </c>
      <c r="H18" s="34">
        <f t="shared" si="0"/>
        <v>3.5908000000000002E-2</v>
      </c>
      <c r="I18" s="34">
        <f t="shared" si="1"/>
        <v>3.7238E-2</v>
      </c>
      <c r="J18" s="34">
        <f t="shared" si="2"/>
        <v>3.6280400000000004E-2</v>
      </c>
      <c r="K18" s="126"/>
      <c r="L18" s="24">
        <v>69</v>
      </c>
      <c r="M18" s="142">
        <f t="shared" si="3"/>
        <v>8.0793000000000004E-2</v>
      </c>
      <c r="N18" s="142">
        <f t="shared" si="4"/>
        <v>8.3785499999999999E-2</v>
      </c>
      <c r="O18" s="142">
        <f t="shared" si="5"/>
        <v>8.1630900000000006E-2</v>
      </c>
      <c r="P18" s="126"/>
      <c r="Q18" s="24">
        <v>69</v>
      </c>
      <c r="R18" s="33">
        <f t="shared" si="6"/>
        <v>5.3862000000000007E-2</v>
      </c>
      <c r="S18" s="33">
        <f t="shared" si="7"/>
        <v>5.5857000000000004E-2</v>
      </c>
      <c r="T18" s="33">
        <f t="shared" si="8"/>
        <v>5.4420600000000006E-2</v>
      </c>
      <c r="U18" s="126"/>
      <c r="V18" s="24">
        <v>69</v>
      </c>
      <c r="W18" s="145">
        <f t="shared" si="11"/>
        <v>8.4922420000000012E-2</v>
      </c>
      <c r="X18" s="145">
        <f t="shared" si="12"/>
        <v>8.8067870000000006E-2</v>
      </c>
      <c r="Y18" s="145">
        <f t="shared" si="9"/>
        <v>8.5803146000000011E-2</v>
      </c>
      <c r="Z18" s="126"/>
      <c r="AA18" s="24">
        <v>69</v>
      </c>
      <c r="AB18" s="147">
        <f t="shared" si="13"/>
        <v>4.1653280000000001E-2</v>
      </c>
      <c r="AC18" s="147">
        <f t="shared" si="14"/>
        <v>4.3196079999999998E-2</v>
      </c>
      <c r="AD18" s="147">
        <f t="shared" si="10"/>
        <v>4.2085264000000004E-2</v>
      </c>
      <c r="AE18" s="28"/>
      <c r="AF18" s="28"/>
    </row>
    <row r="19" spans="1:32" x14ac:dyDescent="0.2">
      <c r="A19" s="24">
        <v>70</v>
      </c>
      <c r="B19" s="25">
        <v>1.9639E-2</v>
      </c>
      <c r="C19" s="24">
        <v>75</v>
      </c>
      <c r="D19" s="25">
        <v>2.1062999999999998E-2</v>
      </c>
      <c r="E19" s="138"/>
      <c r="F19" s="138"/>
      <c r="G19" s="24">
        <v>70</v>
      </c>
      <c r="H19" s="34">
        <f t="shared" si="0"/>
        <v>3.9278E-2</v>
      </c>
      <c r="I19" s="34">
        <f t="shared" si="1"/>
        <v>4.2125999999999997E-2</v>
      </c>
      <c r="J19" s="34">
        <f t="shared" si="2"/>
        <v>4.0075439999999997E-2</v>
      </c>
      <c r="K19" s="126"/>
      <c r="L19" s="24">
        <v>70</v>
      </c>
      <c r="M19" s="142">
        <f t="shared" si="3"/>
        <v>8.8375499999999996E-2</v>
      </c>
      <c r="N19" s="142">
        <f t="shared" si="4"/>
        <v>9.4783499999999993E-2</v>
      </c>
      <c r="O19" s="142">
        <f t="shared" si="5"/>
        <v>9.0169739999999998E-2</v>
      </c>
      <c r="P19" s="126"/>
      <c r="Q19" s="24">
        <v>70</v>
      </c>
      <c r="R19" s="33">
        <f t="shared" si="6"/>
        <v>5.8916999999999997E-2</v>
      </c>
      <c r="S19" s="33">
        <f t="shared" si="7"/>
        <v>6.3188999999999995E-2</v>
      </c>
      <c r="T19" s="33">
        <f t="shared" si="8"/>
        <v>6.0113159999999999E-2</v>
      </c>
      <c r="U19" s="126"/>
      <c r="V19" s="24">
        <v>70</v>
      </c>
      <c r="W19" s="145">
        <f t="shared" si="11"/>
        <v>9.2892470000000005E-2</v>
      </c>
      <c r="X19" s="145">
        <f t="shared" si="12"/>
        <v>9.962799E-2</v>
      </c>
      <c r="Y19" s="145">
        <f t="shared" si="9"/>
        <v>9.4778415599999999E-2</v>
      </c>
      <c r="Z19" s="126"/>
      <c r="AA19" s="24">
        <v>70</v>
      </c>
      <c r="AB19" s="147">
        <f t="shared" si="13"/>
        <v>4.5562479999999995E-2</v>
      </c>
      <c r="AC19" s="147">
        <f t="shared" si="14"/>
        <v>4.8866159999999992E-2</v>
      </c>
      <c r="AD19" s="147">
        <f t="shared" si="10"/>
        <v>4.6487510399999994E-2</v>
      </c>
      <c r="AE19" s="28"/>
      <c r="AF19" s="28"/>
    </row>
    <row r="20" spans="1:32" x14ac:dyDescent="0.2">
      <c r="A20" s="24">
        <v>71</v>
      </c>
      <c r="B20" s="25">
        <v>2.1509E-2</v>
      </c>
      <c r="C20" s="24">
        <v>76</v>
      </c>
      <c r="D20" s="25">
        <v>2.3411000000000001E-2</v>
      </c>
      <c r="E20" s="138"/>
      <c r="F20" s="138"/>
      <c r="G20" s="24">
        <v>71</v>
      </c>
      <c r="H20" s="34">
        <f t="shared" si="0"/>
        <v>4.3018000000000001E-2</v>
      </c>
      <c r="I20" s="34">
        <f t="shared" si="1"/>
        <v>4.6822000000000003E-2</v>
      </c>
      <c r="J20" s="34">
        <f t="shared" si="2"/>
        <v>4.4083120000000003E-2</v>
      </c>
      <c r="K20" s="126"/>
      <c r="L20" s="24">
        <v>71</v>
      </c>
      <c r="M20" s="142">
        <f t="shared" si="3"/>
        <v>9.6790500000000002E-2</v>
      </c>
      <c r="N20" s="142">
        <f t="shared" si="4"/>
        <v>0.10534950000000001</v>
      </c>
      <c r="O20" s="142">
        <f t="shared" si="5"/>
        <v>9.9187020000000015E-2</v>
      </c>
      <c r="P20" s="126"/>
      <c r="Q20" s="24">
        <v>71</v>
      </c>
      <c r="R20" s="33">
        <f t="shared" si="6"/>
        <v>6.4527000000000001E-2</v>
      </c>
      <c r="S20" s="33">
        <f t="shared" si="7"/>
        <v>7.0233000000000004E-2</v>
      </c>
      <c r="T20" s="33">
        <f t="shared" si="8"/>
        <v>6.6124680000000005E-2</v>
      </c>
      <c r="U20" s="126"/>
      <c r="V20" s="24">
        <v>71</v>
      </c>
      <c r="W20" s="145">
        <f t="shared" si="11"/>
        <v>0.10173757000000001</v>
      </c>
      <c r="X20" s="145">
        <f t="shared" si="12"/>
        <v>0.11073403000000001</v>
      </c>
      <c r="Y20" s="145">
        <f t="shared" si="9"/>
        <v>0.10425657880000001</v>
      </c>
      <c r="Z20" s="126"/>
      <c r="AA20" s="24">
        <v>71</v>
      </c>
      <c r="AB20" s="147">
        <f t="shared" si="13"/>
        <v>4.9900879999999995E-2</v>
      </c>
      <c r="AC20" s="147">
        <f t="shared" si="14"/>
        <v>5.4313519999999997E-2</v>
      </c>
      <c r="AD20" s="147">
        <f t="shared" si="10"/>
        <v>5.1136419199999998E-2</v>
      </c>
      <c r="AE20" s="28"/>
      <c r="AF20" s="28"/>
    </row>
    <row r="21" spans="1:32" x14ac:dyDescent="0.2">
      <c r="A21" s="24">
        <v>72</v>
      </c>
      <c r="B21" s="25">
        <v>2.3699000000000001E-2</v>
      </c>
      <c r="C21" s="24">
        <v>77</v>
      </c>
      <c r="D21" s="25">
        <v>2.6863999999999999E-2</v>
      </c>
      <c r="E21" s="138"/>
      <c r="F21" s="138"/>
      <c r="G21" s="24">
        <v>72</v>
      </c>
      <c r="H21" s="34">
        <f t="shared" si="0"/>
        <v>4.7398000000000003E-2</v>
      </c>
      <c r="I21" s="34">
        <f t="shared" si="1"/>
        <v>5.3727999999999998E-2</v>
      </c>
      <c r="J21" s="34">
        <f t="shared" si="2"/>
        <v>4.9170400000000003E-2</v>
      </c>
      <c r="K21" s="126"/>
      <c r="L21" s="24">
        <v>72</v>
      </c>
      <c r="M21" s="142">
        <f t="shared" si="3"/>
        <v>0.1066455</v>
      </c>
      <c r="N21" s="142">
        <f t="shared" si="4"/>
        <v>0.120888</v>
      </c>
      <c r="O21" s="142">
        <f t="shared" si="5"/>
        <v>0.11063339999999999</v>
      </c>
      <c r="P21" s="126"/>
      <c r="Q21" s="24">
        <v>72</v>
      </c>
      <c r="R21" s="33">
        <f t="shared" si="6"/>
        <v>7.1097000000000007E-2</v>
      </c>
      <c r="S21" s="33">
        <f t="shared" si="7"/>
        <v>8.0591999999999997E-2</v>
      </c>
      <c r="T21" s="33">
        <f t="shared" si="8"/>
        <v>7.3755600000000004E-2</v>
      </c>
      <c r="U21" s="126"/>
      <c r="V21" s="24">
        <v>72</v>
      </c>
      <c r="W21" s="145">
        <f t="shared" si="11"/>
        <v>0.11209627000000001</v>
      </c>
      <c r="X21" s="145">
        <f t="shared" si="12"/>
        <v>0.12706671999999999</v>
      </c>
      <c r="Y21" s="145">
        <f t="shared" si="9"/>
        <v>0.116287996</v>
      </c>
      <c r="Z21" s="126"/>
      <c r="AA21" s="24">
        <v>72</v>
      </c>
      <c r="AB21" s="147">
        <f t="shared" si="13"/>
        <v>5.4981679999999998E-2</v>
      </c>
      <c r="AC21" s="147">
        <f t="shared" si="14"/>
        <v>6.2324479999999995E-2</v>
      </c>
      <c r="AD21" s="147">
        <f t="shared" si="10"/>
        <v>5.7037663999999995E-2</v>
      </c>
      <c r="AE21" s="28"/>
      <c r="AF21" s="28"/>
    </row>
    <row r="22" spans="1:32" x14ac:dyDescent="0.2">
      <c r="A22" s="24">
        <v>73</v>
      </c>
      <c r="B22" s="25">
        <v>2.5409999999999999E-2</v>
      </c>
      <c r="C22" s="24">
        <v>78</v>
      </c>
      <c r="D22" s="25">
        <v>3.0072999999999999E-2</v>
      </c>
      <c r="E22" s="138"/>
      <c r="F22" s="138"/>
      <c r="G22" s="24">
        <v>73</v>
      </c>
      <c r="H22" s="34">
        <f t="shared" si="0"/>
        <v>5.0819999999999997E-2</v>
      </c>
      <c r="I22" s="34">
        <f t="shared" si="1"/>
        <v>6.0145999999999998E-2</v>
      </c>
      <c r="J22" s="34">
        <f t="shared" si="2"/>
        <v>5.3431279999999998E-2</v>
      </c>
      <c r="K22" s="126"/>
      <c r="L22" s="24">
        <v>73</v>
      </c>
      <c r="M22" s="142">
        <f t="shared" si="3"/>
        <v>0.11434499999999999</v>
      </c>
      <c r="N22" s="142">
        <f t="shared" si="4"/>
        <v>0.13532849999999999</v>
      </c>
      <c r="O22" s="142">
        <f t="shared" si="5"/>
        <v>0.12022037999999999</v>
      </c>
      <c r="P22" s="126"/>
      <c r="Q22" s="24">
        <v>73</v>
      </c>
      <c r="R22" s="33">
        <f t="shared" si="6"/>
        <v>7.6229999999999992E-2</v>
      </c>
      <c r="S22" s="33">
        <f t="shared" si="7"/>
        <v>9.0218999999999994E-2</v>
      </c>
      <c r="T22" s="33">
        <f t="shared" si="8"/>
        <v>8.0146919999999996E-2</v>
      </c>
      <c r="U22" s="126"/>
      <c r="V22" s="24">
        <v>73</v>
      </c>
      <c r="W22" s="145">
        <f t="shared" si="11"/>
        <v>0.1201893</v>
      </c>
      <c r="X22" s="145">
        <f t="shared" si="12"/>
        <v>0.14224529</v>
      </c>
      <c r="Y22" s="145">
        <f t="shared" si="9"/>
        <v>0.12636497720000001</v>
      </c>
      <c r="Z22" s="126"/>
      <c r="AA22" s="24">
        <v>73</v>
      </c>
      <c r="AB22" s="147">
        <f t="shared" si="13"/>
        <v>5.8951199999999995E-2</v>
      </c>
      <c r="AC22" s="147">
        <f t="shared" si="14"/>
        <v>6.9769359999999989E-2</v>
      </c>
      <c r="AD22" s="147">
        <f t="shared" si="10"/>
        <v>6.1980284799999993E-2</v>
      </c>
      <c r="AE22" s="28"/>
      <c r="AF22" s="28"/>
    </row>
    <row r="23" spans="1:32" x14ac:dyDescent="0.2">
      <c r="A23" s="24">
        <v>74</v>
      </c>
      <c r="B23" s="25">
        <v>2.7562E-2</v>
      </c>
      <c r="C23" s="24">
        <v>79</v>
      </c>
      <c r="D23" s="25">
        <v>3.3678E-2</v>
      </c>
      <c r="E23" s="138"/>
      <c r="F23" s="138"/>
      <c r="G23" s="24">
        <v>74</v>
      </c>
      <c r="H23" s="34">
        <f t="shared" si="0"/>
        <v>5.5123999999999999E-2</v>
      </c>
      <c r="I23" s="34">
        <f t="shared" si="1"/>
        <v>6.7355999999999999E-2</v>
      </c>
      <c r="J23" s="34">
        <f t="shared" si="2"/>
        <v>5.8548959999999997E-2</v>
      </c>
      <c r="K23" s="126"/>
      <c r="L23" s="24">
        <v>74</v>
      </c>
      <c r="M23" s="142">
        <f t="shared" si="3"/>
        <v>0.124029</v>
      </c>
      <c r="N23" s="142">
        <f t="shared" si="4"/>
        <v>0.15155099999999999</v>
      </c>
      <c r="O23" s="142">
        <f t="shared" si="5"/>
        <v>0.13173516000000002</v>
      </c>
      <c r="P23" s="126"/>
      <c r="Q23" s="24">
        <v>74</v>
      </c>
      <c r="R23" s="33">
        <f t="shared" si="6"/>
        <v>8.2685999999999996E-2</v>
      </c>
      <c r="S23" s="33">
        <f t="shared" si="7"/>
        <v>0.101034</v>
      </c>
      <c r="T23" s="33">
        <f t="shared" si="8"/>
        <v>8.7823440000000003E-2</v>
      </c>
      <c r="U23" s="126"/>
      <c r="V23" s="24">
        <v>74</v>
      </c>
      <c r="W23" s="145">
        <f t="shared" si="11"/>
        <v>0.13036826000000001</v>
      </c>
      <c r="X23" s="145">
        <f t="shared" si="12"/>
        <v>0.15929694000000003</v>
      </c>
      <c r="Y23" s="145">
        <f t="shared" si="9"/>
        <v>0.13846829040000003</v>
      </c>
      <c r="Z23" s="126"/>
      <c r="AA23" s="24">
        <v>74</v>
      </c>
      <c r="AB23" s="147">
        <f t="shared" si="13"/>
        <v>6.3943840000000002E-2</v>
      </c>
      <c r="AC23" s="147">
        <f t="shared" si="14"/>
        <v>7.8132959999999987E-2</v>
      </c>
      <c r="AD23" s="147">
        <f t="shared" si="10"/>
        <v>6.7916793599999997E-2</v>
      </c>
      <c r="AE23" s="28"/>
      <c r="AF23" s="28"/>
    </row>
    <row r="24" spans="1:32" x14ac:dyDescent="0.2">
      <c r="A24" s="24">
        <v>75</v>
      </c>
      <c r="B24" s="25">
        <v>3.0558999999999999E-2</v>
      </c>
      <c r="C24" s="24">
        <v>80</v>
      </c>
      <c r="D24" s="25">
        <v>3.9002000000000002E-2</v>
      </c>
      <c r="E24" s="138"/>
      <c r="F24" s="138"/>
      <c r="G24" s="24">
        <v>75</v>
      </c>
      <c r="H24" s="34">
        <f t="shared" si="0"/>
        <v>6.1117999999999999E-2</v>
      </c>
      <c r="I24" s="34">
        <f t="shared" si="1"/>
        <v>7.8004000000000004E-2</v>
      </c>
      <c r="J24" s="34">
        <f t="shared" si="2"/>
        <v>6.5846080000000001E-2</v>
      </c>
      <c r="K24" s="126"/>
      <c r="L24" s="24">
        <v>75</v>
      </c>
      <c r="M24" s="142">
        <f t="shared" si="3"/>
        <v>0.13751549999999998</v>
      </c>
      <c r="N24" s="142">
        <f t="shared" si="4"/>
        <v>0.175509</v>
      </c>
      <c r="O24" s="142">
        <f t="shared" si="5"/>
        <v>0.14815367999999998</v>
      </c>
      <c r="P24" s="126"/>
      <c r="Q24" s="24">
        <v>75</v>
      </c>
      <c r="R24" s="33">
        <f t="shared" si="6"/>
        <v>9.1676999999999995E-2</v>
      </c>
      <c r="S24" s="33">
        <f t="shared" si="7"/>
        <v>0.117006</v>
      </c>
      <c r="T24" s="33">
        <f t="shared" si="8"/>
        <v>9.8769120000000002E-2</v>
      </c>
      <c r="U24" s="126"/>
      <c r="V24" s="24">
        <v>75</v>
      </c>
      <c r="W24" s="145">
        <f t="shared" si="11"/>
        <v>0.14454407</v>
      </c>
      <c r="X24" s="145">
        <f t="shared" si="12"/>
        <v>0.18447946000000004</v>
      </c>
      <c r="Y24" s="145">
        <f t="shared" si="9"/>
        <v>0.1557259792</v>
      </c>
      <c r="Z24" s="126"/>
      <c r="AA24" s="24">
        <v>75</v>
      </c>
      <c r="AB24" s="147">
        <f t="shared" si="13"/>
        <v>7.0896879999999995E-2</v>
      </c>
      <c r="AC24" s="147">
        <f t="shared" si="14"/>
        <v>9.0484640000000005E-2</v>
      </c>
      <c r="AD24" s="147">
        <f t="shared" si="10"/>
        <v>7.6381452799999999E-2</v>
      </c>
      <c r="AE24" s="28"/>
      <c r="AF24" s="28"/>
    </row>
    <row r="25" spans="1:32" x14ac:dyDescent="0.2">
      <c r="A25" s="24">
        <v>76</v>
      </c>
      <c r="B25" s="25">
        <v>3.4411999999999998E-2</v>
      </c>
      <c r="C25" s="24">
        <v>81</v>
      </c>
      <c r="D25" s="25">
        <v>4.4073000000000001E-2</v>
      </c>
      <c r="E25" s="138"/>
      <c r="F25" s="138"/>
      <c r="G25" s="24">
        <v>76</v>
      </c>
      <c r="H25" s="34">
        <f t="shared" si="0"/>
        <v>6.8823999999999996E-2</v>
      </c>
      <c r="I25" s="34">
        <f t="shared" si="1"/>
        <v>8.8146000000000002E-2</v>
      </c>
      <c r="J25" s="34">
        <f t="shared" si="2"/>
        <v>7.4234159999999993E-2</v>
      </c>
      <c r="K25" s="126"/>
      <c r="L25" s="24">
        <v>76</v>
      </c>
      <c r="M25" s="142">
        <f t="shared" si="3"/>
        <v>0.15485399999999999</v>
      </c>
      <c r="N25" s="142">
        <f t="shared" si="4"/>
        <v>0.19832850000000002</v>
      </c>
      <c r="O25" s="142">
        <f t="shared" si="5"/>
        <v>0.16702686</v>
      </c>
      <c r="P25" s="126"/>
      <c r="Q25" s="24">
        <v>76</v>
      </c>
      <c r="R25" s="33">
        <f t="shared" si="6"/>
        <v>0.10323599999999999</v>
      </c>
      <c r="S25" s="33">
        <f t="shared" si="7"/>
        <v>0.132219</v>
      </c>
      <c r="T25" s="33">
        <f t="shared" si="8"/>
        <v>0.11135123999999999</v>
      </c>
      <c r="U25" s="126"/>
      <c r="V25" s="24">
        <v>76</v>
      </c>
      <c r="W25" s="145">
        <f t="shared" si="11"/>
        <v>0.16276876000000001</v>
      </c>
      <c r="X25" s="145">
        <f t="shared" si="12"/>
        <v>0.20846529000000003</v>
      </c>
      <c r="Y25" s="145">
        <f t="shared" si="9"/>
        <v>0.17556378840000003</v>
      </c>
      <c r="Z25" s="126"/>
      <c r="AA25" s="24">
        <v>76</v>
      </c>
      <c r="AB25" s="147">
        <f t="shared" si="13"/>
        <v>7.9835839999999991E-2</v>
      </c>
      <c r="AC25" s="147">
        <f t="shared" si="14"/>
        <v>0.10224936</v>
      </c>
      <c r="AD25" s="147">
        <f t="shared" si="10"/>
        <v>8.6111625599999991E-2</v>
      </c>
      <c r="AE25" s="28"/>
      <c r="AF25" s="28"/>
    </row>
    <row r="26" spans="1:32" x14ac:dyDescent="0.2">
      <c r="A26" s="24">
        <v>77</v>
      </c>
      <c r="B26" s="25">
        <v>3.8379000000000003E-2</v>
      </c>
      <c r="C26" s="24">
        <v>82</v>
      </c>
      <c r="D26" s="25">
        <v>4.9797000000000001E-2</v>
      </c>
      <c r="E26" s="138"/>
      <c r="F26" s="138"/>
      <c r="G26" s="24">
        <v>77</v>
      </c>
      <c r="H26" s="34">
        <f t="shared" si="0"/>
        <v>7.6758000000000007E-2</v>
      </c>
      <c r="I26" s="34">
        <f t="shared" si="1"/>
        <v>9.9594000000000002E-2</v>
      </c>
      <c r="J26" s="34">
        <f t="shared" si="2"/>
        <v>8.3152080000000003E-2</v>
      </c>
      <c r="K26" s="126"/>
      <c r="L26" s="24">
        <v>77</v>
      </c>
      <c r="M26" s="142">
        <f t="shared" si="3"/>
        <v>0.17270550000000001</v>
      </c>
      <c r="N26" s="142">
        <f t="shared" si="4"/>
        <v>0.22408649999999999</v>
      </c>
      <c r="O26" s="142">
        <f t="shared" si="5"/>
        <v>0.18709218</v>
      </c>
      <c r="P26" s="126"/>
      <c r="Q26" s="24">
        <v>77</v>
      </c>
      <c r="R26" s="33">
        <f t="shared" si="6"/>
        <v>0.11513700000000002</v>
      </c>
      <c r="S26" s="33">
        <f t="shared" si="7"/>
        <v>0.149391</v>
      </c>
      <c r="T26" s="33">
        <f t="shared" si="8"/>
        <v>0.12472812000000001</v>
      </c>
      <c r="U26" s="126"/>
      <c r="V26" s="24">
        <v>77</v>
      </c>
      <c r="W26" s="145">
        <f t="shared" si="11"/>
        <v>0.18153267000000003</v>
      </c>
      <c r="X26" s="145">
        <f t="shared" si="12"/>
        <v>0.23553981000000002</v>
      </c>
      <c r="Y26" s="145">
        <f t="shared" si="9"/>
        <v>0.19665466920000002</v>
      </c>
      <c r="Z26" s="126"/>
      <c r="AA26" s="24">
        <v>77</v>
      </c>
      <c r="AB26" s="147">
        <f t="shared" si="13"/>
        <v>8.9039279999999998E-2</v>
      </c>
      <c r="AC26" s="147">
        <f t="shared" si="14"/>
        <v>0.11552904</v>
      </c>
      <c r="AD26" s="147">
        <f t="shared" si="10"/>
        <v>9.6456412800000002E-2</v>
      </c>
      <c r="AE26" s="28"/>
      <c r="AF26" s="28"/>
    </row>
    <row r="27" spans="1:32" x14ac:dyDescent="0.2">
      <c r="A27" s="24">
        <v>78</v>
      </c>
      <c r="B27" s="25">
        <v>4.3246E-2</v>
      </c>
      <c r="C27" s="24">
        <v>83</v>
      </c>
      <c r="D27" s="25">
        <v>5.5957E-2</v>
      </c>
      <c r="E27" s="138"/>
      <c r="F27" s="138"/>
      <c r="G27" s="24">
        <v>78</v>
      </c>
      <c r="H27" s="34">
        <f t="shared" si="0"/>
        <v>8.6491999999999999E-2</v>
      </c>
      <c r="I27" s="34">
        <f t="shared" si="1"/>
        <v>0.111914</v>
      </c>
      <c r="J27" s="34">
        <f t="shared" si="2"/>
        <v>9.3610159999999998E-2</v>
      </c>
      <c r="K27" s="126"/>
      <c r="L27" s="24">
        <v>78</v>
      </c>
      <c r="M27" s="142">
        <f t="shared" si="3"/>
        <v>0.194607</v>
      </c>
      <c r="N27" s="142">
        <f t="shared" si="4"/>
        <v>0.25180649999999999</v>
      </c>
      <c r="O27" s="142">
        <f t="shared" si="5"/>
        <v>0.21062286</v>
      </c>
      <c r="P27" s="126"/>
      <c r="Q27" s="24">
        <v>78</v>
      </c>
      <c r="R27" s="33">
        <f t="shared" si="6"/>
        <v>0.12973799999999999</v>
      </c>
      <c r="S27" s="33">
        <f t="shared" si="7"/>
        <v>0.16787099999999999</v>
      </c>
      <c r="T27" s="33">
        <f t="shared" si="8"/>
        <v>0.14041524</v>
      </c>
      <c r="U27" s="126"/>
      <c r="V27" s="24">
        <v>78</v>
      </c>
      <c r="W27" s="145">
        <f t="shared" si="11"/>
        <v>0.20455358000000001</v>
      </c>
      <c r="X27" s="145">
        <f t="shared" si="12"/>
        <v>0.26467661000000003</v>
      </c>
      <c r="Y27" s="145">
        <f t="shared" si="9"/>
        <v>0.22138802840000005</v>
      </c>
      <c r="Z27" s="126"/>
      <c r="AA27" s="24">
        <v>78</v>
      </c>
      <c r="AB27" s="147">
        <f t="shared" si="13"/>
        <v>0.10033072</v>
      </c>
      <c r="AC27" s="147">
        <f t="shared" si="14"/>
        <v>0.12982024</v>
      </c>
      <c r="AD27" s="147">
        <f t="shared" si="10"/>
        <v>0.1085877856</v>
      </c>
      <c r="AE27" s="28"/>
      <c r="AF27" s="28"/>
    </row>
    <row r="28" spans="1:32" x14ac:dyDescent="0.2">
      <c r="A28" s="24">
        <v>79</v>
      </c>
      <c r="B28" s="25">
        <v>4.7924000000000001E-2</v>
      </c>
      <c r="C28" s="24">
        <v>84</v>
      </c>
      <c r="D28" s="25">
        <v>6.3022999999999996E-2</v>
      </c>
      <c r="E28" s="138"/>
      <c r="F28" s="138"/>
      <c r="G28" s="24">
        <v>79</v>
      </c>
      <c r="H28" s="34">
        <f t="shared" si="0"/>
        <v>9.5848000000000003E-2</v>
      </c>
      <c r="I28" s="34">
        <f t="shared" si="1"/>
        <v>0.12604599999999999</v>
      </c>
      <c r="J28" s="34">
        <f t="shared" si="2"/>
        <v>0.10430344</v>
      </c>
      <c r="K28" s="126"/>
      <c r="L28" s="24">
        <v>79</v>
      </c>
      <c r="M28" s="142">
        <f t="shared" si="3"/>
        <v>0.21565800000000002</v>
      </c>
      <c r="N28" s="142">
        <f t="shared" si="4"/>
        <v>0.28360350000000001</v>
      </c>
      <c r="O28" s="142">
        <f t="shared" si="5"/>
        <v>0.23468274</v>
      </c>
      <c r="P28" s="126"/>
      <c r="Q28" s="24">
        <v>79</v>
      </c>
      <c r="R28" s="33">
        <f t="shared" si="6"/>
        <v>0.14377200000000001</v>
      </c>
      <c r="S28" s="33">
        <f t="shared" si="7"/>
        <v>0.18906899999999999</v>
      </c>
      <c r="T28" s="33">
        <f t="shared" si="8"/>
        <v>0.15645515999999998</v>
      </c>
      <c r="U28" s="126"/>
      <c r="V28" s="24">
        <v>79</v>
      </c>
      <c r="W28" s="145">
        <f t="shared" si="11"/>
        <v>0.22668052000000002</v>
      </c>
      <c r="X28" s="145">
        <f t="shared" si="12"/>
        <v>0.29809879</v>
      </c>
      <c r="Y28" s="145">
        <f t="shared" si="9"/>
        <v>0.24667763560000003</v>
      </c>
      <c r="Z28" s="126"/>
      <c r="AA28" s="24">
        <v>79</v>
      </c>
      <c r="AB28" s="147">
        <f t="shared" si="13"/>
        <v>0.11118367999999999</v>
      </c>
      <c r="AC28" s="147">
        <f t="shared" si="14"/>
        <v>0.14621335999999999</v>
      </c>
      <c r="AD28" s="147">
        <f t="shared" si="10"/>
        <v>0.12099199039999999</v>
      </c>
      <c r="AE28" s="28"/>
      <c r="AF28" s="28"/>
    </row>
    <row r="29" spans="1:32" x14ac:dyDescent="0.2">
      <c r="A29" s="24">
        <v>80</v>
      </c>
      <c r="B29" s="25">
        <v>5.4809999999999998E-2</v>
      </c>
      <c r="C29" s="24">
        <v>85</v>
      </c>
      <c r="D29" s="25">
        <v>7.1139999999999995E-2</v>
      </c>
      <c r="E29" s="138"/>
      <c r="F29" s="138"/>
      <c r="G29" s="24">
        <v>80</v>
      </c>
      <c r="H29" s="34">
        <f t="shared" si="0"/>
        <v>0.10962</v>
      </c>
      <c r="I29" s="34">
        <f t="shared" si="1"/>
        <v>0.14227999999999999</v>
      </c>
      <c r="J29" s="34">
        <f t="shared" si="2"/>
        <v>0.1187648</v>
      </c>
      <c r="K29" s="126"/>
      <c r="L29" s="24">
        <v>80</v>
      </c>
      <c r="M29" s="142">
        <f t="shared" si="3"/>
        <v>0.246645</v>
      </c>
      <c r="N29" s="142">
        <f t="shared" si="4"/>
        <v>0.32012999999999997</v>
      </c>
      <c r="O29" s="142">
        <f t="shared" si="5"/>
        <v>0.26722080000000004</v>
      </c>
      <c r="P29" s="126"/>
      <c r="Q29" s="24">
        <v>80</v>
      </c>
      <c r="R29" s="33">
        <f t="shared" si="6"/>
        <v>0.16442999999999999</v>
      </c>
      <c r="S29" s="33">
        <f t="shared" si="7"/>
        <v>0.21342</v>
      </c>
      <c r="T29" s="33">
        <f t="shared" si="8"/>
        <v>0.17814720000000001</v>
      </c>
      <c r="U29" s="126"/>
      <c r="V29" s="24">
        <v>80</v>
      </c>
      <c r="W29" s="145">
        <f t="shared" si="11"/>
        <v>0.25925130000000002</v>
      </c>
      <c r="X29" s="145">
        <f t="shared" si="12"/>
        <v>0.33649220000000002</v>
      </c>
      <c r="Y29" s="145">
        <f t="shared" si="9"/>
        <v>0.28087875200000001</v>
      </c>
      <c r="Z29" s="126"/>
      <c r="AA29" s="24">
        <v>80</v>
      </c>
      <c r="AB29" s="147">
        <f t="shared" si="13"/>
        <v>0.12715919999999997</v>
      </c>
      <c r="AC29" s="147">
        <f t="shared" si="14"/>
        <v>0.16504479999999996</v>
      </c>
      <c r="AD29" s="147">
        <f t="shared" si="10"/>
        <v>0.13776716799999997</v>
      </c>
      <c r="AE29" s="28"/>
      <c r="AF29" s="28"/>
    </row>
    <row r="30" spans="1:32" x14ac:dyDescent="0.2">
      <c r="A30" s="24">
        <v>81</v>
      </c>
      <c r="B30" s="25">
        <v>6.0928999999999997E-2</v>
      </c>
      <c r="C30" s="24">
        <v>86</v>
      </c>
      <c r="D30" s="25">
        <v>8.1536999999999998E-2</v>
      </c>
      <c r="E30" s="138"/>
      <c r="F30" s="138"/>
      <c r="G30" s="24">
        <v>81</v>
      </c>
      <c r="H30" s="34">
        <f t="shared" si="0"/>
        <v>0.12185799999999999</v>
      </c>
      <c r="I30" s="34">
        <f t="shared" si="1"/>
        <v>0.163074</v>
      </c>
      <c r="J30" s="34">
        <f t="shared" si="2"/>
        <v>0.13339847999999999</v>
      </c>
      <c r="K30" s="126"/>
      <c r="L30" s="24">
        <v>81</v>
      </c>
      <c r="M30" s="142">
        <f t="shared" si="3"/>
        <v>0.27418049999999999</v>
      </c>
      <c r="N30" s="142">
        <f t="shared" si="4"/>
        <v>0.36691649999999998</v>
      </c>
      <c r="O30" s="142">
        <f t="shared" si="5"/>
        <v>0.30014658</v>
      </c>
      <c r="P30" s="126"/>
      <c r="Q30" s="24">
        <v>81</v>
      </c>
      <c r="R30" s="33">
        <f t="shared" si="6"/>
        <v>0.18278699999999998</v>
      </c>
      <c r="S30" s="33">
        <f t="shared" si="7"/>
        <v>0.244611</v>
      </c>
      <c r="T30" s="33">
        <f t="shared" si="8"/>
        <v>0.20009771999999998</v>
      </c>
      <c r="U30" s="126"/>
      <c r="V30" s="24">
        <v>81</v>
      </c>
      <c r="W30" s="145">
        <f t="shared" si="11"/>
        <v>0.28819417000000003</v>
      </c>
      <c r="X30" s="145">
        <f t="shared" si="12"/>
        <v>0.38567001000000001</v>
      </c>
      <c r="Y30" s="145">
        <f t="shared" si="9"/>
        <v>0.31548740520000002</v>
      </c>
      <c r="Z30" s="126"/>
      <c r="AA30" s="24">
        <v>81</v>
      </c>
      <c r="AB30" s="147">
        <f t="shared" si="13"/>
        <v>0.14135527999999997</v>
      </c>
      <c r="AC30" s="147">
        <f t="shared" si="14"/>
        <v>0.18916583999999997</v>
      </c>
      <c r="AD30" s="147">
        <f t="shared" si="10"/>
        <v>0.15474223679999999</v>
      </c>
      <c r="AE30" s="28"/>
      <c r="AF30" s="28"/>
    </row>
    <row r="31" spans="1:32" x14ac:dyDescent="0.2">
      <c r="A31" s="24">
        <v>82</v>
      </c>
      <c r="B31" s="25">
        <v>6.9091E-2</v>
      </c>
      <c r="C31" s="24">
        <v>87</v>
      </c>
      <c r="D31" s="25">
        <v>9.1619999999999993E-2</v>
      </c>
      <c r="E31" s="138"/>
      <c r="F31" s="138"/>
      <c r="G31" s="24">
        <v>82</v>
      </c>
      <c r="H31" s="34">
        <f t="shared" si="0"/>
        <v>0.138182</v>
      </c>
      <c r="I31" s="34">
        <f t="shared" si="1"/>
        <v>0.18323999999999999</v>
      </c>
      <c r="J31" s="34">
        <f t="shared" si="2"/>
        <v>0.15079824</v>
      </c>
      <c r="K31" s="126"/>
      <c r="L31" s="24">
        <v>82</v>
      </c>
      <c r="M31" s="142">
        <f t="shared" si="3"/>
        <v>0.31090950000000001</v>
      </c>
      <c r="N31" s="142">
        <f t="shared" si="4"/>
        <v>0.41228999999999999</v>
      </c>
      <c r="O31" s="142">
        <f t="shared" si="5"/>
        <v>0.33929604000000002</v>
      </c>
      <c r="P31" s="126"/>
      <c r="Q31" s="24">
        <v>82</v>
      </c>
      <c r="R31" s="33">
        <f t="shared" si="6"/>
        <v>0.20727299999999999</v>
      </c>
      <c r="S31" s="33">
        <f t="shared" si="7"/>
        <v>0.27485999999999999</v>
      </c>
      <c r="T31" s="33">
        <f t="shared" si="8"/>
        <v>0.22619736000000001</v>
      </c>
      <c r="U31" s="126"/>
      <c r="V31" s="24">
        <v>82</v>
      </c>
      <c r="W31" s="145">
        <f t="shared" si="11"/>
        <v>0.32680043000000003</v>
      </c>
      <c r="X31" s="145">
        <f t="shared" si="12"/>
        <v>0.43336259999999999</v>
      </c>
      <c r="Y31" s="145">
        <f t="shared" si="9"/>
        <v>0.35663783760000001</v>
      </c>
      <c r="Z31" s="126"/>
      <c r="AA31" s="24">
        <v>82</v>
      </c>
      <c r="AB31" s="147">
        <f t="shared" si="13"/>
        <v>0.16029111999999998</v>
      </c>
      <c r="AC31" s="147">
        <f t="shared" si="14"/>
        <v>0.21255839999999998</v>
      </c>
      <c r="AD31" s="147">
        <f t="shared" si="10"/>
        <v>0.17492595839999997</v>
      </c>
      <c r="AE31" s="28"/>
      <c r="AF31" s="28"/>
    </row>
    <row r="32" spans="1:32" x14ac:dyDescent="0.2">
      <c r="A32" s="24">
        <v>83</v>
      </c>
      <c r="B32" s="25">
        <v>7.5578000000000006E-2</v>
      </c>
      <c r="C32" s="24">
        <v>88</v>
      </c>
      <c r="D32" s="25">
        <v>0.105934</v>
      </c>
      <c r="E32" s="138"/>
      <c r="F32" s="138"/>
      <c r="G32" s="24">
        <v>83</v>
      </c>
      <c r="H32" s="34">
        <f t="shared" si="0"/>
        <v>0.15115600000000001</v>
      </c>
      <c r="I32" s="34">
        <f t="shared" si="1"/>
        <v>0.211868</v>
      </c>
      <c r="J32" s="34">
        <f t="shared" si="2"/>
        <v>0.16815536000000003</v>
      </c>
      <c r="K32" s="126"/>
      <c r="L32" s="24">
        <v>83</v>
      </c>
      <c r="M32" s="142">
        <f t="shared" si="3"/>
        <v>0.34010100000000004</v>
      </c>
      <c r="N32" s="142">
        <f t="shared" si="4"/>
        <v>0.47670299999999999</v>
      </c>
      <c r="O32" s="142">
        <f t="shared" si="5"/>
        <v>0.37834956000000003</v>
      </c>
      <c r="P32" s="126"/>
      <c r="Q32" s="24">
        <v>83</v>
      </c>
      <c r="R32" s="33">
        <f t="shared" si="6"/>
        <v>0.22673400000000002</v>
      </c>
      <c r="S32" s="33">
        <f t="shared" si="7"/>
        <v>0.31780200000000003</v>
      </c>
      <c r="T32" s="33">
        <f t="shared" si="8"/>
        <v>0.25223304000000002</v>
      </c>
      <c r="U32" s="126"/>
      <c r="V32" s="24">
        <v>83</v>
      </c>
      <c r="W32" s="145">
        <f t="shared" si="11"/>
        <v>0.35748394000000006</v>
      </c>
      <c r="X32" s="145">
        <f t="shared" si="12"/>
        <v>0.50106782000000005</v>
      </c>
      <c r="Y32" s="145">
        <f t="shared" si="9"/>
        <v>0.39768742640000004</v>
      </c>
      <c r="Z32" s="126"/>
      <c r="AA32" s="24">
        <v>83</v>
      </c>
      <c r="AB32" s="147">
        <f t="shared" si="13"/>
        <v>0.17534095999999999</v>
      </c>
      <c r="AC32" s="147">
        <f t="shared" si="14"/>
        <v>0.24576687999999999</v>
      </c>
      <c r="AD32" s="147">
        <f t="shared" si="10"/>
        <v>0.19506021759999997</v>
      </c>
      <c r="AE32" s="28"/>
      <c r="AF32" s="28"/>
    </row>
    <row r="33" spans="1:32" x14ac:dyDescent="0.2">
      <c r="A33" s="24">
        <v>84</v>
      </c>
      <c r="B33" s="25">
        <v>8.4871000000000002E-2</v>
      </c>
      <c r="C33" s="24">
        <v>89</v>
      </c>
      <c r="D33" s="25">
        <v>0.11817800000000001</v>
      </c>
      <c r="E33" s="138"/>
      <c r="F33" s="138"/>
      <c r="G33" s="24">
        <v>84</v>
      </c>
      <c r="H33" s="34">
        <f t="shared" si="0"/>
        <v>0.169742</v>
      </c>
      <c r="I33" s="34">
        <f t="shared" si="1"/>
        <v>0.23635600000000001</v>
      </c>
      <c r="J33" s="34">
        <f t="shared" si="2"/>
        <v>0.18839391999999999</v>
      </c>
      <c r="K33" s="126"/>
      <c r="L33" s="24">
        <v>84</v>
      </c>
      <c r="M33" s="142">
        <f t="shared" si="3"/>
        <v>0.38191950000000002</v>
      </c>
      <c r="N33" s="142">
        <f t="shared" si="4"/>
        <v>0.53180099999999997</v>
      </c>
      <c r="O33" s="142">
        <f t="shared" si="5"/>
        <v>0.42388631999999998</v>
      </c>
      <c r="P33" s="126"/>
      <c r="Q33" s="24">
        <v>84</v>
      </c>
      <c r="R33" s="33">
        <f t="shared" si="6"/>
        <v>0.25461299999999998</v>
      </c>
      <c r="S33" s="33">
        <f t="shared" si="7"/>
        <v>0.35453400000000002</v>
      </c>
      <c r="T33" s="33">
        <f t="shared" si="8"/>
        <v>0.28259087999999999</v>
      </c>
      <c r="U33" s="126"/>
      <c r="V33" s="24">
        <v>84</v>
      </c>
      <c r="W33" s="145">
        <f t="shared" si="11"/>
        <v>0.40143983000000005</v>
      </c>
      <c r="X33" s="145">
        <f t="shared" si="12"/>
        <v>0.55898194000000012</v>
      </c>
      <c r="Y33" s="145">
        <f t="shared" si="9"/>
        <v>0.4455516208000001</v>
      </c>
      <c r="Z33" s="126"/>
      <c r="AA33" s="24">
        <v>84</v>
      </c>
      <c r="AB33" s="147">
        <f t="shared" si="13"/>
        <v>0.19690072</v>
      </c>
      <c r="AC33" s="147">
        <f t="shared" si="14"/>
        <v>0.27417295999999997</v>
      </c>
      <c r="AD33" s="147">
        <f t="shared" si="10"/>
        <v>0.2185369472</v>
      </c>
      <c r="AE33" s="28"/>
      <c r="AF33" s="28"/>
    </row>
    <row r="34" spans="1:32" x14ac:dyDescent="0.2">
      <c r="A34" s="24">
        <v>85</v>
      </c>
      <c r="B34" s="25">
        <v>9.4935000000000005E-2</v>
      </c>
      <c r="C34" s="24">
        <v>90</v>
      </c>
      <c r="D34" s="25">
        <v>0.134099</v>
      </c>
      <c r="E34" s="138"/>
      <c r="F34" s="138"/>
      <c r="G34" s="24">
        <v>85</v>
      </c>
      <c r="H34" s="34">
        <f t="shared" si="0"/>
        <v>0.18987000000000001</v>
      </c>
      <c r="I34" s="34">
        <f t="shared" si="1"/>
        <v>0.26819799999999999</v>
      </c>
      <c r="J34" s="34">
        <f t="shared" si="2"/>
        <v>0.21180184000000002</v>
      </c>
      <c r="K34" s="126"/>
      <c r="L34" s="24">
        <v>85</v>
      </c>
      <c r="M34" s="142">
        <f t="shared" si="3"/>
        <v>0.42720750000000002</v>
      </c>
      <c r="N34" s="142">
        <f t="shared" si="4"/>
        <v>0.60344549999999997</v>
      </c>
      <c r="O34" s="142">
        <f t="shared" si="5"/>
        <v>0.47655414000000001</v>
      </c>
      <c r="P34" s="126"/>
      <c r="Q34" s="24">
        <v>85</v>
      </c>
      <c r="R34" s="33">
        <f t="shared" si="6"/>
        <v>0.28480500000000003</v>
      </c>
      <c r="S34" s="33">
        <f t="shared" si="7"/>
        <v>0.40229700000000002</v>
      </c>
      <c r="T34" s="33">
        <f t="shared" si="8"/>
        <v>0.31770276000000003</v>
      </c>
      <c r="U34" s="126"/>
      <c r="V34" s="24">
        <v>85</v>
      </c>
      <c r="W34" s="145">
        <f t="shared" si="11"/>
        <v>0.44904255000000004</v>
      </c>
      <c r="X34" s="145">
        <f t="shared" si="12"/>
        <v>0.63428826999999999</v>
      </c>
      <c r="Y34" s="145">
        <f t="shared" si="9"/>
        <v>0.50091135160000011</v>
      </c>
      <c r="Z34" s="126"/>
      <c r="AA34" s="24">
        <v>85</v>
      </c>
      <c r="AB34" s="147">
        <f t="shared" si="13"/>
        <v>0.22024920000000001</v>
      </c>
      <c r="AC34" s="147">
        <f t="shared" si="14"/>
        <v>0.31110967999999994</v>
      </c>
      <c r="AD34" s="147">
        <f t="shared" si="10"/>
        <v>0.24569013439999998</v>
      </c>
      <c r="AE34" s="28"/>
      <c r="AF34" s="28"/>
    </row>
    <row r="35" spans="1:32" x14ac:dyDescent="0.2">
      <c r="A35" s="24">
        <v>86</v>
      </c>
      <c r="B35" s="25">
        <v>0.106503</v>
      </c>
      <c r="C35" s="24">
        <v>91</v>
      </c>
      <c r="D35" s="25">
        <v>0.15221799999999999</v>
      </c>
      <c r="E35" s="138"/>
      <c r="F35" s="138"/>
      <c r="G35" s="24">
        <v>86</v>
      </c>
      <c r="H35" s="34">
        <f t="shared" si="0"/>
        <v>0.213006</v>
      </c>
      <c r="I35" s="34">
        <f t="shared" si="1"/>
        <v>0.30443599999999998</v>
      </c>
      <c r="J35" s="34">
        <f t="shared" si="2"/>
        <v>0.2386064</v>
      </c>
      <c r="K35" s="126"/>
      <c r="L35" s="24">
        <v>86</v>
      </c>
      <c r="M35" s="142">
        <f t="shared" si="3"/>
        <v>0.47926350000000001</v>
      </c>
      <c r="N35" s="142">
        <f t="shared" si="4"/>
        <v>0.68498099999999995</v>
      </c>
      <c r="O35" s="142">
        <f t="shared" si="5"/>
        <v>0.53686440000000002</v>
      </c>
      <c r="P35" s="126"/>
      <c r="Q35" s="24">
        <v>86</v>
      </c>
      <c r="R35" s="33">
        <f t="shared" si="6"/>
        <v>0.31950899999999999</v>
      </c>
      <c r="S35" s="33">
        <f t="shared" si="7"/>
        <v>0.456654</v>
      </c>
      <c r="T35" s="33">
        <f t="shared" si="8"/>
        <v>0.35790959999999999</v>
      </c>
      <c r="U35" s="126"/>
      <c r="V35" s="24">
        <v>86</v>
      </c>
      <c r="W35" s="145">
        <f t="shared" si="11"/>
        <v>0.50375919000000002</v>
      </c>
      <c r="X35" s="145">
        <f t="shared" si="12"/>
        <v>0.71999113999999997</v>
      </c>
      <c r="Y35" s="145">
        <f t="shared" si="9"/>
        <v>0.56430413600000007</v>
      </c>
      <c r="Z35" s="126"/>
      <c r="AA35" s="24">
        <v>86</v>
      </c>
      <c r="AB35" s="147">
        <f t="shared" si="13"/>
        <v>0.24708695999999999</v>
      </c>
      <c r="AC35" s="147">
        <f t="shared" si="14"/>
        <v>0.35314575999999998</v>
      </c>
      <c r="AD35" s="147">
        <f t="shared" si="10"/>
        <v>0.276783424</v>
      </c>
      <c r="AE35" s="28"/>
      <c r="AF35" s="28"/>
    </row>
    <row r="36" spans="1:32" x14ac:dyDescent="0.2">
      <c r="A36" s="24">
        <v>87</v>
      </c>
      <c r="B36" s="25">
        <v>0.12002400000000001</v>
      </c>
      <c r="C36" s="24">
        <v>92</v>
      </c>
      <c r="D36" s="25">
        <v>0.17122799999999999</v>
      </c>
      <c r="E36" s="138"/>
      <c r="F36" s="138"/>
      <c r="G36" s="24">
        <v>87</v>
      </c>
      <c r="H36" s="34">
        <f t="shared" si="0"/>
        <v>0.24004800000000001</v>
      </c>
      <c r="I36" s="34">
        <f t="shared" si="1"/>
        <v>0.34245599999999998</v>
      </c>
      <c r="J36" s="34">
        <f t="shared" si="2"/>
        <v>0.26872224</v>
      </c>
      <c r="K36" s="126"/>
      <c r="L36" s="24">
        <v>87</v>
      </c>
      <c r="M36" s="142">
        <f t="shared" si="3"/>
        <v>0.54010800000000003</v>
      </c>
      <c r="N36" s="142">
        <f t="shared" si="4"/>
        <v>0.77052599999999993</v>
      </c>
      <c r="O36" s="142">
        <f t="shared" si="5"/>
        <v>0.60462504000000006</v>
      </c>
      <c r="P36" s="126"/>
      <c r="Q36" s="24">
        <v>87</v>
      </c>
      <c r="R36" s="33">
        <f t="shared" si="6"/>
        <v>0.360072</v>
      </c>
      <c r="S36" s="33">
        <f t="shared" si="7"/>
        <v>0.51368400000000003</v>
      </c>
      <c r="T36" s="33">
        <f t="shared" si="8"/>
        <v>0.40308336</v>
      </c>
      <c r="U36" s="126"/>
      <c r="V36" s="24">
        <v>87</v>
      </c>
      <c r="W36" s="145">
        <f t="shared" si="11"/>
        <v>0.56771352000000008</v>
      </c>
      <c r="X36" s="145">
        <f t="shared" si="12"/>
        <v>0.80990844000000006</v>
      </c>
      <c r="Y36" s="145">
        <f t="shared" si="9"/>
        <v>0.63552809760000017</v>
      </c>
      <c r="Z36" s="126"/>
      <c r="AA36" s="24">
        <v>87</v>
      </c>
      <c r="AB36" s="147">
        <f t="shared" si="13"/>
        <v>0.27845567999999998</v>
      </c>
      <c r="AC36" s="147">
        <f t="shared" si="14"/>
        <v>0.39724895999999993</v>
      </c>
      <c r="AD36" s="147">
        <f t="shared" si="10"/>
        <v>0.31171779839999997</v>
      </c>
      <c r="AE36" s="28"/>
      <c r="AF36" s="28"/>
    </row>
    <row r="37" spans="1:32" x14ac:dyDescent="0.2">
      <c r="A37" s="24">
        <v>88</v>
      </c>
      <c r="B37" s="25">
        <v>0.13526099999999999</v>
      </c>
      <c r="C37" s="24">
        <v>93</v>
      </c>
      <c r="D37" s="25">
        <v>0.19035099999999999</v>
      </c>
      <c r="E37" s="138"/>
      <c r="F37" s="138"/>
      <c r="G37" s="24">
        <v>88</v>
      </c>
      <c r="H37" s="34">
        <f t="shared" si="0"/>
        <v>0.27052199999999998</v>
      </c>
      <c r="I37" s="34">
        <f t="shared" si="1"/>
        <v>0.38070199999999998</v>
      </c>
      <c r="J37" s="34">
        <f t="shared" si="2"/>
        <v>0.30137239999999998</v>
      </c>
      <c r="K37" s="126"/>
      <c r="L37" s="24">
        <v>88</v>
      </c>
      <c r="M37" s="142">
        <f t="shared" si="3"/>
        <v>0.60867450000000001</v>
      </c>
      <c r="N37" s="142">
        <f t="shared" si="4"/>
        <v>0.85657949999999994</v>
      </c>
      <c r="O37" s="142">
        <f t="shared" si="5"/>
        <v>0.67808789999999997</v>
      </c>
      <c r="P37" s="126"/>
      <c r="Q37" s="24">
        <v>88</v>
      </c>
      <c r="R37" s="33">
        <f t="shared" si="6"/>
        <v>0.405783</v>
      </c>
      <c r="S37" s="33">
        <f t="shared" si="7"/>
        <v>0.57105300000000003</v>
      </c>
      <c r="T37" s="33">
        <f t="shared" si="8"/>
        <v>0.45205860000000003</v>
      </c>
      <c r="U37" s="126"/>
      <c r="V37" s="24">
        <v>88</v>
      </c>
      <c r="W37" s="145">
        <f t="shared" si="11"/>
        <v>0.63978453000000002</v>
      </c>
      <c r="X37" s="145">
        <f t="shared" si="12"/>
        <v>0.90036023000000009</v>
      </c>
      <c r="Y37" s="145">
        <f t="shared" si="9"/>
        <v>0.71274572600000008</v>
      </c>
      <c r="Z37" s="126"/>
      <c r="AA37" s="24">
        <v>88</v>
      </c>
      <c r="AB37" s="147">
        <f t="shared" si="13"/>
        <v>0.31380551999999995</v>
      </c>
      <c r="AC37" s="147">
        <f t="shared" si="14"/>
        <v>0.44161431999999995</v>
      </c>
      <c r="AD37" s="147">
        <f t="shared" si="10"/>
        <v>0.34959198399999997</v>
      </c>
      <c r="AE37" s="28"/>
      <c r="AF37" s="28"/>
    </row>
    <row r="38" spans="1:32" x14ac:dyDescent="0.2">
      <c r="A38" s="24">
        <v>89</v>
      </c>
      <c r="B38" s="25">
        <v>0.150561</v>
      </c>
      <c r="C38" s="24">
        <v>94</v>
      </c>
      <c r="D38" s="25">
        <v>0.210095</v>
      </c>
      <c r="E38" s="138"/>
      <c r="F38" s="138"/>
      <c r="G38" s="24">
        <v>89</v>
      </c>
      <c r="H38" s="34">
        <f t="shared" si="0"/>
        <v>0.301122</v>
      </c>
      <c r="I38" s="34">
        <f t="shared" si="1"/>
        <v>0.42019000000000001</v>
      </c>
      <c r="J38" s="34">
        <f t="shared" si="2"/>
        <v>0.33446103999999999</v>
      </c>
      <c r="K38" s="126"/>
      <c r="L38" s="24">
        <v>89</v>
      </c>
      <c r="M38" s="142">
        <f t="shared" si="3"/>
        <v>0.67752449999999997</v>
      </c>
      <c r="N38" s="142">
        <f t="shared" si="4"/>
        <v>0.94542749999999998</v>
      </c>
      <c r="O38" s="142">
        <f t="shared" si="5"/>
        <v>0.75253733999999994</v>
      </c>
      <c r="P38" s="126"/>
      <c r="Q38" s="24">
        <v>89</v>
      </c>
      <c r="R38" s="33">
        <f t="shared" si="6"/>
        <v>0.451683</v>
      </c>
      <c r="S38" s="33">
        <f t="shared" si="7"/>
        <v>0.63028499999999998</v>
      </c>
      <c r="T38" s="33">
        <f t="shared" si="8"/>
        <v>0.50169156000000004</v>
      </c>
      <c r="U38" s="126"/>
      <c r="V38" s="24">
        <v>89</v>
      </c>
      <c r="W38" s="145">
        <f t="shared" si="11"/>
        <v>0.71215353000000003</v>
      </c>
      <c r="X38" s="145">
        <f t="shared" si="12"/>
        <v>0.99374935000000009</v>
      </c>
      <c r="Y38" s="145">
        <f t="shared" si="9"/>
        <v>0.79100035960000004</v>
      </c>
      <c r="Z38" s="126"/>
      <c r="AA38" s="24">
        <v>89</v>
      </c>
      <c r="AB38" s="147">
        <f t="shared" si="13"/>
        <v>0.34930151999999998</v>
      </c>
      <c r="AC38" s="147">
        <f t="shared" si="14"/>
        <v>0.48742039999999998</v>
      </c>
      <c r="AD38" s="147">
        <f t="shared" si="10"/>
        <v>0.38797480639999993</v>
      </c>
      <c r="AE38" s="28"/>
      <c r="AF38" s="28"/>
    </row>
    <row r="39" spans="1:32" x14ac:dyDescent="0.2">
      <c r="A39" s="24">
        <v>90</v>
      </c>
      <c r="B39" s="25">
        <v>0.17042299999999999</v>
      </c>
      <c r="C39" s="24">
        <v>95</v>
      </c>
      <c r="D39" s="25">
        <v>0.230103</v>
      </c>
      <c r="E39" s="138"/>
      <c r="F39" s="138"/>
      <c r="G39" s="24">
        <v>90</v>
      </c>
      <c r="H39" s="34">
        <f t="shared" si="0"/>
        <v>0.34084599999999998</v>
      </c>
      <c r="I39" s="34">
        <f t="shared" si="1"/>
        <v>0.460206</v>
      </c>
      <c r="J39" s="34">
        <f t="shared" si="2"/>
        <v>0.37426680000000001</v>
      </c>
      <c r="K39" s="126"/>
      <c r="L39" s="24">
        <v>90</v>
      </c>
      <c r="M39" s="142">
        <f t="shared" si="3"/>
        <v>0.76690349999999996</v>
      </c>
      <c r="N39" s="142">
        <f t="shared" si="4"/>
        <v>1</v>
      </c>
      <c r="O39" s="142">
        <f t="shared" si="5"/>
        <v>0.83217052000000002</v>
      </c>
      <c r="P39" s="126"/>
      <c r="Q39" s="24">
        <v>90</v>
      </c>
      <c r="R39" s="33">
        <f t="shared" si="6"/>
        <v>0.51126899999999997</v>
      </c>
      <c r="S39" s="33">
        <f t="shared" si="7"/>
        <v>0.69030900000000006</v>
      </c>
      <c r="T39" s="33">
        <f t="shared" si="8"/>
        <v>0.56140020000000002</v>
      </c>
      <c r="U39" s="126"/>
      <c r="V39" s="24">
        <v>90</v>
      </c>
      <c r="W39" s="145">
        <f t="shared" si="11"/>
        <v>0.80610079000000001</v>
      </c>
      <c r="X39" s="145">
        <f t="shared" si="12"/>
        <v>1</v>
      </c>
      <c r="Y39" s="145">
        <f t="shared" si="9"/>
        <v>0.86039256880000003</v>
      </c>
      <c r="Z39" s="126"/>
      <c r="AA39" s="24">
        <v>90</v>
      </c>
      <c r="AB39" s="147">
        <f t="shared" si="13"/>
        <v>0.39538135999999996</v>
      </c>
      <c r="AC39" s="147">
        <f t="shared" si="14"/>
        <v>0.53383895999999997</v>
      </c>
      <c r="AD39" s="147">
        <f t="shared" si="10"/>
        <v>0.43414948799999997</v>
      </c>
      <c r="AE39" s="28"/>
      <c r="AF39" s="28"/>
    </row>
    <row r="40" spans="1:32" x14ac:dyDescent="0.2">
      <c r="A40" s="24">
        <v>91</v>
      </c>
      <c r="B40" s="25">
        <v>0.18754000000000001</v>
      </c>
      <c r="C40" s="24">
        <v>96</v>
      </c>
      <c r="D40" s="25">
        <v>0.251247</v>
      </c>
      <c r="E40" s="138"/>
      <c r="F40" s="138"/>
      <c r="G40" s="24">
        <v>91</v>
      </c>
      <c r="H40" s="34">
        <f t="shared" si="0"/>
        <v>0.37508000000000002</v>
      </c>
      <c r="I40" s="34">
        <f t="shared" si="1"/>
        <v>0.502494</v>
      </c>
      <c r="J40" s="34">
        <f t="shared" si="2"/>
        <v>0.41075592000000005</v>
      </c>
      <c r="K40" s="126"/>
      <c r="L40" s="24">
        <v>91</v>
      </c>
      <c r="M40" s="142">
        <f t="shared" si="3"/>
        <v>0.84393000000000007</v>
      </c>
      <c r="N40" s="142">
        <f t="shared" si="4"/>
        <v>1</v>
      </c>
      <c r="O40" s="142">
        <f t="shared" si="5"/>
        <v>0.88762960000000002</v>
      </c>
      <c r="P40" s="126"/>
      <c r="Q40" s="24">
        <v>91</v>
      </c>
      <c r="R40" s="33">
        <f t="shared" si="6"/>
        <v>0.56262000000000001</v>
      </c>
      <c r="S40" s="33">
        <f t="shared" si="7"/>
        <v>0.75374099999999999</v>
      </c>
      <c r="T40" s="33">
        <f t="shared" si="8"/>
        <v>0.61613388000000002</v>
      </c>
      <c r="U40" s="126"/>
      <c r="V40" s="24">
        <v>91</v>
      </c>
      <c r="W40" s="145">
        <f t="shared" si="11"/>
        <v>0.88706420000000019</v>
      </c>
      <c r="X40" s="145">
        <f t="shared" si="12"/>
        <v>1</v>
      </c>
      <c r="Y40" s="145">
        <f t="shared" si="9"/>
        <v>0.91868622400000011</v>
      </c>
      <c r="Z40" s="126"/>
      <c r="AA40" s="24">
        <v>91</v>
      </c>
      <c r="AB40" s="147">
        <f t="shared" si="13"/>
        <v>0.4350928</v>
      </c>
      <c r="AC40" s="147">
        <f t="shared" si="14"/>
        <v>0.58289303999999997</v>
      </c>
      <c r="AD40" s="147">
        <f t="shared" si="10"/>
        <v>0.47647686720000004</v>
      </c>
      <c r="AE40" s="28"/>
      <c r="AF40" s="28"/>
    </row>
    <row r="41" spans="1:32" x14ac:dyDescent="0.2">
      <c r="A41" s="24">
        <v>92</v>
      </c>
      <c r="B41" s="25">
        <v>0.20976600000000001</v>
      </c>
      <c r="C41" s="24">
        <v>97</v>
      </c>
      <c r="D41" s="25">
        <v>0.278312</v>
      </c>
      <c r="E41" s="138"/>
      <c r="F41" s="138"/>
      <c r="G41" s="24">
        <v>92</v>
      </c>
      <c r="H41" s="34">
        <f t="shared" si="0"/>
        <v>0.41953200000000002</v>
      </c>
      <c r="I41" s="34">
        <f t="shared" si="1"/>
        <v>0.55662400000000001</v>
      </c>
      <c r="J41" s="34">
        <f t="shared" si="2"/>
        <v>0.45791776000000006</v>
      </c>
      <c r="K41" s="126"/>
      <c r="L41" s="24">
        <v>92</v>
      </c>
      <c r="M41" s="142">
        <f t="shared" si="3"/>
        <v>0.94394700000000009</v>
      </c>
      <c r="N41" s="142">
        <f t="shared" si="4"/>
        <v>1</v>
      </c>
      <c r="O41" s="142">
        <f t="shared" si="5"/>
        <v>0.95964184000000008</v>
      </c>
      <c r="P41" s="126"/>
      <c r="Q41" s="24">
        <v>92</v>
      </c>
      <c r="R41" s="33">
        <f t="shared" si="6"/>
        <v>0.62929800000000002</v>
      </c>
      <c r="S41" s="33">
        <f t="shared" si="7"/>
        <v>0.83493600000000001</v>
      </c>
      <c r="T41" s="33">
        <f t="shared" si="8"/>
        <v>0.68687664000000004</v>
      </c>
      <c r="U41" s="126"/>
      <c r="V41" s="24">
        <v>92</v>
      </c>
      <c r="W41" s="145">
        <f t="shared" si="11"/>
        <v>0.99219318000000012</v>
      </c>
      <c r="X41" s="145">
        <f t="shared" si="12"/>
        <v>1</v>
      </c>
      <c r="Y41" s="145">
        <f t="shared" si="9"/>
        <v>0.9943790896000001</v>
      </c>
      <c r="Z41" s="126"/>
      <c r="AA41" s="24">
        <v>92</v>
      </c>
      <c r="AB41" s="147">
        <f t="shared" si="13"/>
        <v>0.48665712</v>
      </c>
      <c r="AC41" s="147">
        <f t="shared" si="14"/>
        <v>0.64568384000000001</v>
      </c>
      <c r="AD41" s="147">
        <f t="shared" si="10"/>
        <v>0.53118460160000003</v>
      </c>
      <c r="AE41" s="28"/>
      <c r="AF41" s="28"/>
    </row>
    <row r="42" spans="1:32" x14ac:dyDescent="0.2">
      <c r="A42" s="24">
        <v>93</v>
      </c>
      <c r="B42" s="25">
        <v>0.22975899999999999</v>
      </c>
      <c r="C42" s="24">
        <v>98</v>
      </c>
      <c r="D42" s="14">
        <v>0.304062</v>
      </c>
      <c r="G42" s="24">
        <v>93</v>
      </c>
      <c r="H42" s="34">
        <f t="shared" si="0"/>
        <v>0.45951799999999998</v>
      </c>
      <c r="I42" s="34">
        <f t="shared" si="1"/>
        <v>0.608124</v>
      </c>
      <c r="J42" s="34">
        <f t="shared" si="2"/>
        <v>0.50112767999999996</v>
      </c>
      <c r="K42" s="126"/>
      <c r="L42" s="24">
        <v>93</v>
      </c>
      <c r="M42" s="142">
        <f t="shared" si="3"/>
        <v>1</v>
      </c>
      <c r="N42" s="142">
        <f t="shared" si="4"/>
        <v>1</v>
      </c>
      <c r="O42" s="142">
        <f t="shared" si="5"/>
        <v>1</v>
      </c>
      <c r="P42" s="126"/>
      <c r="Q42" s="24">
        <v>93</v>
      </c>
      <c r="R42" s="33">
        <f t="shared" si="6"/>
        <v>0.68927699999999992</v>
      </c>
      <c r="S42" s="33">
        <f t="shared" si="7"/>
        <v>0.91218599999999994</v>
      </c>
      <c r="T42" s="33">
        <f t="shared" si="8"/>
        <v>0.75169151999999984</v>
      </c>
      <c r="U42" s="126"/>
      <c r="V42" s="24">
        <v>93</v>
      </c>
      <c r="W42" s="145">
        <f t="shared" si="11"/>
        <v>1</v>
      </c>
      <c r="X42" s="145">
        <f t="shared" si="12"/>
        <v>1</v>
      </c>
      <c r="Y42" s="145">
        <f t="shared" si="9"/>
        <v>1</v>
      </c>
      <c r="Z42" s="126"/>
      <c r="AA42" s="24">
        <v>93</v>
      </c>
      <c r="AB42" s="147">
        <f t="shared" si="13"/>
        <v>0.53304087999999994</v>
      </c>
      <c r="AC42" s="147">
        <f t="shared" si="14"/>
        <v>0.70542383999999991</v>
      </c>
      <c r="AD42" s="147">
        <f t="shared" si="10"/>
        <v>0.58130810879999995</v>
      </c>
      <c r="AE42" s="28"/>
      <c r="AF42" s="28"/>
    </row>
    <row r="43" spans="1:32" x14ac:dyDescent="0.2">
      <c r="A43" s="24">
        <v>94</v>
      </c>
      <c r="B43" s="25">
        <v>0.25412299999999999</v>
      </c>
      <c r="C43" s="24">
        <v>99</v>
      </c>
      <c r="D43" s="14">
        <v>0.32394400000000001</v>
      </c>
      <c r="G43" s="24">
        <v>94</v>
      </c>
      <c r="H43" s="34">
        <f t="shared" si="0"/>
        <v>0.50824599999999998</v>
      </c>
      <c r="I43" s="34">
        <f t="shared" si="1"/>
        <v>0.64788800000000002</v>
      </c>
      <c r="J43" s="34">
        <f t="shared" si="2"/>
        <v>0.54734576000000001</v>
      </c>
      <c r="K43" s="126"/>
      <c r="L43" s="24">
        <v>94</v>
      </c>
      <c r="M43" s="142">
        <f t="shared" si="3"/>
        <v>1</v>
      </c>
      <c r="N43" s="142">
        <f t="shared" si="4"/>
        <v>1</v>
      </c>
      <c r="O43" s="142">
        <f t="shared" si="5"/>
        <v>1</v>
      </c>
      <c r="P43" s="126"/>
      <c r="Q43" s="24">
        <v>94</v>
      </c>
      <c r="R43" s="33">
        <f t="shared" si="6"/>
        <v>0.76236899999999996</v>
      </c>
      <c r="S43" s="33">
        <f t="shared" si="7"/>
        <v>0.97183200000000003</v>
      </c>
      <c r="T43" s="33">
        <f t="shared" si="8"/>
        <v>0.82101863999999991</v>
      </c>
      <c r="U43" s="126"/>
      <c r="V43" s="24">
        <v>94</v>
      </c>
      <c r="W43" s="145">
        <f t="shared" si="11"/>
        <v>1</v>
      </c>
      <c r="X43" s="145">
        <f t="shared" si="12"/>
        <v>1</v>
      </c>
      <c r="Y43" s="145">
        <f t="shared" si="9"/>
        <v>1</v>
      </c>
      <c r="Z43" s="126"/>
      <c r="AA43" s="24">
        <v>94</v>
      </c>
      <c r="AB43" s="147">
        <f t="shared" si="13"/>
        <v>0.58956535999999993</v>
      </c>
      <c r="AC43" s="147">
        <f t="shared" si="14"/>
        <v>0.75155008000000001</v>
      </c>
      <c r="AD43" s="147">
        <f t="shared" si="10"/>
        <v>0.63492108159999994</v>
      </c>
      <c r="AE43" s="28"/>
      <c r="AF43" s="28"/>
    </row>
    <row r="44" spans="1:32" x14ac:dyDescent="0.2">
      <c r="A44" s="24">
        <v>95</v>
      </c>
      <c r="B44" s="25">
        <v>0.27496500000000001</v>
      </c>
      <c r="C44" s="24">
        <v>100</v>
      </c>
      <c r="D44" s="14">
        <v>0.35231099999999999</v>
      </c>
      <c r="G44" s="24">
        <v>95</v>
      </c>
      <c r="H44" s="34">
        <f t="shared" si="0"/>
        <v>0.54993000000000003</v>
      </c>
      <c r="I44" s="34">
        <f t="shared" si="1"/>
        <v>0.70462199999999997</v>
      </c>
      <c r="J44" s="34">
        <f t="shared" si="2"/>
        <v>0.59324376000000001</v>
      </c>
      <c r="K44" s="126"/>
      <c r="L44" s="24">
        <v>95</v>
      </c>
      <c r="M44" s="142">
        <f t="shared" si="3"/>
        <v>1</v>
      </c>
      <c r="N44" s="142">
        <f t="shared" si="4"/>
        <v>1</v>
      </c>
      <c r="O44" s="142">
        <f t="shared" si="5"/>
        <v>1</v>
      </c>
      <c r="P44" s="126"/>
      <c r="Q44" s="24">
        <v>95</v>
      </c>
      <c r="R44" s="33">
        <f t="shared" si="6"/>
        <v>0.82489500000000004</v>
      </c>
      <c r="S44" s="33">
        <f t="shared" si="7"/>
        <v>1</v>
      </c>
      <c r="T44" s="33">
        <f t="shared" si="8"/>
        <v>0.87392440000000005</v>
      </c>
      <c r="U44" s="126"/>
      <c r="V44" s="24">
        <v>95</v>
      </c>
      <c r="W44" s="145">
        <f t="shared" si="11"/>
        <v>1</v>
      </c>
      <c r="X44" s="145">
        <f t="shared" si="12"/>
        <v>1</v>
      </c>
      <c r="Y44" s="145">
        <f t="shared" si="9"/>
        <v>1</v>
      </c>
      <c r="Z44" s="126"/>
      <c r="AA44" s="24">
        <v>95</v>
      </c>
      <c r="AB44" s="147">
        <f t="shared" si="13"/>
        <v>0.63791880000000001</v>
      </c>
      <c r="AC44" s="147">
        <f t="shared" si="14"/>
        <v>0.81736151999999995</v>
      </c>
      <c r="AD44" s="147">
        <f t="shared" si="10"/>
        <v>0.68816276160000001</v>
      </c>
      <c r="AE44" s="28"/>
      <c r="AF44" s="28"/>
    </row>
    <row r="45" spans="1:32" x14ac:dyDescent="0.2">
      <c r="A45" s="24">
        <v>96</v>
      </c>
      <c r="B45" s="25">
        <v>0.29870200000000002</v>
      </c>
      <c r="C45" s="24">
        <v>101</v>
      </c>
      <c r="D45" s="14">
        <v>0.35231099999999999</v>
      </c>
      <c r="G45" s="24">
        <v>96</v>
      </c>
      <c r="H45" s="34">
        <f t="shared" si="0"/>
        <v>0.59740400000000005</v>
      </c>
      <c r="I45" s="34">
        <f t="shared" si="1"/>
        <v>0.70462199999999997</v>
      </c>
      <c r="J45" s="34">
        <f t="shared" si="2"/>
        <v>0.62742503999999999</v>
      </c>
      <c r="K45" s="126"/>
      <c r="L45" s="24">
        <v>96</v>
      </c>
      <c r="M45" s="142">
        <f t="shared" si="3"/>
        <v>1</v>
      </c>
      <c r="N45" s="142">
        <f t="shared" si="4"/>
        <v>1</v>
      </c>
      <c r="O45" s="142">
        <f t="shared" si="5"/>
        <v>1</v>
      </c>
      <c r="P45" s="126"/>
      <c r="Q45" s="24">
        <v>96</v>
      </c>
      <c r="R45" s="33">
        <f t="shared" si="6"/>
        <v>0.89610600000000007</v>
      </c>
      <c r="S45" s="33">
        <f t="shared" si="7"/>
        <v>1</v>
      </c>
      <c r="T45" s="33">
        <f t="shared" si="8"/>
        <v>0.92519632000000007</v>
      </c>
      <c r="U45" s="126"/>
      <c r="V45" s="24">
        <v>96</v>
      </c>
      <c r="W45" s="145">
        <f t="shared" si="11"/>
        <v>1</v>
      </c>
      <c r="X45" s="145">
        <f t="shared" si="12"/>
        <v>1</v>
      </c>
      <c r="Y45" s="145">
        <f t="shared" si="9"/>
        <v>1</v>
      </c>
      <c r="Z45" s="126"/>
      <c r="AA45" s="24">
        <v>96</v>
      </c>
      <c r="AB45" s="147">
        <f t="shared" si="13"/>
        <v>0.69298864000000004</v>
      </c>
      <c r="AC45" s="147">
        <f t="shared" si="14"/>
        <v>0.81736151999999995</v>
      </c>
      <c r="AD45" s="147">
        <f t="shared" si="10"/>
        <v>0.7278130464</v>
      </c>
      <c r="AE45" s="28"/>
      <c r="AF45" s="28"/>
    </row>
    <row r="46" spans="1:32" x14ac:dyDescent="0.2">
      <c r="A46" s="24">
        <v>97</v>
      </c>
      <c r="B46" s="25">
        <v>0.32780599999999999</v>
      </c>
      <c r="C46" s="24">
        <v>102</v>
      </c>
      <c r="D46" s="14">
        <v>0.35231099999999999</v>
      </c>
      <c r="G46" s="24">
        <v>97</v>
      </c>
      <c r="H46" s="34">
        <f t="shared" si="0"/>
        <v>0.65561199999999997</v>
      </c>
      <c r="I46" s="34">
        <f t="shared" si="1"/>
        <v>0.70462199999999997</v>
      </c>
      <c r="J46" s="34">
        <f t="shared" si="2"/>
        <v>0.66933480000000001</v>
      </c>
      <c r="K46" s="126"/>
      <c r="L46" s="24">
        <v>97</v>
      </c>
      <c r="M46" s="142">
        <f t="shared" si="3"/>
        <v>1</v>
      </c>
      <c r="N46" s="142">
        <f t="shared" si="4"/>
        <v>1</v>
      </c>
      <c r="O46" s="142">
        <f t="shared" si="5"/>
        <v>1</v>
      </c>
      <c r="P46" s="126"/>
      <c r="Q46" s="24">
        <v>97</v>
      </c>
      <c r="R46" s="33">
        <f t="shared" si="6"/>
        <v>0.9834179999999999</v>
      </c>
      <c r="S46" s="33">
        <f t="shared" si="7"/>
        <v>1</v>
      </c>
      <c r="T46" s="33">
        <f t="shared" si="8"/>
        <v>0.98806095999999988</v>
      </c>
      <c r="U46" s="126"/>
      <c r="V46" s="24">
        <v>97</v>
      </c>
      <c r="W46" s="145">
        <f t="shared" si="11"/>
        <v>1</v>
      </c>
      <c r="X46" s="145">
        <f t="shared" si="12"/>
        <v>1</v>
      </c>
      <c r="Y46" s="145">
        <f t="shared" si="9"/>
        <v>1</v>
      </c>
      <c r="Z46" s="126"/>
      <c r="AA46" s="24">
        <v>97</v>
      </c>
      <c r="AB46" s="147">
        <f t="shared" si="13"/>
        <v>0.76050991999999995</v>
      </c>
      <c r="AC46" s="147">
        <f t="shared" si="14"/>
        <v>0.81736151999999995</v>
      </c>
      <c r="AD46" s="147">
        <f t="shared" si="10"/>
        <v>0.77642836799999992</v>
      </c>
      <c r="AE46" s="28"/>
      <c r="AF46" s="28"/>
    </row>
    <row r="47" spans="1:32" x14ac:dyDescent="0.2">
      <c r="A47" s="24">
        <v>98</v>
      </c>
      <c r="B47" s="25">
        <v>0.337947</v>
      </c>
      <c r="C47" s="24">
        <v>103</v>
      </c>
      <c r="D47" s="14">
        <v>0.35231099999999999</v>
      </c>
      <c r="G47" s="24">
        <v>98</v>
      </c>
      <c r="H47" s="34">
        <f t="shared" si="0"/>
        <v>0.67589399999999999</v>
      </c>
      <c r="I47" s="34">
        <f t="shared" si="1"/>
        <v>0.70462199999999997</v>
      </c>
      <c r="J47" s="34">
        <f t="shared" si="2"/>
        <v>0.68393784000000002</v>
      </c>
      <c r="K47" s="126"/>
      <c r="L47" s="24">
        <v>98</v>
      </c>
      <c r="M47" s="142">
        <f t="shared" si="3"/>
        <v>1</v>
      </c>
      <c r="N47" s="142">
        <f t="shared" si="4"/>
        <v>1</v>
      </c>
      <c r="O47" s="142">
        <f t="shared" si="5"/>
        <v>1</v>
      </c>
      <c r="P47" s="126"/>
      <c r="Q47" s="24">
        <v>98</v>
      </c>
      <c r="R47" s="33">
        <f t="shared" si="6"/>
        <v>1</v>
      </c>
      <c r="S47" s="33">
        <f t="shared" si="7"/>
        <v>1</v>
      </c>
      <c r="T47" s="33">
        <f t="shared" si="8"/>
        <v>1</v>
      </c>
      <c r="U47" s="126"/>
      <c r="V47" s="24">
        <v>98</v>
      </c>
      <c r="W47" s="145">
        <f t="shared" si="11"/>
        <v>1</v>
      </c>
      <c r="X47" s="145">
        <f t="shared" si="12"/>
        <v>1</v>
      </c>
      <c r="Y47" s="145">
        <f t="shared" si="9"/>
        <v>1</v>
      </c>
      <c r="Z47" s="126"/>
      <c r="AA47" s="24">
        <v>98</v>
      </c>
      <c r="AB47" s="147">
        <f t="shared" si="13"/>
        <v>0.78403703999999996</v>
      </c>
      <c r="AC47" s="147">
        <f t="shared" si="14"/>
        <v>0.81736151999999995</v>
      </c>
      <c r="AD47" s="147">
        <f t="shared" si="10"/>
        <v>0.7933678944</v>
      </c>
      <c r="AE47" s="28"/>
      <c r="AF47" s="28"/>
    </row>
    <row r="48" spans="1:32" x14ac:dyDescent="0.2">
      <c r="A48" s="24">
        <v>99</v>
      </c>
      <c r="B48" s="25">
        <v>0.37825900000000001</v>
      </c>
      <c r="C48" s="24">
        <v>104</v>
      </c>
      <c r="D48" s="14">
        <v>0.35231099999999999</v>
      </c>
      <c r="G48" s="24">
        <v>99</v>
      </c>
      <c r="H48" s="34">
        <f t="shared" si="0"/>
        <v>0.75651800000000002</v>
      </c>
      <c r="I48" s="34">
        <f t="shared" si="1"/>
        <v>0.70462199999999997</v>
      </c>
      <c r="J48" s="34">
        <f t="shared" si="2"/>
        <v>0.74198712</v>
      </c>
      <c r="K48" s="126"/>
      <c r="L48" s="24">
        <v>99</v>
      </c>
      <c r="M48" s="142">
        <f t="shared" si="3"/>
        <v>1</v>
      </c>
      <c r="N48" s="142">
        <f t="shared" si="4"/>
        <v>1</v>
      </c>
      <c r="O48" s="142">
        <f t="shared" si="5"/>
        <v>1</v>
      </c>
      <c r="P48" s="126"/>
      <c r="Q48" s="24">
        <v>99</v>
      </c>
      <c r="R48" s="33">
        <f t="shared" si="6"/>
        <v>1</v>
      </c>
      <c r="S48" s="33">
        <f t="shared" si="7"/>
        <v>1</v>
      </c>
      <c r="T48" s="33">
        <f t="shared" si="8"/>
        <v>1</v>
      </c>
      <c r="U48" s="126"/>
      <c r="V48" s="24">
        <v>99</v>
      </c>
      <c r="W48" s="145">
        <f t="shared" si="11"/>
        <v>1</v>
      </c>
      <c r="X48" s="145">
        <f t="shared" si="12"/>
        <v>1</v>
      </c>
      <c r="Y48" s="145">
        <f t="shared" si="9"/>
        <v>1</v>
      </c>
      <c r="Z48" s="126"/>
      <c r="AA48" s="24">
        <v>99</v>
      </c>
      <c r="AB48" s="147">
        <f t="shared" si="13"/>
        <v>0.87756087999999999</v>
      </c>
      <c r="AC48" s="147">
        <f t="shared" si="14"/>
        <v>0.81736151999999995</v>
      </c>
      <c r="AD48" s="147">
        <f t="shared" si="10"/>
        <v>0.86070505919999996</v>
      </c>
      <c r="AE48" s="28"/>
      <c r="AF48" s="28"/>
    </row>
    <row r="49" spans="1:30" x14ac:dyDescent="0.2">
      <c r="A49" s="24">
        <v>100</v>
      </c>
      <c r="B49" s="14">
        <v>0.40347499999999997</v>
      </c>
      <c r="C49" s="24">
        <v>105</v>
      </c>
      <c r="D49" s="14">
        <v>0.35231099999999999</v>
      </c>
      <c r="G49" s="24">
        <v>100</v>
      </c>
      <c r="H49" s="34">
        <f t="shared" si="0"/>
        <v>0.80694999999999995</v>
      </c>
      <c r="I49" s="34">
        <f t="shared" si="1"/>
        <v>0.70462199999999997</v>
      </c>
      <c r="J49" s="34">
        <f t="shared" si="2"/>
        <v>0.77829815999999996</v>
      </c>
      <c r="K49" s="126"/>
      <c r="L49" s="24">
        <v>100</v>
      </c>
      <c r="M49" s="142">
        <f t="shared" si="3"/>
        <v>1</v>
      </c>
      <c r="N49" s="142">
        <f t="shared" si="4"/>
        <v>1</v>
      </c>
      <c r="O49" s="142">
        <f t="shared" si="5"/>
        <v>1</v>
      </c>
      <c r="P49" s="126"/>
      <c r="Q49" s="24">
        <v>100</v>
      </c>
      <c r="R49" s="33">
        <f t="shared" si="6"/>
        <v>1</v>
      </c>
      <c r="S49" s="33">
        <f t="shared" si="7"/>
        <v>1</v>
      </c>
      <c r="T49" s="33">
        <f t="shared" si="8"/>
        <v>1</v>
      </c>
      <c r="U49" s="126"/>
      <c r="V49" s="24">
        <v>100</v>
      </c>
      <c r="W49" s="145">
        <f t="shared" si="11"/>
        <v>1</v>
      </c>
      <c r="X49" s="145">
        <f t="shared" si="12"/>
        <v>1</v>
      </c>
      <c r="Y49" s="145">
        <f t="shared" si="9"/>
        <v>1</v>
      </c>
      <c r="Z49" s="126"/>
      <c r="AA49" s="24">
        <v>100</v>
      </c>
      <c r="AB49" s="147">
        <f t="shared" si="13"/>
        <v>0.93606199999999984</v>
      </c>
      <c r="AC49" s="147">
        <f t="shared" si="14"/>
        <v>0.81736151999999995</v>
      </c>
      <c r="AD49" s="147">
        <f t="shared" si="10"/>
        <v>0.90282586559999989</v>
      </c>
    </row>
    <row r="50" spans="1:30" x14ac:dyDescent="0.2">
      <c r="A50" s="24">
        <v>101</v>
      </c>
      <c r="B50" s="14">
        <v>0.40347499999999997</v>
      </c>
      <c r="C50" s="24">
        <v>106</v>
      </c>
      <c r="D50" s="14">
        <v>0.35231099999999999</v>
      </c>
      <c r="G50" s="24">
        <v>101</v>
      </c>
      <c r="H50" s="34">
        <f t="shared" si="0"/>
        <v>0.80694999999999995</v>
      </c>
      <c r="I50" s="34">
        <f t="shared" si="1"/>
        <v>0.70462199999999997</v>
      </c>
      <c r="J50" s="34">
        <f t="shared" si="2"/>
        <v>0.77829815999999996</v>
      </c>
      <c r="K50" s="126"/>
      <c r="L50" s="24">
        <v>101</v>
      </c>
      <c r="M50" s="142">
        <f t="shared" si="3"/>
        <v>1</v>
      </c>
      <c r="N50" s="142">
        <f t="shared" si="4"/>
        <v>1</v>
      </c>
      <c r="O50" s="142">
        <f t="shared" si="5"/>
        <v>1</v>
      </c>
      <c r="P50" s="126"/>
      <c r="Q50" s="24">
        <v>101</v>
      </c>
      <c r="R50" s="33">
        <f t="shared" si="6"/>
        <v>1</v>
      </c>
      <c r="S50" s="33">
        <f t="shared" si="7"/>
        <v>1</v>
      </c>
      <c r="T50" s="33">
        <f t="shared" si="8"/>
        <v>1</v>
      </c>
      <c r="U50" s="126"/>
      <c r="V50" s="24">
        <v>101</v>
      </c>
      <c r="W50" s="145">
        <f t="shared" si="11"/>
        <v>1</v>
      </c>
      <c r="X50" s="145">
        <f t="shared" si="12"/>
        <v>1</v>
      </c>
      <c r="Y50" s="145">
        <f t="shared" si="9"/>
        <v>1</v>
      </c>
      <c r="Z50" s="126"/>
      <c r="AA50" s="24">
        <v>101</v>
      </c>
      <c r="AB50" s="147">
        <f t="shared" si="13"/>
        <v>0.93606199999999984</v>
      </c>
      <c r="AC50" s="147">
        <f t="shared" si="14"/>
        <v>0.81736151999999995</v>
      </c>
      <c r="AD50" s="147">
        <f t="shared" si="10"/>
        <v>0.90282586559999989</v>
      </c>
    </row>
    <row r="51" spans="1:30" x14ac:dyDescent="0.2">
      <c r="A51" s="24">
        <v>102</v>
      </c>
      <c r="B51" s="14">
        <v>0.40347499999999997</v>
      </c>
      <c r="C51" s="24">
        <v>107</v>
      </c>
      <c r="D51" s="14">
        <v>0.35231099999999999</v>
      </c>
      <c r="G51" s="24">
        <v>102</v>
      </c>
      <c r="H51" s="34">
        <f t="shared" si="0"/>
        <v>0.80694999999999995</v>
      </c>
      <c r="I51" s="34">
        <f t="shared" si="1"/>
        <v>0.70462199999999997</v>
      </c>
      <c r="J51" s="34">
        <f t="shared" si="2"/>
        <v>0.77829815999999996</v>
      </c>
      <c r="K51" s="126"/>
      <c r="L51" s="24">
        <v>102</v>
      </c>
      <c r="M51" s="142">
        <f t="shared" si="3"/>
        <v>1</v>
      </c>
      <c r="N51" s="142">
        <f t="shared" si="4"/>
        <v>1</v>
      </c>
      <c r="O51" s="142">
        <f t="shared" si="5"/>
        <v>1</v>
      </c>
      <c r="P51" s="126"/>
      <c r="Q51" s="24">
        <v>102</v>
      </c>
      <c r="R51" s="33">
        <f t="shared" si="6"/>
        <v>1</v>
      </c>
      <c r="S51" s="33">
        <f t="shared" si="7"/>
        <v>1</v>
      </c>
      <c r="T51" s="33">
        <f t="shared" si="8"/>
        <v>1</v>
      </c>
      <c r="U51" s="126"/>
      <c r="V51" s="24">
        <v>102</v>
      </c>
      <c r="W51" s="145">
        <f t="shared" si="11"/>
        <v>1</v>
      </c>
      <c r="X51" s="145">
        <f t="shared" si="12"/>
        <v>1</v>
      </c>
      <c r="Y51" s="145">
        <f t="shared" si="9"/>
        <v>1</v>
      </c>
      <c r="Z51" s="126"/>
      <c r="AA51" s="24">
        <v>102</v>
      </c>
      <c r="AB51" s="147">
        <f t="shared" si="13"/>
        <v>0.93606199999999984</v>
      </c>
      <c r="AC51" s="147">
        <f t="shared" si="14"/>
        <v>0.81736151999999995</v>
      </c>
      <c r="AD51" s="147">
        <f t="shared" si="10"/>
        <v>0.90282586559999989</v>
      </c>
    </row>
    <row r="52" spans="1:30" x14ac:dyDescent="0.2">
      <c r="B52" s="20"/>
    </row>
    <row r="53" spans="1:30" x14ac:dyDescent="0.2">
      <c r="B53" s="20"/>
    </row>
    <row r="54" spans="1:30" x14ac:dyDescent="0.2">
      <c r="B54" s="20"/>
    </row>
    <row r="55" spans="1:30" x14ac:dyDescent="0.2">
      <c r="B55" s="20"/>
    </row>
  </sheetData>
  <mergeCells count="6">
    <mergeCell ref="A11:B11"/>
    <mergeCell ref="V11:W11"/>
    <mergeCell ref="Q11:R11"/>
    <mergeCell ref="AA11:AB11"/>
    <mergeCell ref="L11:M11"/>
    <mergeCell ref="G11:H11"/>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0CB3C-BA42-4625-9D6B-36E3388BAAAD}">
  <sheetPr codeName="Sheet18"/>
  <dimension ref="A2:AA51"/>
  <sheetViews>
    <sheetView zoomScale="68" zoomScaleNormal="68" workbookViewId="0">
      <selection activeCell="D13" sqref="D13"/>
    </sheetView>
  </sheetViews>
  <sheetFormatPr baseColWidth="10" defaultColWidth="8.83203125" defaultRowHeight="15" x14ac:dyDescent="0.2"/>
  <cols>
    <col min="1" max="1" width="18.83203125" customWidth="1"/>
    <col min="2" max="2" width="11.5" customWidth="1"/>
    <col min="3" max="3" width="3.5" customWidth="1"/>
    <col min="4" max="4" width="9.1640625" customWidth="1"/>
    <col min="5" max="5" width="12.5" customWidth="1"/>
    <col min="6" max="6" width="11.83203125" customWidth="1"/>
    <col min="8" max="8" width="3.5" customWidth="1"/>
    <col min="9" max="9" width="11.1640625" customWidth="1"/>
    <col min="10" max="10" width="9.83203125" customWidth="1"/>
    <col min="11" max="11" width="11.1640625" customWidth="1"/>
    <col min="12" max="12" width="12.5" customWidth="1"/>
    <col min="13" max="13" width="4.5" customWidth="1"/>
    <col min="14" max="14" width="11.5" style="1" customWidth="1"/>
    <col min="15" max="17" width="8.83203125" style="1"/>
    <col min="18" max="18" width="3.5" customWidth="1"/>
    <col min="19" max="19" width="8.5" style="1" customWidth="1"/>
    <col min="20" max="20" width="10.5" style="1" customWidth="1"/>
    <col min="21" max="21" width="10.83203125" style="1" customWidth="1"/>
    <col min="22" max="22" width="11.83203125" style="1" customWidth="1"/>
    <col min="23" max="23" width="5" style="1" customWidth="1"/>
    <col min="24" max="24" width="11.1640625" style="1" customWidth="1"/>
    <col min="25" max="25" width="10.5" style="1" customWidth="1"/>
    <col min="26" max="26" width="8.83203125" style="1"/>
    <col min="27" max="27" width="10.1640625" style="1" customWidth="1"/>
    <col min="2000" max="2000" width="2.5" customWidth="1"/>
  </cols>
  <sheetData>
    <row r="2" spans="1:27" x14ac:dyDescent="0.2"/>
    <row r="3" spans="1:27" x14ac:dyDescent="0.2">
      <c r="A3" s="2" t="s">
        <v>502</v>
      </c>
      <c r="B3" s="5">
        <v>0.84199999999999997</v>
      </c>
      <c r="C3" s="6"/>
    </row>
    <row r="4" spans="1:27" x14ac:dyDescent="0.2">
      <c r="A4" s="2" t="s">
        <v>503</v>
      </c>
      <c r="B4" s="5">
        <v>0.77900000000000003</v>
      </c>
      <c r="C4" s="6"/>
    </row>
    <row r="5" spans="1:27" x14ac:dyDescent="0.2">
      <c r="A5" s="2" t="s">
        <v>504</v>
      </c>
      <c r="B5" s="5">
        <v>0.82099999999999995</v>
      </c>
      <c r="C5" s="6"/>
    </row>
    <row r="6" spans="1:27" x14ac:dyDescent="0.2">
      <c r="A6" s="2" t="s">
        <v>505</v>
      </c>
      <c r="B6" s="5">
        <v>0.70299999999999996</v>
      </c>
      <c r="C6" s="6"/>
    </row>
    <row r="7" spans="1:27" x14ac:dyDescent="0.2">
      <c r="A7" s="2" t="s">
        <v>506</v>
      </c>
      <c r="B7" s="5">
        <v>0.70299999999999996</v>
      </c>
      <c r="C7" s="6"/>
    </row>
    <row r="8" spans="1:27" x14ac:dyDescent="0.2">
      <c r="A8" s="2" t="s">
        <v>882</v>
      </c>
      <c r="B8" s="5">
        <v>0.72</v>
      </c>
      <c r="C8" s="6"/>
      <c r="L8" s="38"/>
      <c r="M8" s="38"/>
    </row>
    <row r="9" spans="1:27" x14ac:dyDescent="0.2">
      <c r="B9" s="6"/>
      <c r="C9" s="6"/>
    </row>
    <row r="10" spans="1:27" x14ac:dyDescent="0.2">
      <c r="B10" s="6"/>
      <c r="C10" s="6"/>
    </row>
    <row r="11" spans="1:27" x14ac:dyDescent="0.2">
      <c r="D11" s="453" t="s">
        <v>900</v>
      </c>
      <c r="E11" s="453"/>
      <c r="F11" s="453"/>
      <c r="G11" s="453"/>
      <c r="H11" s="1"/>
      <c r="I11" s="449" t="s">
        <v>503</v>
      </c>
      <c r="J11" s="449"/>
      <c r="K11" s="449"/>
      <c r="L11" s="449"/>
      <c r="M11" s="1"/>
      <c r="N11" s="450" t="s">
        <v>901</v>
      </c>
      <c r="O11" s="450"/>
      <c r="P11" s="450"/>
      <c r="Q11" s="450"/>
      <c r="R11" s="1"/>
      <c r="S11" s="451" t="s">
        <v>902</v>
      </c>
      <c r="T11" s="451"/>
      <c r="U11" s="451"/>
      <c r="V11" s="451"/>
      <c r="X11" s="452" t="s">
        <v>903</v>
      </c>
      <c r="Y11" s="452"/>
      <c r="Z11" s="452"/>
      <c r="AA11" s="452"/>
    </row>
    <row r="12" spans="1:27" x14ac:dyDescent="0.2">
      <c r="A12" s="22" t="s">
        <v>889</v>
      </c>
      <c r="B12" s="22" t="s">
        <v>891</v>
      </c>
      <c r="C12" s="22"/>
      <c r="D12" s="158" t="s">
        <v>857</v>
      </c>
      <c r="E12" s="159" t="s">
        <v>904</v>
      </c>
      <c r="F12" s="159" t="s">
        <v>905</v>
      </c>
      <c r="G12" s="160" t="s">
        <v>906</v>
      </c>
      <c r="H12" s="1"/>
      <c r="I12" t="s">
        <v>857</v>
      </c>
      <c r="J12" s="1" t="s">
        <v>904</v>
      </c>
      <c r="K12" s="1" t="s">
        <v>905</v>
      </c>
      <c r="L12" s="1" t="s">
        <v>907</v>
      </c>
      <c r="M12" s="1"/>
      <c r="N12" s="1" t="s">
        <v>857</v>
      </c>
      <c r="O12" s="1" t="s">
        <v>904</v>
      </c>
      <c r="P12" s="1" t="s">
        <v>905</v>
      </c>
      <c r="Q12" s="1" t="s">
        <v>907</v>
      </c>
      <c r="R12" s="1"/>
      <c r="S12" s="1" t="s">
        <v>857</v>
      </c>
      <c r="T12" s="1" t="s">
        <v>904</v>
      </c>
      <c r="U12" s="1" t="s">
        <v>905</v>
      </c>
      <c r="V12" s="1" t="s">
        <v>907</v>
      </c>
      <c r="X12" s="1" t="s">
        <v>857</v>
      </c>
      <c r="Y12" s="1" t="s">
        <v>904</v>
      </c>
      <c r="Z12" s="1" t="s">
        <v>905</v>
      </c>
      <c r="AA12" s="1" t="s">
        <v>907</v>
      </c>
    </row>
    <row r="13" spans="1:27" x14ac:dyDescent="0.2">
      <c r="A13" s="24">
        <v>64</v>
      </c>
      <c r="B13" s="24">
        <v>69</v>
      </c>
      <c r="C13" s="1"/>
      <c r="D13" s="24">
        <v>64</v>
      </c>
      <c r="E13" s="161">
        <f t="shared" ref="E13:E51" si="0">u_noevent*(0.9508566 + (0.0212126*1) - (0.0002587*A13)- (0.0000332*(A13^2)))</f>
        <v>0.69004021840000007</v>
      </c>
      <c r="F13" s="161">
        <f t="shared" ref="F13:F51" si="1">u_noevent*(0.9508566 + (0.0212126*0) - (0.0002587*B13)- (0.0000332*(B13^2)))</f>
        <v>0.65250040620000005</v>
      </c>
      <c r="G13" s="162">
        <f t="shared" ref="G13:G51" si="2">(E13*male_proportion_STEMI)+(F13*(1-male_proportion_STEMI))</f>
        <v>0.67952907098400006</v>
      </c>
      <c r="H13" s="82"/>
      <c r="I13" s="24">
        <v>64</v>
      </c>
      <c r="J13" s="35">
        <f>u_rinfar*(0.9508566 + (0.0212126*1) - (0.0002587*A13)- (0.0000332*(A13^2)))</f>
        <v>0.63841013080000009</v>
      </c>
      <c r="K13" s="35">
        <f>u_rinfar*(0.9508566 + (0.0212126*0) - (0.0002587*B13)- (0.0000332*(B13^2)))</f>
        <v>0.60367911690000009</v>
      </c>
      <c r="L13" s="35">
        <f t="shared" ref="L13:L51" si="3">(J13*male_proportion_STEMI)+(K13*(1-male_proportion_STEMI))</f>
        <v>0.6286854469080001</v>
      </c>
      <c r="M13" s="82"/>
      <c r="N13" s="24">
        <v>64</v>
      </c>
      <c r="O13" s="8">
        <f t="shared" ref="O13:O51" si="4">u_post_rinfar*(0.9508566 + (0.0212126*1) - (0.0002587*A13)- (0.0000332*(A13^2)))</f>
        <v>0.67283018920000004</v>
      </c>
      <c r="P13" s="8">
        <f t="shared" ref="P13:P51" si="5">u_post_rinfar*(0.9508566 + (0.0212126*0) - (0.0002587*B13)- (0.0000332*(B13^2)))</f>
        <v>0.63622664309999999</v>
      </c>
      <c r="Q13" s="8">
        <f t="shared" ref="Q13:Q51" si="6">(O13*male_proportion_STEMI)+(P13*(1-male_proportion_STEMI))</f>
        <v>0.66258119629200007</v>
      </c>
      <c r="R13" s="82"/>
      <c r="S13" s="24">
        <v>64</v>
      </c>
      <c r="T13" s="36">
        <f t="shared" ref="T13:T51" si="7">u_stk*(0.9508566 + (0.0212126*1) - (0.0002587*A13)- (0.0000332*(A13^2)))</f>
        <v>0.57612621559999999</v>
      </c>
      <c r="U13" s="36">
        <f t="shared" ref="U13:U51" si="8">u_stk*(0.9508566 + (0.0212126*0) - (0.0002587*B13)- (0.0000332*(B13^2)))</f>
        <v>0.54478359330000004</v>
      </c>
      <c r="V13" s="36">
        <f t="shared" ref="V13:V51" si="9">(T13*male_proportion_STEMI)+(U13*(1-male_proportion_STEMI))</f>
        <v>0.56735028135600007</v>
      </c>
      <c r="W13" s="82"/>
      <c r="X13" s="24">
        <v>64</v>
      </c>
      <c r="Y13" s="37">
        <f t="shared" ref="Y13:Y51" si="10">u_post_stk*(0.9508566 + (0.0212126*1) - (0.0002587*A13)- (0.0000332*(A13^2)))</f>
        <v>0.57612621559999999</v>
      </c>
      <c r="Z13" s="37">
        <f t="shared" ref="Z13:Z51" si="11">u_post_stk*(0.9508566 + (0.0212126*0) - (0.0002587*B13)- (0.0000332*(B13^2)))</f>
        <v>0.54478359330000004</v>
      </c>
      <c r="AA13" s="37">
        <f t="shared" ref="AA13:AA51" si="12">(Y13*male_proportion_STEMI)+(Z13*(1-male_proportion_STEMI))</f>
        <v>0.56735028135600007</v>
      </c>
    </row>
    <row r="14" spans="1:27" x14ac:dyDescent="0.2">
      <c r="A14" s="24">
        <v>65</v>
      </c>
      <c r="B14" s="24">
        <v>70</v>
      </c>
      <c r="C14" s="1"/>
      <c r="D14" s="24">
        <v>65</v>
      </c>
      <c r="E14" s="161">
        <f t="shared" si="0"/>
        <v>0.68621627540000008</v>
      </c>
      <c r="F14" s="161">
        <f t="shared" si="1"/>
        <v>0.64839691919999998</v>
      </c>
      <c r="G14" s="162">
        <f t="shared" si="2"/>
        <v>0.67562685566400005</v>
      </c>
      <c r="H14" s="82"/>
      <c r="I14" s="24">
        <v>65</v>
      </c>
      <c r="J14" s="35">
        <f t="shared" ref="J14:J51" si="13">u_rinfar*(0.9508566 + (0.0212126*1) - (0.0002587*A14)- (0.0000332*(A14^2)))</f>
        <v>0.63487230230000014</v>
      </c>
      <c r="K14" s="35">
        <f t="shared" ref="K14:K51" si="14">u_rinfar*(0.9508566 + (0.0212126*0) - (0.0002587*B14)- (0.0000332*(B14^2)))</f>
        <v>0.59988266040000005</v>
      </c>
      <c r="L14" s="35">
        <f t="shared" si="3"/>
        <v>0.62507520256800009</v>
      </c>
      <c r="M14" s="82"/>
      <c r="N14" s="24">
        <v>65</v>
      </c>
      <c r="O14" s="8">
        <f t="shared" si="4"/>
        <v>0.66910161769999998</v>
      </c>
      <c r="P14" s="8">
        <f t="shared" si="5"/>
        <v>0.63222549959999996</v>
      </c>
      <c r="Q14" s="8">
        <f t="shared" si="6"/>
        <v>0.65877630463199999</v>
      </c>
      <c r="R14" s="82"/>
      <c r="S14" s="24">
        <v>65</v>
      </c>
      <c r="T14" s="36">
        <f t="shared" si="7"/>
        <v>0.57293354110000005</v>
      </c>
      <c r="U14" s="36">
        <f t="shared" si="8"/>
        <v>0.54135752279999994</v>
      </c>
      <c r="V14" s="36">
        <f t="shared" si="9"/>
        <v>0.56409225597599999</v>
      </c>
      <c r="W14" s="82"/>
      <c r="X14" s="24">
        <v>65</v>
      </c>
      <c r="Y14" s="37">
        <f t="shared" si="10"/>
        <v>0.57293354110000005</v>
      </c>
      <c r="Z14" s="37">
        <f t="shared" si="11"/>
        <v>0.54135752279999994</v>
      </c>
      <c r="AA14" s="37">
        <f t="shared" si="12"/>
        <v>0.56409225597599999</v>
      </c>
    </row>
    <row r="15" spans="1:27" x14ac:dyDescent="0.2">
      <c r="A15" s="24">
        <v>66</v>
      </c>
      <c r="B15" s="24">
        <v>71</v>
      </c>
      <c r="C15" s="1"/>
      <c r="D15" s="24">
        <v>66</v>
      </c>
      <c r="E15" s="161">
        <f t="shared" si="0"/>
        <v>0.68233642360000002</v>
      </c>
      <c r="F15" s="161">
        <f t="shared" si="1"/>
        <v>0.64423752340000007</v>
      </c>
      <c r="G15" s="162">
        <f t="shared" si="2"/>
        <v>0.67166873154399998</v>
      </c>
      <c r="H15" s="82"/>
      <c r="I15" s="24">
        <v>66</v>
      </c>
      <c r="J15" s="35">
        <f t="shared" si="13"/>
        <v>0.63128274820000008</v>
      </c>
      <c r="K15" s="35">
        <f t="shared" si="14"/>
        <v>0.59603447830000011</v>
      </c>
      <c r="L15" s="35">
        <f t="shared" si="3"/>
        <v>0.62141323262800008</v>
      </c>
      <c r="M15" s="82"/>
      <c r="N15" s="24">
        <v>66</v>
      </c>
      <c r="O15" s="8">
        <f t="shared" si="4"/>
        <v>0.6653185318</v>
      </c>
      <c r="P15" s="8">
        <f t="shared" si="5"/>
        <v>0.62816984170000001</v>
      </c>
      <c r="Q15" s="8">
        <f t="shared" si="6"/>
        <v>0.65491689857199997</v>
      </c>
      <c r="R15" s="82"/>
      <c r="S15" s="24">
        <v>66</v>
      </c>
      <c r="T15" s="36">
        <f t="shared" si="7"/>
        <v>0.5696941874</v>
      </c>
      <c r="U15" s="36">
        <f t="shared" si="8"/>
        <v>0.53788477310000005</v>
      </c>
      <c r="V15" s="36">
        <f t="shared" si="9"/>
        <v>0.56078755139600001</v>
      </c>
      <c r="W15" s="82"/>
      <c r="X15" s="24">
        <v>66</v>
      </c>
      <c r="Y15" s="37">
        <f t="shared" si="10"/>
        <v>0.5696941874</v>
      </c>
      <c r="Z15" s="37">
        <f t="shared" si="11"/>
        <v>0.53788477310000005</v>
      </c>
      <c r="AA15" s="37">
        <f t="shared" si="12"/>
        <v>0.56078755139600001</v>
      </c>
    </row>
    <row r="16" spans="1:27" x14ac:dyDescent="0.2">
      <c r="A16" s="24">
        <v>67</v>
      </c>
      <c r="B16" s="24">
        <v>72</v>
      </c>
      <c r="C16" s="1"/>
      <c r="D16" s="24">
        <v>67</v>
      </c>
      <c r="E16" s="161">
        <f t="shared" si="0"/>
        <v>0.67840066300000001</v>
      </c>
      <c r="F16" s="161">
        <f t="shared" si="1"/>
        <v>0.64002221879999999</v>
      </c>
      <c r="G16" s="162">
        <f t="shared" si="2"/>
        <v>0.66765469862399995</v>
      </c>
      <c r="H16" s="82"/>
      <c r="I16" s="24">
        <v>67</v>
      </c>
      <c r="J16" s="35">
        <f t="shared" si="13"/>
        <v>0.62764146850000002</v>
      </c>
      <c r="K16" s="35">
        <f t="shared" si="14"/>
        <v>0.59213457060000008</v>
      </c>
      <c r="L16" s="35">
        <f t="shared" si="3"/>
        <v>0.61769953708800007</v>
      </c>
      <c r="M16" s="82"/>
      <c r="N16" s="24">
        <v>67</v>
      </c>
      <c r="O16" s="8">
        <f t="shared" si="4"/>
        <v>0.66148093149999998</v>
      </c>
      <c r="P16" s="8">
        <f t="shared" si="5"/>
        <v>0.62405966940000002</v>
      </c>
      <c r="Q16" s="8">
        <f t="shared" si="6"/>
        <v>0.65100297811200003</v>
      </c>
      <c r="R16" s="82"/>
      <c r="S16" s="24">
        <v>67</v>
      </c>
      <c r="T16" s="36">
        <f t="shared" si="7"/>
        <v>0.56640815450000004</v>
      </c>
      <c r="U16" s="36">
        <f t="shared" si="8"/>
        <v>0.53436534420000004</v>
      </c>
      <c r="V16" s="36">
        <f t="shared" si="9"/>
        <v>0.55743616761600001</v>
      </c>
      <c r="W16" s="82"/>
      <c r="X16" s="24">
        <v>67</v>
      </c>
      <c r="Y16" s="37">
        <f t="shared" si="10"/>
        <v>0.56640815450000004</v>
      </c>
      <c r="Z16" s="37">
        <f t="shared" si="11"/>
        <v>0.53436534420000004</v>
      </c>
      <c r="AA16" s="37">
        <f t="shared" si="12"/>
        <v>0.55743616761600001</v>
      </c>
    </row>
    <row r="17" spans="1:27" x14ac:dyDescent="0.2">
      <c r="A17" s="24">
        <v>68</v>
      </c>
      <c r="B17" s="24">
        <v>73</v>
      </c>
      <c r="C17" s="1"/>
      <c r="D17" s="24">
        <v>68</v>
      </c>
      <c r="E17" s="161">
        <f t="shared" si="0"/>
        <v>0.67440899359999995</v>
      </c>
      <c r="F17" s="161">
        <f t="shared" si="1"/>
        <v>0.63575100540000007</v>
      </c>
      <c r="G17" s="162">
        <f t="shared" si="2"/>
        <v>0.66358475690399998</v>
      </c>
      <c r="H17" s="82"/>
      <c r="I17" s="24">
        <v>68</v>
      </c>
      <c r="J17" s="35">
        <f t="shared" si="13"/>
        <v>0.62394846320000008</v>
      </c>
      <c r="K17" s="35">
        <f t="shared" si="14"/>
        <v>0.58818293730000015</v>
      </c>
      <c r="L17" s="35">
        <f t="shared" si="3"/>
        <v>0.61393411594800007</v>
      </c>
      <c r="M17" s="82"/>
      <c r="N17" s="24">
        <v>68</v>
      </c>
      <c r="O17" s="8">
        <f t="shared" si="4"/>
        <v>0.65758881680000003</v>
      </c>
      <c r="P17" s="8">
        <f t="shared" si="5"/>
        <v>0.6198949827000001</v>
      </c>
      <c r="Q17" s="8">
        <f t="shared" si="6"/>
        <v>0.64703454325200005</v>
      </c>
      <c r="R17" s="82"/>
      <c r="S17" s="24">
        <v>68</v>
      </c>
      <c r="T17" s="36">
        <f t="shared" si="7"/>
        <v>0.56307544239999996</v>
      </c>
      <c r="U17" s="36">
        <f t="shared" si="8"/>
        <v>0.53079923610000002</v>
      </c>
      <c r="V17" s="36">
        <f t="shared" si="9"/>
        <v>0.55403810463600001</v>
      </c>
      <c r="W17" s="82"/>
      <c r="X17" s="24">
        <v>68</v>
      </c>
      <c r="Y17" s="37">
        <f t="shared" si="10"/>
        <v>0.56307544239999996</v>
      </c>
      <c r="Z17" s="37">
        <f t="shared" si="11"/>
        <v>0.53079923610000002</v>
      </c>
      <c r="AA17" s="37">
        <f t="shared" si="12"/>
        <v>0.55403810463600001</v>
      </c>
    </row>
    <row r="18" spans="1:27" x14ac:dyDescent="0.2">
      <c r="A18" s="24">
        <v>69</v>
      </c>
      <c r="B18" s="24">
        <v>74</v>
      </c>
      <c r="C18" s="1"/>
      <c r="D18" s="24">
        <v>69</v>
      </c>
      <c r="E18" s="161">
        <f t="shared" si="0"/>
        <v>0.67036141540000005</v>
      </c>
      <c r="F18" s="161">
        <f t="shared" si="1"/>
        <v>0.63142388319999998</v>
      </c>
      <c r="G18" s="162">
        <f t="shared" si="2"/>
        <v>0.65945890638399995</v>
      </c>
      <c r="H18" s="82"/>
      <c r="I18" s="24">
        <v>69</v>
      </c>
      <c r="J18" s="35">
        <f t="shared" si="13"/>
        <v>0.62020373230000003</v>
      </c>
      <c r="K18" s="35">
        <f t="shared" si="14"/>
        <v>0.58417957840000012</v>
      </c>
      <c r="L18" s="35">
        <f t="shared" si="3"/>
        <v>0.61011696920800007</v>
      </c>
      <c r="M18" s="82"/>
      <c r="N18" s="24">
        <v>69</v>
      </c>
      <c r="O18" s="8">
        <f t="shared" si="4"/>
        <v>0.65364218770000004</v>
      </c>
      <c r="P18" s="8">
        <f t="shared" si="5"/>
        <v>0.61567578160000003</v>
      </c>
      <c r="Q18" s="8">
        <f t="shared" si="6"/>
        <v>0.64301159399200003</v>
      </c>
      <c r="R18" s="82"/>
      <c r="S18" s="24">
        <v>69</v>
      </c>
      <c r="T18" s="36">
        <f t="shared" si="7"/>
        <v>0.55969605109999998</v>
      </c>
      <c r="U18" s="36">
        <f t="shared" si="8"/>
        <v>0.52718644879999998</v>
      </c>
      <c r="V18" s="36">
        <f t="shared" si="9"/>
        <v>0.55059336245599999</v>
      </c>
      <c r="W18" s="82"/>
      <c r="X18" s="24">
        <v>69</v>
      </c>
      <c r="Y18" s="37">
        <f t="shared" si="10"/>
        <v>0.55969605109999998</v>
      </c>
      <c r="Z18" s="37">
        <f t="shared" si="11"/>
        <v>0.52718644879999998</v>
      </c>
      <c r="AA18" s="37">
        <f t="shared" si="12"/>
        <v>0.55059336245599999</v>
      </c>
    </row>
    <row r="19" spans="1:27" x14ac:dyDescent="0.2">
      <c r="A19" s="24">
        <v>70</v>
      </c>
      <c r="B19" s="24">
        <v>75</v>
      </c>
      <c r="C19" s="1"/>
      <c r="D19" s="24">
        <v>70</v>
      </c>
      <c r="E19" s="161">
        <f t="shared" si="0"/>
        <v>0.66625792840000009</v>
      </c>
      <c r="F19" s="161">
        <f t="shared" si="1"/>
        <v>0.62704085220000005</v>
      </c>
      <c r="G19" s="162">
        <f t="shared" si="2"/>
        <v>0.65527714706400009</v>
      </c>
      <c r="H19" s="82"/>
      <c r="I19" s="24">
        <v>70</v>
      </c>
      <c r="J19" s="35">
        <f t="shared" si="13"/>
        <v>0.6164072758000001</v>
      </c>
      <c r="K19" s="35">
        <f t="shared" si="14"/>
        <v>0.58012449390000009</v>
      </c>
      <c r="L19" s="35">
        <f t="shared" si="3"/>
        <v>0.60624809686800019</v>
      </c>
      <c r="M19" s="82"/>
      <c r="N19" s="24">
        <v>70</v>
      </c>
      <c r="O19" s="8">
        <f t="shared" si="4"/>
        <v>0.64964104420000002</v>
      </c>
      <c r="P19" s="8">
        <f t="shared" si="5"/>
        <v>0.61140206610000003</v>
      </c>
      <c r="Q19" s="8">
        <f t="shared" si="6"/>
        <v>0.63893413033199997</v>
      </c>
      <c r="R19" s="82"/>
      <c r="S19" s="24">
        <v>70</v>
      </c>
      <c r="T19" s="36">
        <f t="shared" si="7"/>
        <v>0.55626998059999999</v>
      </c>
      <c r="U19" s="36">
        <f t="shared" si="8"/>
        <v>0.52352698230000005</v>
      </c>
      <c r="V19" s="36">
        <f t="shared" si="9"/>
        <v>0.54710194107599996</v>
      </c>
      <c r="W19" s="82"/>
      <c r="X19" s="24">
        <v>70</v>
      </c>
      <c r="Y19" s="37">
        <f t="shared" si="10"/>
        <v>0.55626998059999999</v>
      </c>
      <c r="Z19" s="37">
        <f t="shared" si="11"/>
        <v>0.52352698230000005</v>
      </c>
      <c r="AA19" s="37">
        <f t="shared" si="12"/>
        <v>0.54710194107599996</v>
      </c>
    </row>
    <row r="20" spans="1:27" x14ac:dyDescent="0.2">
      <c r="A20" s="24">
        <v>71</v>
      </c>
      <c r="B20" s="24">
        <v>76</v>
      </c>
      <c r="C20" s="1"/>
      <c r="D20" s="24">
        <v>71</v>
      </c>
      <c r="E20" s="161">
        <f t="shared" si="0"/>
        <v>0.66209853260000007</v>
      </c>
      <c r="F20" s="161">
        <f t="shared" si="1"/>
        <v>0.62260191239999996</v>
      </c>
      <c r="G20" s="162">
        <f t="shared" si="2"/>
        <v>0.65103947894400005</v>
      </c>
      <c r="H20" s="82"/>
      <c r="I20" s="24">
        <v>71</v>
      </c>
      <c r="J20" s="35">
        <f t="shared" si="13"/>
        <v>0.61255909370000006</v>
      </c>
      <c r="K20" s="35">
        <f t="shared" si="14"/>
        <v>0.57601768379999996</v>
      </c>
      <c r="L20" s="35">
        <f t="shared" si="3"/>
        <v>0.60232749892800008</v>
      </c>
      <c r="M20" s="82"/>
      <c r="N20" s="24">
        <v>71</v>
      </c>
      <c r="O20" s="8">
        <f t="shared" si="4"/>
        <v>0.64558538630000006</v>
      </c>
      <c r="P20" s="8">
        <f t="shared" si="5"/>
        <v>0.60707383619999999</v>
      </c>
      <c r="Q20" s="8">
        <f t="shared" si="6"/>
        <v>0.6348021522720001</v>
      </c>
      <c r="R20" s="82"/>
      <c r="S20" s="24">
        <v>71</v>
      </c>
      <c r="T20" s="36">
        <f t="shared" si="7"/>
        <v>0.55279723089999999</v>
      </c>
      <c r="U20" s="36">
        <f t="shared" si="8"/>
        <v>0.5198208366</v>
      </c>
      <c r="V20" s="36">
        <f t="shared" si="9"/>
        <v>0.54356384049600004</v>
      </c>
      <c r="W20" s="82"/>
      <c r="X20" s="24">
        <v>71</v>
      </c>
      <c r="Y20" s="37">
        <f t="shared" si="10"/>
        <v>0.55279723089999999</v>
      </c>
      <c r="Z20" s="37">
        <f t="shared" si="11"/>
        <v>0.5198208366</v>
      </c>
      <c r="AA20" s="37">
        <f t="shared" si="12"/>
        <v>0.54356384049600004</v>
      </c>
    </row>
    <row r="21" spans="1:27" x14ac:dyDescent="0.2">
      <c r="A21" s="24">
        <v>72</v>
      </c>
      <c r="B21" s="24">
        <v>77</v>
      </c>
      <c r="C21" s="1"/>
      <c r="D21" s="24">
        <v>72</v>
      </c>
      <c r="E21" s="161">
        <f t="shared" si="0"/>
        <v>0.65788322799999999</v>
      </c>
      <c r="F21" s="161">
        <f t="shared" si="1"/>
        <v>0.61810706380000002</v>
      </c>
      <c r="G21" s="162">
        <f t="shared" si="2"/>
        <v>0.64674590202400006</v>
      </c>
      <c r="H21" s="82"/>
      <c r="I21" s="24">
        <v>72</v>
      </c>
      <c r="J21" s="35">
        <f t="shared" si="13"/>
        <v>0.60865918600000002</v>
      </c>
      <c r="K21" s="35">
        <f t="shared" si="14"/>
        <v>0.57185914810000005</v>
      </c>
      <c r="L21" s="35">
        <f t="shared" si="3"/>
        <v>0.59835517538800009</v>
      </c>
      <c r="M21" s="82"/>
      <c r="N21" s="24">
        <v>72</v>
      </c>
      <c r="O21" s="8">
        <f t="shared" si="4"/>
        <v>0.64147521399999996</v>
      </c>
      <c r="P21" s="8">
        <f t="shared" si="5"/>
        <v>0.60269109190000003</v>
      </c>
      <c r="Q21" s="8">
        <f t="shared" si="6"/>
        <v>0.63061565981199996</v>
      </c>
      <c r="R21" s="82"/>
      <c r="S21" s="24">
        <v>72</v>
      </c>
      <c r="T21" s="36">
        <f t="shared" si="7"/>
        <v>0.54927780199999998</v>
      </c>
      <c r="U21" s="36">
        <f t="shared" si="8"/>
        <v>0.51606801170000005</v>
      </c>
      <c r="V21" s="36">
        <f t="shared" si="9"/>
        <v>0.53997906071599999</v>
      </c>
      <c r="W21" s="82"/>
      <c r="X21" s="24">
        <v>72</v>
      </c>
      <c r="Y21" s="37">
        <f t="shared" si="10"/>
        <v>0.54927780199999998</v>
      </c>
      <c r="Z21" s="37">
        <f t="shared" si="11"/>
        <v>0.51606801170000005</v>
      </c>
      <c r="AA21" s="37">
        <f t="shared" si="12"/>
        <v>0.53997906071599999</v>
      </c>
    </row>
    <row r="22" spans="1:27" x14ac:dyDescent="0.2">
      <c r="A22" s="24">
        <v>73</v>
      </c>
      <c r="B22" s="24">
        <v>78</v>
      </c>
      <c r="C22" s="1"/>
      <c r="D22" s="24">
        <v>73</v>
      </c>
      <c r="E22" s="161">
        <f t="shared" si="0"/>
        <v>0.65361201460000007</v>
      </c>
      <c r="F22" s="161">
        <f t="shared" si="1"/>
        <v>0.61355630640000003</v>
      </c>
      <c r="G22" s="162">
        <f t="shared" si="2"/>
        <v>0.64239641630400002</v>
      </c>
      <c r="H22" s="82"/>
      <c r="I22" s="24">
        <v>73</v>
      </c>
      <c r="J22" s="35">
        <f t="shared" si="13"/>
        <v>0.60470755270000009</v>
      </c>
      <c r="K22" s="35">
        <f t="shared" si="14"/>
        <v>0.56764888680000003</v>
      </c>
      <c r="L22" s="35">
        <f t="shared" si="3"/>
        <v>0.594331126248</v>
      </c>
      <c r="M22" s="82"/>
      <c r="N22" s="24">
        <v>73</v>
      </c>
      <c r="O22" s="8">
        <f t="shared" si="4"/>
        <v>0.63731052730000004</v>
      </c>
      <c r="P22" s="8">
        <f t="shared" si="5"/>
        <v>0.59825383320000003</v>
      </c>
      <c r="Q22" s="8">
        <f t="shared" si="6"/>
        <v>0.62637465295200001</v>
      </c>
      <c r="R22" s="82"/>
      <c r="S22" s="24">
        <v>73</v>
      </c>
      <c r="T22" s="36">
        <f t="shared" si="7"/>
        <v>0.54571169389999996</v>
      </c>
      <c r="U22" s="36">
        <f t="shared" si="8"/>
        <v>0.51226850759999998</v>
      </c>
      <c r="V22" s="36">
        <f t="shared" si="9"/>
        <v>0.53634760173599993</v>
      </c>
      <c r="W22" s="82"/>
      <c r="X22" s="24">
        <v>73</v>
      </c>
      <c r="Y22" s="37">
        <f t="shared" si="10"/>
        <v>0.54571169389999996</v>
      </c>
      <c r="Z22" s="37">
        <f t="shared" si="11"/>
        <v>0.51226850759999998</v>
      </c>
      <c r="AA22" s="37">
        <f t="shared" si="12"/>
        <v>0.53634760173599993</v>
      </c>
    </row>
    <row r="23" spans="1:27" x14ac:dyDescent="0.2">
      <c r="A23" s="24">
        <v>74</v>
      </c>
      <c r="B23" s="24">
        <v>79</v>
      </c>
      <c r="C23" s="1"/>
      <c r="D23" s="24">
        <v>74</v>
      </c>
      <c r="E23" s="161">
        <f t="shared" si="0"/>
        <v>0.64928489239999998</v>
      </c>
      <c r="F23" s="161">
        <f t="shared" si="1"/>
        <v>0.60894964020000009</v>
      </c>
      <c r="G23" s="162">
        <f t="shared" si="2"/>
        <v>0.63799102178400002</v>
      </c>
      <c r="H23" s="82"/>
      <c r="I23" s="24">
        <v>74</v>
      </c>
      <c r="J23" s="35">
        <f t="shared" si="13"/>
        <v>0.60070419379999995</v>
      </c>
      <c r="K23" s="35">
        <f t="shared" si="14"/>
        <v>0.56338689990000013</v>
      </c>
      <c r="L23" s="35">
        <f t="shared" si="3"/>
        <v>0.59025535150800001</v>
      </c>
      <c r="M23" s="82"/>
      <c r="N23" s="24">
        <v>74</v>
      </c>
      <c r="O23" s="8">
        <f t="shared" si="4"/>
        <v>0.63309132619999997</v>
      </c>
      <c r="P23" s="8">
        <f t="shared" si="5"/>
        <v>0.59376206009999999</v>
      </c>
      <c r="Q23" s="8">
        <f t="shared" si="6"/>
        <v>0.62207913169200002</v>
      </c>
      <c r="R23" s="82"/>
      <c r="S23" s="24">
        <v>74</v>
      </c>
      <c r="T23" s="36">
        <f t="shared" si="7"/>
        <v>0.54209890659999993</v>
      </c>
      <c r="U23" s="36">
        <f t="shared" si="8"/>
        <v>0.50842232430000001</v>
      </c>
      <c r="V23" s="36">
        <f t="shared" si="9"/>
        <v>0.53266946355599998</v>
      </c>
      <c r="W23" s="82"/>
      <c r="X23" s="24">
        <v>74</v>
      </c>
      <c r="Y23" s="37">
        <f t="shared" si="10"/>
        <v>0.54209890659999993</v>
      </c>
      <c r="Z23" s="37">
        <f t="shared" si="11"/>
        <v>0.50842232430000001</v>
      </c>
      <c r="AA23" s="37">
        <f t="shared" si="12"/>
        <v>0.53266946355599998</v>
      </c>
    </row>
    <row r="24" spans="1:27" x14ac:dyDescent="0.2">
      <c r="A24" s="24">
        <v>75</v>
      </c>
      <c r="B24" s="24">
        <v>80</v>
      </c>
      <c r="C24" s="1"/>
      <c r="D24" s="24">
        <v>75</v>
      </c>
      <c r="E24" s="161">
        <f t="shared" si="0"/>
        <v>0.64490186140000005</v>
      </c>
      <c r="F24" s="161">
        <f t="shared" si="1"/>
        <v>0.60428706519999997</v>
      </c>
      <c r="G24" s="162">
        <f t="shared" si="2"/>
        <v>0.63352971846400008</v>
      </c>
      <c r="H24" s="82"/>
      <c r="I24" s="24">
        <v>75</v>
      </c>
      <c r="J24" s="35">
        <f t="shared" si="13"/>
        <v>0.59664910930000015</v>
      </c>
      <c r="K24" s="35">
        <f t="shared" si="14"/>
        <v>0.5590731874</v>
      </c>
      <c r="L24" s="35">
        <f t="shared" si="3"/>
        <v>0.58612785116800015</v>
      </c>
      <c r="M24" s="82"/>
      <c r="N24" s="24">
        <v>75</v>
      </c>
      <c r="O24" s="8">
        <f t="shared" si="4"/>
        <v>0.62881761070000008</v>
      </c>
      <c r="P24" s="8">
        <f t="shared" si="5"/>
        <v>0.58921577260000002</v>
      </c>
      <c r="Q24" s="8">
        <f t="shared" si="6"/>
        <v>0.6177290960320001</v>
      </c>
      <c r="R24" s="82"/>
      <c r="S24" s="24">
        <v>75</v>
      </c>
      <c r="T24" s="36">
        <f t="shared" si="7"/>
        <v>0.5384394401</v>
      </c>
      <c r="U24" s="36">
        <f t="shared" si="8"/>
        <v>0.50452946180000002</v>
      </c>
      <c r="V24" s="36">
        <f t="shared" si="9"/>
        <v>0.52894464617600001</v>
      </c>
      <c r="W24" s="82"/>
      <c r="X24" s="24">
        <v>75</v>
      </c>
      <c r="Y24" s="37">
        <f t="shared" si="10"/>
        <v>0.5384394401</v>
      </c>
      <c r="Z24" s="37">
        <f t="shared" si="11"/>
        <v>0.50452946180000002</v>
      </c>
      <c r="AA24" s="37">
        <f t="shared" si="12"/>
        <v>0.52894464617600001</v>
      </c>
    </row>
    <row r="25" spans="1:27" x14ac:dyDescent="0.2">
      <c r="A25" s="24">
        <v>76</v>
      </c>
      <c r="B25" s="24">
        <v>81</v>
      </c>
      <c r="C25" s="1"/>
      <c r="D25" s="24">
        <v>76</v>
      </c>
      <c r="E25" s="161">
        <f t="shared" si="0"/>
        <v>0.64046292159999996</v>
      </c>
      <c r="F25" s="161">
        <f t="shared" si="1"/>
        <v>0.59956858140000013</v>
      </c>
      <c r="G25" s="162">
        <f t="shared" si="2"/>
        <v>0.62901250634399997</v>
      </c>
      <c r="H25" s="82"/>
      <c r="I25" s="24">
        <v>76</v>
      </c>
      <c r="J25" s="35">
        <f t="shared" si="13"/>
        <v>0.59254229920000001</v>
      </c>
      <c r="K25" s="35">
        <f t="shared" si="14"/>
        <v>0.55470774930000011</v>
      </c>
      <c r="L25" s="35">
        <f t="shared" si="3"/>
        <v>0.58194862522799995</v>
      </c>
      <c r="M25" s="82"/>
      <c r="N25" s="24">
        <v>76</v>
      </c>
      <c r="O25" s="8">
        <f t="shared" si="4"/>
        <v>0.62448938079999994</v>
      </c>
      <c r="P25" s="8">
        <f t="shared" si="5"/>
        <v>0.58461497070000001</v>
      </c>
      <c r="Q25" s="8">
        <f t="shared" si="6"/>
        <v>0.61332454597200003</v>
      </c>
      <c r="R25" s="82"/>
      <c r="S25" s="24">
        <v>76</v>
      </c>
      <c r="T25" s="36">
        <f t="shared" si="7"/>
        <v>0.53473329439999995</v>
      </c>
      <c r="U25" s="36">
        <f t="shared" si="8"/>
        <v>0.50058992010000003</v>
      </c>
      <c r="V25" s="36">
        <f t="shared" si="9"/>
        <v>0.52517314959599992</v>
      </c>
      <c r="W25" s="82"/>
      <c r="X25" s="24">
        <v>76</v>
      </c>
      <c r="Y25" s="37">
        <f t="shared" si="10"/>
        <v>0.53473329439999995</v>
      </c>
      <c r="Z25" s="37">
        <f t="shared" si="11"/>
        <v>0.50058992010000003</v>
      </c>
      <c r="AA25" s="37">
        <f t="shared" si="12"/>
        <v>0.52517314959599992</v>
      </c>
    </row>
    <row r="26" spans="1:27" x14ac:dyDescent="0.2">
      <c r="A26" s="24">
        <v>77</v>
      </c>
      <c r="B26" s="24">
        <v>82</v>
      </c>
      <c r="C26" s="1"/>
      <c r="D26" s="24">
        <v>77</v>
      </c>
      <c r="E26" s="161">
        <f t="shared" si="0"/>
        <v>0.63596807300000002</v>
      </c>
      <c r="F26" s="161">
        <f t="shared" si="1"/>
        <v>0.59479418880000001</v>
      </c>
      <c r="G26" s="162">
        <f t="shared" si="2"/>
        <v>0.62443938542400002</v>
      </c>
      <c r="H26" s="82"/>
      <c r="I26" s="24">
        <v>77</v>
      </c>
      <c r="J26" s="35">
        <f t="shared" si="13"/>
        <v>0.5883837635000001</v>
      </c>
      <c r="K26" s="35">
        <f t="shared" si="14"/>
        <v>0.55029058559999999</v>
      </c>
      <c r="L26" s="35">
        <f t="shared" si="3"/>
        <v>0.57771767368800009</v>
      </c>
      <c r="M26" s="82"/>
      <c r="N26" s="24">
        <v>77</v>
      </c>
      <c r="O26" s="8">
        <f t="shared" si="4"/>
        <v>0.62010663650000009</v>
      </c>
      <c r="P26" s="8">
        <f t="shared" si="5"/>
        <v>0.57995965439999997</v>
      </c>
      <c r="Q26" s="8">
        <f t="shared" si="6"/>
        <v>0.60886548151200004</v>
      </c>
      <c r="R26" s="82"/>
      <c r="S26" s="24">
        <v>77</v>
      </c>
      <c r="T26" s="36">
        <f t="shared" si="7"/>
        <v>0.5309804695</v>
      </c>
      <c r="U26" s="36">
        <f t="shared" si="8"/>
        <v>0.49660369919999997</v>
      </c>
      <c r="V26" s="36">
        <f t="shared" si="9"/>
        <v>0.52135497381599993</v>
      </c>
      <c r="W26" s="82"/>
      <c r="X26" s="24">
        <v>77</v>
      </c>
      <c r="Y26" s="37">
        <f t="shared" si="10"/>
        <v>0.5309804695</v>
      </c>
      <c r="Z26" s="37">
        <f t="shared" si="11"/>
        <v>0.49660369919999997</v>
      </c>
      <c r="AA26" s="37">
        <f t="shared" si="12"/>
        <v>0.52135497381599993</v>
      </c>
    </row>
    <row r="27" spans="1:27" x14ac:dyDescent="0.2">
      <c r="A27" s="24">
        <v>78</v>
      </c>
      <c r="B27" s="24">
        <v>83</v>
      </c>
      <c r="C27" s="1"/>
      <c r="D27" s="24">
        <v>78</v>
      </c>
      <c r="E27" s="161">
        <f t="shared" si="0"/>
        <v>0.63141731560000003</v>
      </c>
      <c r="F27" s="161">
        <f t="shared" si="1"/>
        <v>0.58996388740000005</v>
      </c>
      <c r="G27" s="162">
        <f t="shared" si="2"/>
        <v>0.619810355704</v>
      </c>
      <c r="H27" s="82"/>
      <c r="I27" s="24">
        <v>78</v>
      </c>
      <c r="J27" s="35">
        <f t="shared" si="13"/>
        <v>0.58417350220000008</v>
      </c>
      <c r="K27" s="35">
        <f t="shared" si="14"/>
        <v>0.5458216963000001</v>
      </c>
      <c r="L27" s="35">
        <f t="shared" si="3"/>
        <v>0.57343499654800012</v>
      </c>
      <c r="M27" s="82"/>
      <c r="N27" s="24">
        <v>78</v>
      </c>
      <c r="O27" s="8">
        <f t="shared" si="4"/>
        <v>0.61566937779999997</v>
      </c>
      <c r="P27" s="8">
        <f t="shared" si="5"/>
        <v>0.5752498237</v>
      </c>
      <c r="Q27" s="8">
        <f t="shared" si="6"/>
        <v>0.60435190265200001</v>
      </c>
      <c r="R27" s="82"/>
      <c r="S27" s="24">
        <v>78</v>
      </c>
      <c r="T27" s="36">
        <f t="shared" si="7"/>
        <v>0.52718096540000003</v>
      </c>
      <c r="U27" s="36">
        <f t="shared" si="8"/>
        <v>0.49257079910000001</v>
      </c>
      <c r="V27" s="36">
        <f t="shared" si="9"/>
        <v>0.51749011883600005</v>
      </c>
      <c r="W27" s="82"/>
      <c r="X27" s="24">
        <v>78</v>
      </c>
      <c r="Y27" s="37">
        <f t="shared" si="10"/>
        <v>0.52718096540000003</v>
      </c>
      <c r="Z27" s="37">
        <f t="shared" si="11"/>
        <v>0.49257079910000001</v>
      </c>
      <c r="AA27" s="37">
        <f t="shared" si="12"/>
        <v>0.51749011883600005</v>
      </c>
    </row>
    <row r="28" spans="1:27" x14ac:dyDescent="0.2">
      <c r="A28" s="24">
        <v>79</v>
      </c>
      <c r="B28" s="24">
        <v>84</v>
      </c>
      <c r="C28" s="1"/>
      <c r="D28" s="24">
        <v>79</v>
      </c>
      <c r="E28" s="161">
        <f t="shared" si="0"/>
        <v>0.62681064940000009</v>
      </c>
      <c r="F28" s="161">
        <f t="shared" si="1"/>
        <v>0.58507767720000003</v>
      </c>
      <c r="G28" s="162">
        <f t="shared" si="2"/>
        <v>0.61512541718400005</v>
      </c>
      <c r="H28" s="82"/>
      <c r="I28" s="24">
        <v>79</v>
      </c>
      <c r="J28" s="35">
        <f t="shared" si="13"/>
        <v>0.57991151530000007</v>
      </c>
      <c r="K28" s="35">
        <f t="shared" si="14"/>
        <v>0.54130108139999999</v>
      </c>
      <c r="L28" s="35">
        <f t="shared" si="3"/>
        <v>0.56910059380800004</v>
      </c>
      <c r="M28" s="82"/>
      <c r="N28" s="24">
        <v>79</v>
      </c>
      <c r="O28" s="8">
        <f t="shared" si="4"/>
        <v>0.61117760470000004</v>
      </c>
      <c r="P28" s="8">
        <f t="shared" si="5"/>
        <v>0.57048547859999998</v>
      </c>
      <c r="Q28" s="8">
        <f t="shared" si="6"/>
        <v>0.59978380939200004</v>
      </c>
      <c r="R28" s="82"/>
      <c r="S28" s="24">
        <v>79</v>
      </c>
      <c r="T28" s="36">
        <f t="shared" si="7"/>
        <v>0.52333478210000006</v>
      </c>
      <c r="U28" s="36">
        <f t="shared" si="8"/>
        <v>0.48849121979999999</v>
      </c>
      <c r="V28" s="36">
        <f t="shared" si="9"/>
        <v>0.51357858465600004</v>
      </c>
      <c r="W28" s="82"/>
      <c r="X28" s="24">
        <v>79</v>
      </c>
      <c r="Y28" s="37">
        <f t="shared" si="10"/>
        <v>0.52333478210000006</v>
      </c>
      <c r="Z28" s="37">
        <f t="shared" si="11"/>
        <v>0.48849121979999999</v>
      </c>
      <c r="AA28" s="37">
        <f t="shared" si="12"/>
        <v>0.51357858465600004</v>
      </c>
    </row>
    <row r="29" spans="1:27" x14ac:dyDescent="0.2">
      <c r="A29" s="24">
        <v>80</v>
      </c>
      <c r="B29" s="24">
        <v>85</v>
      </c>
      <c r="C29" s="1"/>
      <c r="D29" s="24">
        <v>80</v>
      </c>
      <c r="E29" s="161">
        <f t="shared" si="0"/>
        <v>0.62214807439999997</v>
      </c>
      <c r="F29" s="161">
        <f t="shared" si="1"/>
        <v>0.58013555819999996</v>
      </c>
      <c r="G29" s="162">
        <f t="shared" si="2"/>
        <v>0.61038456986400003</v>
      </c>
      <c r="H29" s="82"/>
      <c r="I29" s="24">
        <v>80</v>
      </c>
      <c r="J29" s="35">
        <f t="shared" si="13"/>
        <v>0.57559780280000006</v>
      </c>
      <c r="K29" s="35">
        <f t="shared" si="14"/>
        <v>0.5367287409</v>
      </c>
      <c r="L29" s="35">
        <f t="shared" si="3"/>
        <v>0.56471446546800008</v>
      </c>
      <c r="M29" s="82"/>
      <c r="N29" s="24">
        <v>80</v>
      </c>
      <c r="O29" s="8">
        <f t="shared" si="4"/>
        <v>0.60663131719999996</v>
      </c>
      <c r="P29" s="8">
        <f t="shared" si="5"/>
        <v>0.56566661910000005</v>
      </c>
      <c r="Q29" s="8">
        <f t="shared" si="6"/>
        <v>0.59516120173200004</v>
      </c>
      <c r="R29" s="82"/>
      <c r="S29" s="24">
        <v>80</v>
      </c>
      <c r="T29" s="36">
        <f t="shared" si="7"/>
        <v>0.51944191959999997</v>
      </c>
      <c r="U29" s="36">
        <f t="shared" si="8"/>
        <v>0.48436496130000001</v>
      </c>
      <c r="V29" s="36">
        <f t="shared" si="9"/>
        <v>0.50962037127600002</v>
      </c>
      <c r="W29" s="82"/>
      <c r="X29" s="24">
        <v>80</v>
      </c>
      <c r="Y29" s="37">
        <f t="shared" si="10"/>
        <v>0.51944191959999997</v>
      </c>
      <c r="Z29" s="37">
        <f t="shared" si="11"/>
        <v>0.48436496130000001</v>
      </c>
      <c r="AA29" s="37">
        <f t="shared" si="12"/>
        <v>0.50962037127600002</v>
      </c>
    </row>
    <row r="30" spans="1:27" x14ac:dyDescent="0.2">
      <c r="A30" s="24">
        <v>81</v>
      </c>
      <c r="B30" s="24">
        <v>86</v>
      </c>
      <c r="C30" s="1"/>
      <c r="D30" s="24">
        <v>81</v>
      </c>
      <c r="E30" s="161">
        <f t="shared" si="0"/>
        <v>0.61742959060000002</v>
      </c>
      <c r="F30" s="161">
        <f t="shared" si="1"/>
        <v>0.57513753040000004</v>
      </c>
      <c r="G30" s="162">
        <f t="shared" si="2"/>
        <v>0.60558781374400006</v>
      </c>
      <c r="H30" s="82"/>
      <c r="I30" s="24">
        <v>81</v>
      </c>
      <c r="J30" s="35">
        <f t="shared" si="13"/>
        <v>0.57123236470000005</v>
      </c>
      <c r="K30" s="35">
        <f t="shared" si="14"/>
        <v>0.53210467480000001</v>
      </c>
      <c r="L30" s="35">
        <f t="shared" si="3"/>
        <v>0.56027661152800001</v>
      </c>
      <c r="M30" s="82"/>
      <c r="N30" s="24">
        <v>81</v>
      </c>
      <c r="O30" s="8">
        <f t="shared" si="4"/>
        <v>0.60203051529999996</v>
      </c>
      <c r="P30" s="8">
        <f t="shared" si="5"/>
        <v>0.56079324519999996</v>
      </c>
      <c r="Q30" s="8">
        <f t="shared" si="6"/>
        <v>0.59048407967200001</v>
      </c>
      <c r="R30" s="82"/>
      <c r="S30" s="24">
        <v>81</v>
      </c>
      <c r="T30" s="36">
        <f t="shared" si="7"/>
        <v>0.51550237789999998</v>
      </c>
      <c r="U30" s="36">
        <f t="shared" si="8"/>
        <v>0.48019202360000002</v>
      </c>
      <c r="V30" s="36">
        <f t="shared" si="9"/>
        <v>0.50561547869599999</v>
      </c>
      <c r="W30" s="82"/>
      <c r="X30" s="24">
        <v>81</v>
      </c>
      <c r="Y30" s="37">
        <f t="shared" si="10"/>
        <v>0.51550237789999998</v>
      </c>
      <c r="Z30" s="37">
        <f t="shared" si="11"/>
        <v>0.48019202360000002</v>
      </c>
      <c r="AA30" s="37">
        <f t="shared" si="12"/>
        <v>0.50561547869599999</v>
      </c>
    </row>
    <row r="31" spans="1:27" x14ac:dyDescent="0.2">
      <c r="A31" s="24">
        <v>82</v>
      </c>
      <c r="B31" s="24">
        <v>87</v>
      </c>
      <c r="C31" s="1"/>
      <c r="D31" s="24">
        <v>82</v>
      </c>
      <c r="E31" s="161">
        <f t="shared" si="0"/>
        <v>0.61265519800000001</v>
      </c>
      <c r="F31" s="161">
        <f t="shared" si="1"/>
        <v>0.57008359379999995</v>
      </c>
      <c r="G31" s="162">
        <f t="shared" si="2"/>
        <v>0.60073514882400003</v>
      </c>
      <c r="H31" s="82"/>
      <c r="I31" s="24">
        <v>82</v>
      </c>
      <c r="J31" s="35">
        <f t="shared" si="13"/>
        <v>0.56681520100000005</v>
      </c>
      <c r="K31" s="35">
        <f t="shared" si="14"/>
        <v>0.52742888310000002</v>
      </c>
      <c r="L31" s="35">
        <f t="shared" si="3"/>
        <v>0.55578703198800006</v>
      </c>
      <c r="M31" s="82"/>
      <c r="N31" s="24">
        <v>82</v>
      </c>
      <c r="O31" s="8">
        <f t="shared" si="4"/>
        <v>0.59737519900000002</v>
      </c>
      <c r="P31" s="8">
        <f t="shared" si="5"/>
        <v>0.55586535689999994</v>
      </c>
      <c r="Q31" s="8">
        <f t="shared" si="6"/>
        <v>0.58575244321200004</v>
      </c>
      <c r="R31" s="82"/>
      <c r="S31" s="24">
        <v>82</v>
      </c>
      <c r="T31" s="36">
        <f t="shared" si="7"/>
        <v>0.51151615699999997</v>
      </c>
      <c r="U31" s="36">
        <f t="shared" si="8"/>
        <v>0.47597240669999996</v>
      </c>
      <c r="V31" s="36">
        <f t="shared" si="9"/>
        <v>0.50156390691599995</v>
      </c>
      <c r="W31" s="82"/>
      <c r="X31" s="24">
        <v>82</v>
      </c>
      <c r="Y31" s="37">
        <f t="shared" si="10"/>
        <v>0.51151615699999997</v>
      </c>
      <c r="Z31" s="37">
        <f t="shared" si="11"/>
        <v>0.47597240669999996</v>
      </c>
      <c r="AA31" s="37">
        <f t="shared" si="12"/>
        <v>0.50156390691599995</v>
      </c>
    </row>
    <row r="32" spans="1:27" x14ac:dyDescent="0.2">
      <c r="A32" s="24">
        <v>83</v>
      </c>
      <c r="B32" s="24">
        <v>88</v>
      </c>
      <c r="C32" s="1"/>
      <c r="D32" s="24">
        <v>83</v>
      </c>
      <c r="E32" s="161">
        <f t="shared" si="0"/>
        <v>0.60782489660000005</v>
      </c>
      <c r="F32" s="161">
        <f t="shared" si="1"/>
        <v>0.56497374839999992</v>
      </c>
      <c r="G32" s="162">
        <f t="shared" si="2"/>
        <v>0.59582657510400006</v>
      </c>
      <c r="H32" s="82"/>
      <c r="I32" s="24">
        <v>83</v>
      </c>
      <c r="J32" s="35">
        <f t="shared" si="13"/>
        <v>0.56234631170000005</v>
      </c>
      <c r="K32" s="35">
        <f t="shared" si="14"/>
        <v>0.52270136580000004</v>
      </c>
      <c r="L32" s="35">
        <f t="shared" si="3"/>
        <v>0.55124572684800011</v>
      </c>
      <c r="M32" s="82"/>
      <c r="N32" s="24">
        <v>83</v>
      </c>
      <c r="O32" s="8">
        <f t="shared" si="4"/>
        <v>0.59266536830000005</v>
      </c>
      <c r="P32" s="8">
        <f t="shared" si="5"/>
        <v>0.5508829542</v>
      </c>
      <c r="Q32" s="8">
        <f t="shared" si="6"/>
        <v>0.58096629235200004</v>
      </c>
      <c r="R32" s="82"/>
      <c r="S32" s="24">
        <v>83</v>
      </c>
      <c r="T32" s="36">
        <f t="shared" si="7"/>
        <v>0.50748325690000007</v>
      </c>
      <c r="U32" s="36">
        <f t="shared" si="8"/>
        <v>0.47170611059999995</v>
      </c>
      <c r="V32" s="36">
        <f t="shared" si="9"/>
        <v>0.49746565593600001</v>
      </c>
      <c r="W32" s="82"/>
      <c r="X32" s="24">
        <v>83</v>
      </c>
      <c r="Y32" s="37">
        <f t="shared" si="10"/>
        <v>0.50748325690000007</v>
      </c>
      <c r="Z32" s="37">
        <f t="shared" si="11"/>
        <v>0.47170611059999995</v>
      </c>
      <c r="AA32" s="37">
        <f t="shared" si="12"/>
        <v>0.49746565593600001</v>
      </c>
    </row>
    <row r="33" spans="1:27" x14ac:dyDescent="0.2">
      <c r="A33" s="24">
        <v>84</v>
      </c>
      <c r="B33" s="24">
        <v>89</v>
      </c>
      <c r="C33" s="1"/>
      <c r="D33" s="24">
        <v>84</v>
      </c>
      <c r="E33" s="161">
        <f t="shared" si="0"/>
        <v>0.60293868640000003</v>
      </c>
      <c r="F33" s="161">
        <f t="shared" si="1"/>
        <v>0.55980799420000005</v>
      </c>
      <c r="G33" s="162">
        <f t="shared" si="2"/>
        <v>0.59086209258400002</v>
      </c>
      <c r="H33" s="82"/>
      <c r="I33" s="24">
        <v>84</v>
      </c>
      <c r="J33" s="35">
        <f t="shared" si="13"/>
        <v>0.55782569680000005</v>
      </c>
      <c r="K33" s="35">
        <f t="shared" si="14"/>
        <v>0.51792212290000006</v>
      </c>
      <c r="L33" s="35">
        <f t="shared" si="3"/>
        <v>0.54665269610800005</v>
      </c>
      <c r="M33" s="82"/>
      <c r="N33" s="24">
        <v>84</v>
      </c>
      <c r="O33" s="8">
        <f t="shared" si="4"/>
        <v>0.58790102320000004</v>
      </c>
      <c r="P33" s="8">
        <f t="shared" si="5"/>
        <v>0.54584603710000001</v>
      </c>
      <c r="Q33" s="8">
        <f t="shared" si="6"/>
        <v>0.5761256270920001</v>
      </c>
      <c r="R33" s="82"/>
      <c r="S33" s="24">
        <v>84</v>
      </c>
      <c r="T33" s="36">
        <f t="shared" si="7"/>
        <v>0.50340367760000004</v>
      </c>
      <c r="U33" s="36">
        <f t="shared" si="8"/>
        <v>0.46739313529999998</v>
      </c>
      <c r="V33" s="36">
        <f t="shared" si="9"/>
        <v>0.49332072575600006</v>
      </c>
      <c r="W33" s="82"/>
      <c r="X33" s="24">
        <v>84</v>
      </c>
      <c r="Y33" s="37">
        <f t="shared" si="10"/>
        <v>0.50340367760000004</v>
      </c>
      <c r="Z33" s="37">
        <f t="shared" si="11"/>
        <v>0.46739313529999998</v>
      </c>
      <c r="AA33" s="37">
        <f t="shared" si="12"/>
        <v>0.49332072575600006</v>
      </c>
    </row>
    <row r="34" spans="1:27" x14ac:dyDescent="0.2">
      <c r="A34" s="24">
        <v>85</v>
      </c>
      <c r="B34" s="24">
        <v>90</v>
      </c>
      <c r="C34" s="1"/>
      <c r="D34" s="24">
        <v>85</v>
      </c>
      <c r="E34" s="161">
        <f t="shared" si="0"/>
        <v>0.59799656740000007</v>
      </c>
      <c r="F34" s="161">
        <f t="shared" si="1"/>
        <v>0.5545863312</v>
      </c>
      <c r="G34" s="162">
        <f t="shared" si="2"/>
        <v>0.58584170126400004</v>
      </c>
      <c r="H34" s="82"/>
      <c r="I34" s="24">
        <v>85</v>
      </c>
      <c r="J34" s="35">
        <f t="shared" si="13"/>
        <v>0.55325335630000005</v>
      </c>
      <c r="K34" s="35">
        <f t="shared" si="14"/>
        <v>0.51309115440000008</v>
      </c>
      <c r="L34" s="35">
        <f t="shared" si="3"/>
        <v>0.54200793976799999</v>
      </c>
      <c r="M34" s="82"/>
      <c r="N34" s="24">
        <v>85</v>
      </c>
      <c r="O34" s="8">
        <f t="shared" si="4"/>
        <v>0.58308216369999999</v>
      </c>
      <c r="P34" s="8">
        <f t="shared" si="5"/>
        <v>0.54075460559999999</v>
      </c>
      <c r="Q34" s="8">
        <f t="shared" si="6"/>
        <v>0.57123044743200002</v>
      </c>
      <c r="R34" s="82"/>
      <c r="S34" s="24">
        <v>85</v>
      </c>
      <c r="T34" s="36">
        <f t="shared" si="7"/>
        <v>0.49927741910000001</v>
      </c>
      <c r="U34" s="36">
        <f t="shared" si="8"/>
        <v>0.46303348080000001</v>
      </c>
      <c r="V34" s="36">
        <f t="shared" si="9"/>
        <v>0.48912911637599998</v>
      </c>
      <c r="W34" s="82"/>
      <c r="X34" s="24">
        <v>85</v>
      </c>
      <c r="Y34" s="37">
        <f t="shared" si="10"/>
        <v>0.49927741910000001</v>
      </c>
      <c r="Z34" s="37">
        <f t="shared" si="11"/>
        <v>0.46303348080000001</v>
      </c>
      <c r="AA34" s="37">
        <f t="shared" si="12"/>
        <v>0.48912911637599998</v>
      </c>
    </row>
    <row r="35" spans="1:27" x14ac:dyDescent="0.2">
      <c r="A35" s="24">
        <v>86</v>
      </c>
      <c r="B35" s="24">
        <v>91</v>
      </c>
      <c r="C35" s="1"/>
      <c r="D35" s="24">
        <v>86</v>
      </c>
      <c r="E35" s="161">
        <f t="shared" si="0"/>
        <v>0.59299853960000004</v>
      </c>
      <c r="F35" s="161">
        <f t="shared" si="1"/>
        <v>0.54930875940000001</v>
      </c>
      <c r="G35" s="162">
        <f t="shared" si="2"/>
        <v>0.58076540114399999</v>
      </c>
      <c r="H35" s="82"/>
      <c r="I35" s="24">
        <v>86</v>
      </c>
      <c r="J35" s="35">
        <f t="shared" si="13"/>
        <v>0.54862929020000006</v>
      </c>
      <c r="K35" s="35">
        <f t="shared" si="14"/>
        <v>0.50820846030000011</v>
      </c>
      <c r="L35" s="35">
        <f t="shared" si="3"/>
        <v>0.53731145782800005</v>
      </c>
      <c r="M35" s="82"/>
      <c r="N35" s="24">
        <v>86</v>
      </c>
      <c r="O35" s="8">
        <f t="shared" si="4"/>
        <v>0.57820878980000001</v>
      </c>
      <c r="P35" s="8">
        <f t="shared" si="5"/>
        <v>0.53560865970000004</v>
      </c>
      <c r="Q35" s="8">
        <f t="shared" si="6"/>
        <v>0.56628075337200001</v>
      </c>
      <c r="R35" s="82"/>
      <c r="S35" s="24">
        <v>86</v>
      </c>
      <c r="T35" s="36">
        <f t="shared" si="7"/>
        <v>0.49510448140000002</v>
      </c>
      <c r="U35" s="36">
        <f t="shared" si="8"/>
        <v>0.45862714710000002</v>
      </c>
      <c r="V35" s="36">
        <f t="shared" si="9"/>
        <v>0.48489082779600001</v>
      </c>
      <c r="W35" s="82"/>
      <c r="X35" s="24">
        <v>86</v>
      </c>
      <c r="Y35" s="37">
        <f t="shared" si="10"/>
        <v>0.49510448140000002</v>
      </c>
      <c r="Z35" s="37">
        <f t="shared" si="11"/>
        <v>0.45862714710000002</v>
      </c>
      <c r="AA35" s="37">
        <f t="shared" si="12"/>
        <v>0.48489082779600001</v>
      </c>
    </row>
    <row r="36" spans="1:27" x14ac:dyDescent="0.2">
      <c r="A36" s="24">
        <v>87</v>
      </c>
      <c r="B36" s="24">
        <v>92</v>
      </c>
      <c r="C36" s="1"/>
      <c r="D36" s="24">
        <v>87</v>
      </c>
      <c r="E36" s="161">
        <f t="shared" si="0"/>
        <v>0.58794460300000007</v>
      </c>
      <c r="F36" s="161">
        <f t="shared" si="1"/>
        <v>0.54397527879999996</v>
      </c>
      <c r="G36" s="162">
        <f t="shared" si="2"/>
        <v>0.575633192224</v>
      </c>
      <c r="H36" s="82"/>
      <c r="I36" s="24">
        <v>87</v>
      </c>
      <c r="J36" s="35">
        <f t="shared" si="13"/>
        <v>0.54395349850000019</v>
      </c>
      <c r="K36" s="35">
        <f t="shared" si="14"/>
        <v>0.50327404059999992</v>
      </c>
      <c r="L36" s="35">
        <f t="shared" si="3"/>
        <v>0.53256325028800011</v>
      </c>
      <c r="M36" s="82"/>
      <c r="N36" s="24">
        <v>87</v>
      </c>
      <c r="O36" s="8">
        <f t="shared" si="4"/>
        <v>0.57328090150000011</v>
      </c>
      <c r="P36" s="8">
        <f t="shared" si="5"/>
        <v>0.53040819939999995</v>
      </c>
      <c r="Q36" s="8">
        <f t="shared" si="6"/>
        <v>0.56127654491200007</v>
      </c>
      <c r="R36" s="82"/>
      <c r="S36" s="24">
        <v>87</v>
      </c>
      <c r="T36" s="36">
        <f t="shared" si="7"/>
        <v>0.49088486450000007</v>
      </c>
      <c r="U36" s="36">
        <f t="shared" si="8"/>
        <v>0.45417413419999991</v>
      </c>
      <c r="V36" s="36">
        <f t="shared" si="9"/>
        <v>0.48060586001600003</v>
      </c>
      <c r="W36" s="82"/>
      <c r="X36" s="24">
        <v>87</v>
      </c>
      <c r="Y36" s="37">
        <f t="shared" si="10"/>
        <v>0.49088486450000007</v>
      </c>
      <c r="Z36" s="37">
        <f t="shared" si="11"/>
        <v>0.45417413419999991</v>
      </c>
      <c r="AA36" s="37">
        <f t="shared" si="12"/>
        <v>0.48060586001600003</v>
      </c>
    </row>
    <row r="37" spans="1:27" x14ac:dyDescent="0.2">
      <c r="A37" s="24">
        <v>88</v>
      </c>
      <c r="B37" s="24">
        <v>93</v>
      </c>
      <c r="C37" s="1"/>
      <c r="D37" s="24">
        <v>88</v>
      </c>
      <c r="E37" s="161">
        <f t="shared" si="0"/>
        <v>0.58283475760000003</v>
      </c>
      <c r="F37" s="161">
        <f t="shared" si="1"/>
        <v>0.53858588939999996</v>
      </c>
      <c r="G37" s="162">
        <f t="shared" si="2"/>
        <v>0.57044507450399995</v>
      </c>
      <c r="H37" s="82"/>
      <c r="I37" s="24">
        <v>88</v>
      </c>
      <c r="J37" s="35">
        <f t="shared" si="13"/>
        <v>0.53922598119999998</v>
      </c>
      <c r="K37" s="35">
        <f t="shared" si="14"/>
        <v>0.49828789530000001</v>
      </c>
      <c r="L37" s="35">
        <f t="shared" si="3"/>
        <v>0.52776331714800007</v>
      </c>
      <c r="M37" s="82"/>
      <c r="N37" s="24">
        <v>88</v>
      </c>
      <c r="O37" s="8">
        <f t="shared" si="4"/>
        <v>0.56829849879999994</v>
      </c>
      <c r="P37" s="8">
        <f t="shared" si="5"/>
        <v>0.52515322470000003</v>
      </c>
      <c r="Q37" s="8">
        <f t="shared" si="6"/>
        <v>0.55621782205199999</v>
      </c>
      <c r="R37" s="82"/>
      <c r="S37" s="24">
        <v>88</v>
      </c>
      <c r="T37" s="36">
        <f t="shared" si="7"/>
        <v>0.48661856839999995</v>
      </c>
      <c r="U37" s="36">
        <f t="shared" si="8"/>
        <v>0.44967444209999996</v>
      </c>
      <c r="V37" s="36">
        <f t="shared" si="9"/>
        <v>0.47627421303599993</v>
      </c>
      <c r="W37" s="82"/>
      <c r="X37" s="24">
        <v>88</v>
      </c>
      <c r="Y37" s="37">
        <f t="shared" si="10"/>
        <v>0.48661856839999995</v>
      </c>
      <c r="Z37" s="37">
        <f t="shared" si="11"/>
        <v>0.44967444209999996</v>
      </c>
      <c r="AA37" s="37">
        <f t="shared" si="12"/>
        <v>0.47627421303599993</v>
      </c>
    </row>
    <row r="38" spans="1:27" x14ac:dyDescent="0.2">
      <c r="A38" s="24">
        <v>89</v>
      </c>
      <c r="B38" s="24">
        <v>94</v>
      </c>
      <c r="C38" s="1"/>
      <c r="D38" s="24">
        <v>89</v>
      </c>
      <c r="E38" s="161">
        <f t="shared" si="0"/>
        <v>0.57766900340000005</v>
      </c>
      <c r="F38" s="161">
        <f t="shared" si="1"/>
        <v>0.53314059120000012</v>
      </c>
      <c r="G38" s="162">
        <f t="shared" si="2"/>
        <v>0.56520104798400006</v>
      </c>
      <c r="H38" s="82"/>
      <c r="I38" s="24">
        <v>89</v>
      </c>
      <c r="J38" s="35">
        <f t="shared" si="13"/>
        <v>0.53444673830000011</v>
      </c>
      <c r="K38" s="35">
        <f t="shared" si="14"/>
        <v>0.49325002440000015</v>
      </c>
      <c r="L38" s="35">
        <f t="shared" si="3"/>
        <v>0.52291165840800014</v>
      </c>
      <c r="M38" s="82"/>
      <c r="N38" s="24">
        <v>89</v>
      </c>
      <c r="O38" s="8">
        <f t="shared" si="4"/>
        <v>0.56326158170000007</v>
      </c>
      <c r="P38" s="8">
        <f t="shared" si="5"/>
        <v>0.51984373560000008</v>
      </c>
      <c r="Q38" s="8">
        <f t="shared" si="6"/>
        <v>0.55110458479200009</v>
      </c>
      <c r="R38" s="82"/>
      <c r="S38" s="24">
        <v>89</v>
      </c>
      <c r="T38" s="36">
        <f t="shared" si="7"/>
        <v>0.48230559309999999</v>
      </c>
      <c r="U38" s="36">
        <f t="shared" si="8"/>
        <v>0.44512807080000011</v>
      </c>
      <c r="V38" s="36">
        <f t="shared" si="9"/>
        <v>0.47189588685600004</v>
      </c>
      <c r="W38" s="82"/>
      <c r="X38" s="24">
        <v>89</v>
      </c>
      <c r="Y38" s="37">
        <f t="shared" si="10"/>
        <v>0.48230559309999999</v>
      </c>
      <c r="Z38" s="37">
        <f t="shared" si="11"/>
        <v>0.44512807080000011</v>
      </c>
      <c r="AA38" s="37">
        <f t="shared" si="12"/>
        <v>0.47189588685600004</v>
      </c>
    </row>
    <row r="39" spans="1:27" x14ac:dyDescent="0.2">
      <c r="A39" s="24">
        <v>90</v>
      </c>
      <c r="B39" s="24">
        <v>95</v>
      </c>
      <c r="C39" s="1"/>
      <c r="D39" s="24">
        <v>90</v>
      </c>
      <c r="E39" s="161">
        <f t="shared" si="0"/>
        <v>0.5724473404</v>
      </c>
      <c r="F39" s="161">
        <f t="shared" si="1"/>
        <v>0.52763938420000001</v>
      </c>
      <c r="G39" s="162">
        <f t="shared" si="2"/>
        <v>0.559901112664</v>
      </c>
      <c r="H39" s="82"/>
      <c r="I39" s="24">
        <v>90</v>
      </c>
      <c r="J39" s="35">
        <f t="shared" si="13"/>
        <v>0.52961576980000002</v>
      </c>
      <c r="K39" s="35">
        <f t="shared" si="14"/>
        <v>0.48816042790000003</v>
      </c>
      <c r="L39" s="35">
        <f t="shared" si="3"/>
        <v>0.51800827406799999</v>
      </c>
      <c r="M39" s="82"/>
      <c r="N39" s="24">
        <v>90</v>
      </c>
      <c r="O39" s="8">
        <f t="shared" si="4"/>
        <v>0.55817015019999994</v>
      </c>
      <c r="P39" s="8">
        <f t="shared" si="5"/>
        <v>0.51447973209999998</v>
      </c>
      <c r="Q39" s="8">
        <f t="shared" si="6"/>
        <v>0.54593683313199992</v>
      </c>
      <c r="R39" s="82"/>
      <c r="S39" s="24">
        <v>90</v>
      </c>
      <c r="T39" s="36">
        <f t="shared" si="7"/>
        <v>0.47794593859999995</v>
      </c>
      <c r="U39" s="36">
        <f t="shared" si="8"/>
        <v>0.44053502029999997</v>
      </c>
      <c r="V39" s="36">
        <f t="shared" si="9"/>
        <v>0.46747088147599997</v>
      </c>
      <c r="W39" s="82"/>
      <c r="X39" s="24">
        <v>90</v>
      </c>
      <c r="Y39" s="37">
        <f t="shared" si="10"/>
        <v>0.47794593859999995</v>
      </c>
      <c r="Z39" s="37">
        <f t="shared" si="11"/>
        <v>0.44053502029999997</v>
      </c>
      <c r="AA39" s="37">
        <f t="shared" si="12"/>
        <v>0.46747088147599997</v>
      </c>
    </row>
    <row r="40" spans="1:27" x14ac:dyDescent="0.2">
      <c r="A40" s="24">
        <v>91</v>
      </c>
      <c r="B40" s="24">
        <v>96</v>
      </c>
      <c r="C40" s="1"/>
      <c r="D40" s="24">
        <v>91</v>
      </c>
      <c r="E40" s="161">
        <f t="shared" si="0"/>
        <v>0.56716976860000001</v>
      </c>
      <c r="F40" s="161">
        <f t="shared" si="1"/>
        <v>0.52208226839999994</v>
      </c>
      <c r="G40" s="162">
        <f t="shared" si="2"/>
        <v>0.55454526854399999</v>
      </c>
      <c r="H40" s="82"/>
      <c r="I40" s="24">
        <v>91</v>
      </c>
      <c r="J40" s="35">
        <f t="shared" si="13"/>
        <v>0.52473307570000005</v>
      </c>
      <c r="K40" s="35">
        <f t="shared" si="14"/>
        <v>0.48301910580000001</v>
      </c>
      <c r="L40" s="35">
        <f t="shared" si="3"/>
        <v>0.51305316412800006</v>
      </c>
      <c r="M40" s="82"/>
      <c r="N40" s="24">
        <v>91</v>
      </c>
      <c r="O40" s="8">
        <f t="shared" si="4"/>
        <v>0.5530242043000001</v>
      </c>
      <c r="P40" s="8">
        <f t="shared" si="5"/>
        <v>0.50906121419999995</v>
      </c>
      <c r="Q40" s="8">
        <f t="shared" si="6"/>
        <v>0.54071456707200005</v>
      </c>
      <c r="R40" s="82"/>
      <c r="S40" s="24">
        <v>91</v>
      </c>
      <c r="T40" s="36">
        <f t="shared" si="7"/>
        <v>0.47353960490000002</v>
      </c>
      <c r="U40" s="36">
        <f t="shared" si="8"/>
        <v>0.43589529059999998</v>
      </c>
      <c r="V40" s="36">
        <f t="shared" si="9"/>
        <v>0.462999196896</v>
      </c>
      <c r="W40" s="82"/>
      <c r="X40" s="24">
        <v>91</v>
      </c>
      <c r="Y40" s="37">
        <f t="shared" si="10"/>
        <v>0.47353960490000002</v>
      </c>
      <c r="Z40" s="37">
        <f t="shared" si="11"/>
        <v>0.43589529059999998</v>
      </c>
      <c r="AA40" s="37">
        <f t="shared" si="12"/>
        <v>0.462999196896</v>
      </c>
    </row>
    <row r="41" spans="1:27" x14ac:dyDescent="0.2">
      <c r="A41" s="24">
        <v>92</v>
      </c>
      <c r="B41" s="24">
        <v>97</v>
      </c>
      <c r="C41" s="1"/>
      <c r="D41" s="24">
        <v>92</v>
      </c>
      <c r="E41" s="161">
        <f t="shared" si="0"/>
        <v>0.56183628800000007</v>
      </c>
      <c r="F41" s="161">
        <f t="shared" si="1"/>
        <v>0.51646924380000003</v>
      </c>
      <c r="G41" s="162">
        <f t="shared" si="2"/>
        <v>0.54913351562400003</v>
      </c>
      <c r="H41" s="82"/>
      <c r="I41" s="24">
        <v>92</v>
      </c>
      <c r="J41" s="35">
        <f t="shared" si="13"/>
        <v>0.51979865600000008</v>
      </c>
      <c r="K41" s="35">
        <f t="shared" si="14"/>
        <v>0.47782605810000006</v>
      </c>
      <c r="L41" s="35">
        <f t="shared" si="3"/>
        <v>0.50804632858800014</v>
      </c>
      <c r="M41" s="82"/>
      <c r="N41" s="24">
        <v>92</v>
      </c>
      <c r="O41" s="8">
        <f t="shared" si="4"/>
        <v>0.547823744</v>
      </c>
      <c r="P41" s="8">
        <f t="shared" si="5"/>
        <v>0.5035881819000001</v>
      </c>
      <c r="Q41" s="8">
        <f t="shared" si="6"/>
        <v>0.53543778661200003</v>
      </c>
      <c r="R41" s="82"/>
      <c r="S41" s="24">
        <v>92</v>
      </c>
      <c r="T41" s="36">
        <f t="shared" si="7"/>
        <v>0.46908659200000002</v>
      </c>
      <c r="U41" s="36">
        <f t="shared" si="8"/>
        <v>0.43120888170000005</v>
      </c>
      <c r="V41" s="36">
        <f t="shared" si="9"/>
        <v>0.45848083311600002</v>
      </c>
      <c r="W41" s="82"/>
      <c r="X41" s="24">
        <v>92</v>
      </c>
      <c r="Y41" s="37">
        <f t="shared" si="10"/>
        <v>0.46908659200000002</v>
      </c>
      <c r="Z41" s="37">
        <f t="shared" si="11"/>
        <v>0.43120888170000005</v>
      </c>
      <c r="AA41" s="37">
        <f t="shared" si="12"/>
        <v>0.45848083311600002</v>
      </c>
    </row>
    <row r="42" spans="1:27" x14ac:dyDescent="0.2">
      <c r="A42" s="24">
        <v>93</v>
      </c>
      <c r="B42" s="24">
        <v>98</v>
      </c>
      <c r="C42" s="1"/>
      <c r="D42" s="24">
        <v>93</v>
      </c>
      <c r="E42" s="161">
        <f t="shared" si="0"/>
        <v>0.55644689860000007</v>
      </c>
      <c r="F42" s="161">
        <f t="shared" si="1"/>
        <v>0.51080031040000007</v>
      </c>
      <c r="G42" s="162">
        <f t="shared" si="2"/>
        <v>0.54366585390400002</v>
      </c>
      <c r="H42" s="82"/>
      <c r="I42" s="24">
        <v>93</v>
      </c>
      <c r="J42" s="35">
        <f t="shared" si="13"/>
        <v>0.51481251070000011</v>
      </c>
      <c r="K42" s="35">
        <f t="shared" si="14"/>
        <v>0.47258128480000017</v>
      </c>
      <c r="L42" s="35">
        <f t="shared" si="3"/>
        <v>0.50298776744800011</v>
      </c>
      <c r="M42" s="82"/>
      <c r="N42" s="24">
        <v>93</v>
      </c>
      <c r="O42" s="8">
        <f t="shared" si="4"/>
        <v>0.54256876930000009</v>
      </c>
      <c r="P42" s="8">
        <f t="shared" si="5"/>
        <v>0.4980606352000001</v>
      </c>
      <c r="Q42" s="8">
        <f t="shared" si="6"/>
        <v>0.53010649175200009</v>
      </c>
      <c r="R42" s="82"/>
      <c r="S42" s="24">
        <v>93</v>
      </c>
      <c r="T42" s="36">
        <f t="shared" si="7"/>
        <v>0.46458689990000007</v>
      </c>
      <c r="U42" s="36">
        <f t="shared" si="8"/>
        <v>0.4264757936000001</v>
      </c>
      <c r="V42" s="36">
        <f t="shared" si="9"/>
        <v>0.45391579013600009</v>
      </c>
      <c r="W42" s="82"/>
      <c r="X42" s="24">
        <v>93</v>
      </c>
      <c r="Y42" s="37">
        <f t="shared" si="10"/>
        <v>0.46458689990000007</v>
      </c>
      <c r="Z42" s="37">
        <f t="shared" si="11"/>
        <v>0.4264757936000001</v>
      </c>
      <c r="AA42" s="37">
        <f t="shared" si="12"/>
        <v>0.45391579013600009</v>
      </c>
    </row>
    <row r="43" spans="1:27" x14ac:dyDescent="0.2">
      <c r="A43" s="24">
        <v>94</v>
      </c>
      <c r="B43" s="24">
        <v>99</v>
      </c>
      <c r="C43" s="1"/>
      <c r="D43" s="24">
        <v>94</v>
      </c>
      <c r="E43" s="161">
        <f t="shared" si="0"/>
        <v>0.55100160040000001</v>
      </c>
      <c r="F43" s="161">
        <f t="shared" si="1"/>
        <v>0.50507546820000004</v>
      </c>
      <c r="G43" s="162">
        <f t="shared" si="2"/>
        <v>0.53814228338399994</v>
      </c>
      <c r="H43" s="82"/>
      <c r="I43" s="24">
        <v>94</v>
      </c>
      <c r="J43" s="35">
        <f t="shared" si="13"/>
        <v>0.50977463980000004</v>
      </c>
      <c r="K43" s="35">
        <f t="shared" si="14"/>
        <v>0.46728478590000011</v>
      </c>
      <c r="L43" s="35">
        <f t="shared" si="3"/>
        <v>0.49787748070800009</v>
      </c>
      <c r="M43" s="82"/>
      <c r="N43" s="24">
        <v>94</v>
      </c>
      <c r="O43" s="8">
        <f t="shared" si="4"/>
        <v>0.53725928020000002</v>
      </c>
      <c r="P43" s="8">
        <f t="shared" si="5"/>
        <v>0.49247857410000007</v>
      </c>
      <c r="Q43" s="8">
        <f t="shared" si="6"/>
        <v>0.52472068249199999</v>
      </c>
      <c r="R43" s="82"/>
      <c r="S43" s="24">
        <v>94</v>
      </c>
      <c r="T43" s="36">
        <f t="shared" si="7"/>
        <v>0.46004052860000005</v>
      </c>
      <c r="U43" s="36">
        <f t="shared" si="8"/>
        <v>0.42169602630000003</v>
      </c>
      <c r="V43" s="36">
        <f t="shared" si="9"/>
        <v>0.44930406795600003</v>
      </c>
      <c r="W43" s="82"/>
      <c r="X43" s="24">
        <v>94</v>
      </c>
      <c r="Y43" s="37">
        <f t="shared" si="10"/>
        <v>0.46004052860000005</v>
      </c>
      <c r="Z43" s="37">
        <f t="shared" si="11"/>
        <v>0.42169602630000003</v>
      </c>
      <c r="AA43" s="37">
        <f t="shared" si="12"/>
        <v>0.44930406795600003</v>
      </c>
    </row>
    <row r="44" spans="1:27" x14ac:dyDescent="0.2">
      <c r="A44" s="24">
        <v>95</v>
      </c>
      <c r="B44" s="24">
        <v>100</v>
      </c>
      <c r="C44" s="1"/>
      <c r="D44" s="24">
        <v>95</v>
      </c>
      <c r="E44" s="161">
        <f t="shared" si="0"/>
        <v>0.54550039340000012</v>
      </c>
      <c r="F44" s="161">
        <f t="shared" si="1"/>
        <v>0.49929471720000013</v>
      </c>
      <c r="G44" s="162">
        <f t="shared" si="2"/>
        <v>0.53256280406400014</v>
      </c>
      <c r="H44" s="82"/>
      <c r="I44" s="24">
        <v>95</v>
      </c>
      <c r="J44" s="35">
        <f t="shared" si="13"/>
        <v>0.50468504330000008</v>
      </c>
      <c r="K44" s="35">
        <f t="shared" si="14"/>
        <v>0.46193656140000011</v>
      </c>
      <c r="L44" s="35">
        <f t="shared" si="3"/>
        <v>0.49271546836800012</v>
      </c>
      <c r="M44" s="82"/>
      <c r="N44" s="24">
        <v>95</v>
      </c>
      <c r="O44" s="8">
        <f t="shared" si="4"/>
        <v>0.53189527670000003</v>
      </c>
      <c r="P44" s="8">
        <f t="shared" si="5"/>
        <v>0.4868419986000001</v>
      </c>
      <c r="Q44" s="8">
        <f t="shared" si="6"/>
        <v>0.51928035883200008</v>
      </c>
      <c r="R44" s="82"/>
      <c r="S44" s="24">
        <v>95</v>
      </c>
      <c r="T44" s="36">
        <f t="shared" si="7"/>
        <v>0.45544747810000008</v>
      </c>
      <c r="U44" s="36">
        <f t="shared" si="8"/>
        <v>0.41686957980000006</v>
      </c>
      <c r="V44" s="36">
        <f t="shared" si="9"/>
        <v>0.44464566657600008</v>
      </c>
      <c r="W44" s="82"/>
      <c r="X44" s="24">
        <v>95</v>
      </c>
      <c r="Y44" s="37">
        <f t="shared" si="10"/>
        <v>0.45544747810000008</v>
      </c>
      <c r="Z44" s="37">
        <f t="shared" si="11"/>
        <v>0.41686957980000006</v>
      </c>
      <c r="AA44" s="37">
        <f t="shared" si="12"/>
        <v>0.44464566657600008</v>
      </c>
    </row>
    <row r="45" spans="1:27" x14ac:dyDescent="0.2">
      <c r="A45" s="24">
        <v>96</v>
      </c>
      <c r="B45" s="24">
        <v>101</v>
      </c>
      <c r="C45" s="1"/>
      <c r="D45" s="24">
        <v>96</v>
      </c>
      <c r="E45" s="161">
        <f t="shared" si="0"/>
        <v>0.53994327760000005</v>
      </c>
      <c r="F45" s="161">
        <f t="shared" si="1"/>
        <v>0.49345805740000004</v>
      </c>
      <c r="G45" s="162">
        <f t="shared" si="2"/>
        <v>0.52692741594400005</v>
      </c>
      <c r="H45" s="82"/>
      <c r="I45" s="24">
        <v>96</v>
      </c>
      <c r="J45" s="35">
        <f t="shared" si="13"/>
        <v>0.49954372120000012</v>
      </c>
      <c r="K45" s="35">
        <f t="shared" si="14"/>
        <v>0.45653661130000006</v>
      </c>
      <c r="L45" s="35">
        <f t="shared" si="3"/>
        <v>0.4875017304280001</v>
      </c>
      <c r="M45" s="82"/>
      <c r="N45" s="24">
        <v>96</v>
      </c>
      <c r="O45" s="8">
        <f t="shared" si="4"/>
        <v>0.52647675880000011</v>
      </c>
      <c r="P45" s="8">
        <f t="shared" si="5"/>
        <v>0.48115090869999999</v>
      </c>
      <c r="Q45" s="8">
        <f t="shared" si="6"/>
        <v>0.51378552077200013</v>
      </c>
      <c r="R45" s="82"/>
      <c r="S45" s="24">
        <v>96</v>
      </c>
      <c r="T45" s="36">
        <f t="shared" si="7"/>
        <v>0.45080774840000004</v>
      </c>
      <c r="U45" s="36">
        <f t="shared" si="8"/>
        <v>0.41199645410000002</v>
      </c>
      <c r="V45" s="36">
        <f t="shared" si="9"/>
        <v>0.43994058599600006</v>
      </c>
      <c r="W45" s="82"/>
      <c r="X45" s="24">
        <v>96</v>
      </c>
      <c r="Y45" s="37">
        <f t="shared" si="10"/>
        <v>0.45080774840000004</v>
      </c>
      <c r="Z45" s="37">
        <f t="shared" si="11"/>
        <v>0.41199645410000002</v>
      </c>
      <c r="AA45" s="37">
        <f t="shared" si="12"/>
        <v>0.43994058599600006</v>
      </c>
    </row>
    <row r="46" spans="1:27" x14ac:dyDescent="0.2">
      <c r="A46" s="24">
        <v>97</v>
      </c>
      <c r="B46" s="24">
        <v>102</v>
      </c>
      <c r="C46" s="1"/>
      <c r="D46" s="24">
        <v>97</v>
      </c>
      <c r="E46" s="161">
        <f t="shared" si="0"/>
        <v>0.53433025300000003</v>
      </c>
      <c r="F46" s="161">
        <f t="shared" si="1"/>
        <v>0.4875654888</v>
      </c>
      <c r="G46" s="162">
        <f t="shared" si="2"/>
        <v>0.52123611902400002</v>
      </c>
      <c r="H46" s="82"/>
      <c r="I46" s="24">
        <v>97</v>
      </c>
      <c r="J46" s="35">
        <f t="shared" si="13"/>
        <v>0.4943506735</v>
      </c>
      <c r="K46" s="35">
        <f t="shared" si="14"/>
        <v>0.45108493560000001</v>
      </c>
      <c r="L46" s="35">
        <f t="shared" si="3"/>
        <v>0.48223626688800003</v>
      </c>
      <c r="M46" s="82"/>
      <c r="N46" s="24">
        <v>97</v>
      </c>
      <c r="O46" s="8">
        <f t="shared" si="4"/>
        <v>0.52100372649999993</v>
      </c>
      <c r="P46" s="8">
        <f t="shared" si="5"/>
        <v>0.47540530440000001</v>
      </c>
      <c r="Q46" s="8">
        <f t="shared" si="6"/>
        <v>0.50823616831200003</v>
      </c>
      <c r="R46" s="82"/>
      <c r="S46" s="24">
        <v>97</v>
      </c>
      <c r="T46" s="36">
        <f t="shared" si="7"/>
        <v>0.44612133949999999</v>
      </c>
      <c r="U46" s="36">
        <f t="shared" si="8"/>
        <v>0.40707664919999997</v>
      </c>
      <c r="V46" s="36">
        <f t="shared" si="9"/>
        <v>0.43518882621599997</v>
      </c>
      <c r="W46" s="82"/>
      <c r="X46" s="24">
        <v>97</v>
      </c>
      <c r="Y46" s="37">
        <f t="shared" si="10"/>
        <v>0.44612133949999999</v>
      </c>
      <c r="Z46" s="37">
        <f t="shared" si="11"/>
        <v>0.40707664919999997</v>
      </c>
      <c r="AA46" s="37">
        <f t="shared" si="12"/>
        <v>0.43518882621599997</v>
      </c>
    </row>
    <row r="47" spans="1:27" x14ac:dyDescent="0.2">
      <c r="A47" s="24">
        <v>98</v>
      </c>
      <c r="B47" s="24">
        <v>103</v>
      </c>
      <c r="C47" s="1"/>
      <c r="D47" s="24">
        <v>98</v>
      </c>
      <c r="E47" s="161">
        <f t="shared" si="0"/>
        <v>0.52866131960000007</v>
      </c>
      <c r="F47" s="161">
        <f t="shared" si="1"/>
        <v>0.48161701140000007</v>
      </c>
      <c r="G47" s="162">
        <f t="shared" si="2"/>
        <v>0.51548891330400004</v>
      </c>
      <c r="H47" s="82"/>
      <c r="I47" s="24">
        <v>98</v>
      </c>
      <c r="J47" s="35">
        <f t="shared" si="13"/>
        <v>0.48910590020000005</v>
      </c>
      <c r="K47" s="35">
        <f t="shared" si="14"/>
        <v>0.44558153430000008</v>
      </c>
      <c r="L47" s="35">
        <f t="shared" si="3"/>
        <v>0.47691907774800008</v>
      </c>
      <c r="M47" s="82"/>
      <c r="N47" s="24">
        <v>98</v>
      </c>
      <c r="O47" s="8">
        <f t="shared" si="4"/>
        <v>0.51547617980000005</v>
      </c>
      <c r="P47" s="8">
        <f t="shared" si="5"/>
        <v>0.46960518570000004</v>
      </c>
      <c r="Q47" s="8">
        <f t="shared" si="6"/>
        <v>0.502632301452</v>
      </c>
      <c r="R47" s="82"/>
      <c r="S47" s="24">
        <v>98</v>
      </c>
      <c r="T47" s="36">
        <f t="shared" si="7"/>
        <v>0.44138825140000004</v>
      </c>
      <c r="U47" s="36">
        <f t="shared" si="8"/>
        <v>0.40211016510000003</v>
      </c>
      <c r="V47" s="36">
        <f t="shared" si="9"/>
        <v>0.43039038723600004</v>
      </c>
      <c r="W47" s="82"/>
      <c r="X47" s="24">
        <v>98</v>
      </c>
      <c r="Y47" s="37">
        <f t="shared" si="10"/>
        <v>0.44138825140000004</v>
      </c>
      <c r="Z47" s="37">
        <f t="shared" si="11"/>
        <v>0.40211016510000003</v>
      </c>
      <c r="AA47" s="37">
        <f t="shared" si="12"/>
        <v>0.43039038723600004</v>
      </c>
    </row>
    <row r="48" spans="1:27" x14ac:dyDescent="0.2">
      <c r="A48" s="24">
        <v>99</v>
      </c>
      <c r="B48" s="24">
        <v>104</v>
      </c>
      <c r="C48" s="1"/>
      <c r="D48" s="24">
        <v>99</v>
      </c>
      <c r="E48" s="161">
        <f t="shared" si="0"/>
        <v>0.52293647740000004</v>
      </c>
      <c r="F48" s="161">
        <f t="shared" si="1"/>
        <v>0.47561262520000003</v>
      </c>
      <c r="G48" s="162">
        <f t="shared" si="2"/>
        <v>0.509685798784</v>
      </c>
      <c r="H48" s="82"/>
      <c r="I48" s="24">
        <v>99</v>
      </c>
      <c r="J48" s="35">
        <f t="shared" si="13"/>
        <v>0.48380940130000005</v>
      </c>
      <c r="K48" s="35">
        <f t="shared" si="14"/>
        <v>0.44002640740000004</v>
      </c>
      <c r="L48" s="35">
        <f t="shared" si="3"/>
        <v>0.47155016300800007</v>
      </c>
      <c r="M48" s="82"/>
      <c r="N48" s="24">
        <v>99</v>
      </c>
      <c r="O48" s="8">
        <f t="shared" si="4"/>
        <v>0.50989411870000001</v>
      </c>
      <c r="P48" s="8">
        <f t="shared" si="5"/>
        <v>0.46375055260000003</v>
      </c>
      <c r="Q48" s="8">
        <f t="shared" si="6"/>
        <v>0.49697392019200004</v>
      </c>
      <c r="R48" s="82"/>
      <c r="S48" s="24">
        <v>99</v>
      </c>
      <c r="T48" s="36">
        <f t="shared" si="7"/>
        <v>0.43660848409999997</v>
      </c>
      <c r="U48" s="36">
        <f t="shared" si="8"/>
        <v>0.39709700180000002</v>
      </c>
      <c r="V48" s="36">
        <f t="shared" si="9"/>
        <v>0.42554526905599999</v>
      </c>
      <c r="W48" s="82"/>
      <c r="X48" s="24">
        <v>99</v>
      </c>
      <c r="Y48" s="37">
        <f t="shared" si="10"/>
        <v>0.43660848409999997</v>
      </c>
      <c r="Z48" s="37">
        <f t="shared" si="11"/>
        <v>0.39709700180000002</v>
      </c>
      <c r="AA48" s="37">
        <f t="shared" si="12"/>
        <v>0.42554526905599999</v>
      </c>
    </row>
    <row r="49" spans="1:27" x14ac:dyDescent="0.2">
      <c r="A49" s="24">
        <v>100</v>
      </c>
      <c r="B49" s="24">
        <v>105</v>
      </c>
      <c r="C49" s="1"/>
      <c r="D49" s="24">
        <v>100</v>
      </c>
      <c r="E49" s="161">
        <f t="shared" si="0"/>
        <v>0.51715572640000007</v>
      </c>
      <c r="F49" s="161">
        <f t="shared" si="1"/>
        <v>0.46955233020000003</v>
      </c>
      <c r="G49" s="162">
        <f t="shared" si="2"/>
        <v>0.50382677546400001</v>
      </c>
      <c r="H49" s="82"/>
      <c r="I49" s="24">
        <v>100</v>
      </c>
      <c r="J49" s="35">
        <f t="shared" si="13"/>
        <v>0.47846117680000005</v>
      </c>
      <c r="K49" s="35">
        <f t="shared" si="14"/>
        <v>0.43441955490000006</v>
      </c>
      <c r="L49" s="35">
        <f t="shared" si="3"/>
        <v>0.46612952266800006</v>
      </c>
      <c r="M49" s="82"/>
      <c r="N49" s="24">
        <v>100</v>
      </c>
      <c r="O49" s="8">
        <f t="shared" si="4"/>
        <v>0.50425754320000005</v>
      </c>
      <c r="P49" s="8">
        <f t="shared" si="5"/>
        <v>0.45784140510000004</v>
      </c>
      <c r="Q49" s="8">
        <f t="shared" si="6"/>
        <v>0.49126102453200005</v>
      </c>
      <c r="R49" s="82"/>
      <c r="S49" s="24">
        <v>100</v>
      </c>
      <c r="T49" s="36">
        <f t="shared" si="7"/>
        <v>0.4317820376</v>
      </c>
      <c r="U49" s="36">
        <f t="shared" si="8"/>
        <v>0.39203715930000005</v>
      </c>
      <c r="V49" s="36">
        <f t="shared" si="9"/>
        <v>0.42065347167599998</v>
      </c>
      <c r="W49" s="82"/>
      <c r="X49" s="24">
        <v>100</v>
      </c>
      <c r="Y49" s="37">
        <f t="shared" si="10"/>
        <v>0.4317820376</v>
      </c>
      <c r="Z49" s="37">
        <f t="shared" si="11"/>
        <v>0.39203715930000005</v>
      </c>
      <c r="AA49" s="37">
        <f t="shared" si="12"/>
        <v>0.42065347167599998</v>
      </c>
    </row>
    <row r="50" spans="1:27" x14ac:dyDescent="0.2">
      <c r="A50" s="24">
        <v>101</v>
      </c>
      <c r="B50" s="24">
        <v>106</v>
      </c>
      <c r="C50" s="1"/>
      <c r="D50" s="24">
        <v>101</v>
      </c>
      <c r="E50" s="161">
        <f t="shared" si="0"/>
        <v>0.51131906660000004</v>
      </c>
      <c r="F50" s="161">
        <f t="shared" si="1"/>
        <v>0.46343612640000004</v>
      </c>
      <c r="G50" s="162">
        <f t="shared" si="2"/>
        <v>0.49791184334400007</v>
      </c>
      <c r="H50" s="82"/>
      <c r="I50" s="24">
        <v>101</v>
      </c>
      <c r="J50" s="35">
        <f t="shared" si="13"/>
        <v>0.47306122670000006</v>
      </c>
      <c r="K50" s="35">
        <f t="shared" si="14"/>
        <v>0.42876097680000008</v>
      </c>
      <c r="L50" s="35">
        <f t="shared" si="3"/>
        <v>0.46065715672800006</v>
      </c>
      <c r="M50" s="82"/>
      <c r="N50" s="24">
        <v>101</v>
      </c>
      <c r="O50" s="8">
        <f t="shared" si="4"/>
        <v>0.49856645330000005</v>
      </c>
      <c r="P50" s="8">
        <f t="shared" si="5"/>
        <v>0.45187774320000007</v>
      </c>
      <c r="Q50" s="8">
        <f t="shared" si="6"/>
        <v>0.48549361447200007</v>
      </c>
      <c r="R50" s="82"/>
      <c r="S50" s="24">
        <v>101</v>
      </c>
      <c r="T50" s="36">
        <f t="shared" si="7"/>
        <v>0.42690891190000002</v>
      </c>
      <c r="U50" s="36">
        <f t="shared" si="8"/>
        <v>0.38693063760000002</v>
      </c>
      <c r="V50" s="36">
        <f t="shared" si="9"/>
        <v>0.41571499509600002</v>
      </c>
      <c r="W50" s="82"/>
      <c r="X50" s="24">
        <v>101</v>
      </c>
      <c r="Y50" s="37">
        <f t="shared" si="10"/>
        <v>0.42690891190000002</v>
      </c>
      <c r="Z50" s="37">
        <f t="shared" si="11"/>
        <v>0.38693063760000002</v>
      </c>
      <c r="AA50" s="37">
        <f t="shared" si="12"/>
        <v>0.41571499509600002</v>
      </c>
    </row>
    <row r="51" spans="1:27" x14ac:dyDescent="0.2">
      <c r="A51" s="24">
        <v>102</v>
      </c>
      <c r="B51" s="24">
        <v>107</v>
      </c>
      <c r="D51" s="24">
        <v>102</v>
      </c>
      <c r="E51" s="161">
        <f t="shared" si="0"/>
        <v>0.50542649800000017</v>
      </c>
      <c r="F51" s="161">
        <f t="shared" si="1"/>
        <v>0.45726401379999998</v>
      </c>
      <c r="G51" s="162">
        <f t="shared" si="2"/>
        <v>0.49194100242400007</v>
      </c>
      <c r="H51" s="82"/>
      <c r="I51" s="24">
        <v>102</v>
      </c>
      <c r="J51" s="35">
        <f t="shared" si="13"/>
        <v>0.46760955100000012</v>
      </c>
      <c r="K51" s="35">
        <f t="shared" si="14"/>
        <v>0.4230506731</v>
      </c>
      <c r="L51" s="35">
        <f t="shared" si="3"/>
        <v>0.45513306518800012</v>
      </c>
      <c r="M51" s="82"/>
      <c r="N51" s="24">
        <v>102</v>
      </c>
      <c r="O51" s="8">
        <f t="shared" si="4"/>
        <v>0.49282084900000012</v>
      </c>
      <c r="P51" s="8">
        <f t="shared" si="5"/>
        <v>0.44585956689999995</v>
      </c>
      <c r="Q51" s="8">
        <f t="shared" si="6"/>
        <v>0.47967169001200005</v>
      </c>
      <c r="R51" s="82"/>
      <c r="S51" s="24">
        <v>102</v>
      </c>
      <c r="T51" s="36">
        <f t="shared" si="7"/>
        <v>0.42198910700000009</v>
      </c>
      <c r="U51" s="36">
        <f t="shared" si="8"/>
        <v>0.38177743669999997</v>
      </c>
      <c r="V51" s="36">
        <f t="shared" si="9"/>
        <v>0.41072983931600004</v>
      </c>
      <c r="W51" s="82"/>
      <c r="X51" s="24">
        <v>102</v>
      </c>
      <c r="Y51" s="37">
        <f t="shared" si="10"/>
        <v>0.42198910700000009</v>
      </c>
      <c r="Z51" s="37">
        <f t="shared" si="11"/>
        <v>0.38177743669999997</v>
      </c>
      <c r="AA51" s="37">
        <f t="shared" si="12"/>
        <v>0.41072983931600004</v>
      </c>
    </row>
  </sheetData>
  <mergeCells count="5">
    <mergeCell ref="I11:L11"/>
    <mergeCell ref="N11:Q11"/>
    <mergeCell ref="S11:V11"/>
    <mergeCell ref="X11:AA11"/>
    <mergeCell ref="D11:G11"/>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672E-F3BB-4815-891B-E4333BEAE9C9}">
  <sheetPr codeName="Sheet10"/>
  <dimension ref="D1:Y134"/>
  <sheetViews>
    <sheetView showGridLines="0" zoomScale="85" zoomScaleNormal="85" workbookViewId="0">
      <selection activeCell="W18" sqref="W18"/>
    </sheetView>
  </sheetViews>
  <sheetFormatPr baseColWidth="10" defaultColWidth="8.83203125" defaultRowHeight="15" x14ac:dyDescent="0.2"/>
  <cols>
    <col min="4" max="6" width="8.83203125" style="2"/>
    <col min="7" max="7" width="2.1640625" customWidth="1"/>
    <col min="8" max="8" width="8.83203125" style="14" customWidth="1"/>
    <col min="9" max="9" width="8.83203125" style="14"/>
    <col min="10" max="10" width="2.5" customWidth="1"/>
    <col min="11" max="13" width="8.83203125" style="15"/>
    <col min="14" max="14" width="2.1640625" customWidth="1"/>
    <col min="15" max="20" width="8.83203125" style="17"/>
    <col min="21" max="21" width="2.1640625" customWidth="1"/>
  </cols>
  <sheetData>
    <row r="1" spans="4:25" x14ac:dyDescent="0.2">
      <c r="D1"/>
      <c r="E1"/>
      <c r="F1"/>
      <c r="H1"/>
      <c r="I1"/>
      <c r="K1"/>
      <c r="L1"/>
      <c r="M1"/>
      <c r="O1"/>
      <c r="P1"/>
      <c r="Q1"/>
      <c r="R1"/>
      <c r="S1"/>
      <c r="T1"/>
    </row>
    <row r="2" spans="4:25" x14ac:dyDescent="0.2">
      <c r="V2" s="454" t="s">
        <v>908</v>
      </c>
      <c r="W2" s="454"/>
      <c r="X2" s="454"/>
      <c r="Y2" s="454"/>
    </row>
    <row r="3" spans="4:25" ht="21" x14ac:dyDescent="0.25">
      <c r="D3" s="460" t="s">
        <v>909</v>
      </c>
      <c r="E3" s="460"/>
      <c r="F3" s="460"/>
      <c r="G3" s="16"/>
      <c r="H3" s="458" t="s">
        <v>910</v>
      </c>
      <c r="I3" s="458"/>
      <c r="J3" s="16"/>
      <c r="K3" s="461" t="s">
        <v>911</v>
      </c>
      <c r="L3" s="461"/>
      <c r="M3" s="461"/>
      <c r="O3" s="456" t="s">
        <v>912</v>
      </c>
      <c r="P3" s="456"/>
      <c r="Q3" s="456"/>
      <c r="R3" s="456"/>
      <c r="S3" s="456"/>
      <c r="T3" s="456"/>
      <c r="V3" s="17"/>
      <c r="W3" s="17"/>
      <c r="X3" s="17"/>
      <c r="Y3" s="17"/>
    </row>
    <row r="4" spans="4:25" x14ac:dyDescent="0.2">
      <c r="D4" s="13"/>
      <c r="K4" s="459"/>
      <c r="L4" s="459"/>
      <c r="M4" s="459"/>
      <c r="V4" s="17"/>
      <c r="W4" s="17"/>
      <c r="X4" s="17"/>
      <c r="Y4" s="17"/>
    </row>
    <row r="5" spans="4:25" x14ac:dyDescent="0.2">
      <c r="D5" s="13"/>
      <c r="V5" s="17"/>
      <c r="W5" s="17"/>
      <c r="X5" s="17"/>
      <c r="Y5" s="17"/>
    </row>
    <row r="6" spans="4:25" x14ac:dyDescent="0.2">
      <c r="D6" s="13"/>
      <c r="V6" s="17"/>
      <c r="W6" s="17"/>
      <c r="X6" s="17"/>
      <c r="Y6" s="17"/>
    </row>
    <row r="7" spans="4:25" x14ac:dyDescent="0.2">
      <c r="D7" s="13"/>
      <c r="V7" s="17"/>
      <c r="W7" s="17"/>
      <c r="X7" s="17"/>
      <c r="Y7" s="17"/>
    </row>
    <row r="8" spans="4:25" x14ac:dyDescent="0.2">
      <c r="V8" s="17"/>
      <c r="W8" s="17"/>
      <c r="X8" s="17"/>
      <c r="Y8" s="17"/>
    </row>
    <row r="9" spans="4:25" x14ac:dyDescent="0.2">
      <c r="V9" s="17"/>
      <c r="W9" s="17"/>
      <c r="X9" s="17"/>
      <c r="Y9" s="17"/>
    </row>
    <row r="10" spans="4:25" x14ac:dyDescent="0.2">
      <c r="V10" s="17"/>
      <c r="W10" s="19"/>
      <c r="X10" s="17"/>
      <c r="Y10" s="17"/>
    </row>
    <row r="11" spans="4:25" x14ac:dyDescent="0.2">
      <c r="V11" s="17"/>
      <c r="W11" s="17"/>
      <c r="X11" s="17"/>
      <c r="Y11" s="17"/>
    </row>
    <row r="12" spans="4:25" x14ac:dyDescent="0.2">
      <c r="V12" s="17"/>
      <c r="W12" s="17"/>
      <c r="X12" s="17"/>
      <c r="Y12" s="17"/>
    </row>
    <row r="13" spans="4:25" x14ac:dyDescent="0.2">
      <c r="V13" s="17"/>
      <c r="W13" s="17"/>
      <c r="X13" s="17"/>
      <c r="Y13" s="17"/>
    </row>
    <row r="14" spans="4:25" x14ac:dyDescent="0.2">
      <c r="V14" s="17"/>
      <c r="W14" s="17"/>
      <c r="X14" s="17"/>
      <c r="Y14" s="17"/>
    </row>
    <row r="15" spans="4:25" x14ac:dyDescent="0.2">
      <c r="V15" s="17"/>
      <c r="W15" s="17"/>
      <c r="X15" s="17"/>
      <c r="Y15" s="17"/>
    </row>
    <row r="16" spans="4:25" x14ac:dyDescent="0.2">
      <c r="D16"/>
      <c r="E16"/>
      <c r="F16"/>
      <c r="H16"/>
      <c r="I16"/>
      <c r="K16"/>
      <c r="L16"/>
      <c r="M16"/>
      <c r="O16"/>
      <c r="P16"/>
      <c r="Q16"/>
      <c r="R16"/>
      <c r="S16"/>
      <c r="T16"/>
    </row>
    <row r="17" spans="4:25" x14ac:dyDescent="0.2">
      <c r="D17"/>
      <c r="E17"/>
      <c r="F17"/>
      <c r="H17"/>
      <c r="I17"/>
      <c r="K17"/>
      <c r="L17"/>
      <c r="M17"/>
      <c r="O17"/>
      <c r="P17"/>
      <c r="Q17"/>
      <c r="R17"/>
      <c r="S17"/>
      <c r="T17"/>
    </row>
    <row r="18" spans="4:25" x14ac:dyDescent="0.2">
      <c r="D18"/>
      <c r="E18"/>
      <c r="F18"/>
      <c r="H18"/>
      <c r="I18"/>
      <c r="K18"/>
      <c r="L18"/>
      <c r="M18"/>
      <c r="O18"/>
      <c r="P18"/>
      <c r="Q18"/>
      <c r="R18"/>
      <c r="S18"/>
      <c r="T18"/>
    </row>
    <row r="19" spans="4:25" x14ac:dyDescent="0.2">
      <c r="D19"/>
      <c r="E19"/>
      <c r="F19"/>
      <c r="H19"/>
      <c r="I19"/>
      <c r="K19"/>
      <c r="L19"/>
      <c r="M19"/>
      <c r="O19"/>
      <c r="P19"/>
      <c r="Q19"/>
      <c r="R19"/>
      <c r="S19"/>
      <c r="T19"/>
    </row>
    <row r="20" spans="4:25" x14ac:dyDescent="0.2">
      <c r="D20"/>
      <c r="E20"/>
      <c r="F20"/>
      <c r="H20"/>
      <c r="I20"/>
      <c r="K20"/>
      <c r="L20"/>
      <c r="M20"/>
      <c r="O20"/>
      <c r="P20"/>
      <c r="Q20"/>
      <c r="R20"/>
      <c r="S20"/>
      <c r="T20"/>
    </row>
    <row r="21" spans="4:25" x14ac:dyDescent="0.2">
      <c r="D21"/>
      <c r="E21"/>
      <c r="F21"/>
      <c r="H21"/>
      <c r="I21"/>
      <c r="K21"/>
      <c r="L21"/>
      <c r="M21"/>
      <c r="O21"/>
      <c r="P21"/>
      <c r="Q21"/>
      <c r="R21"/>
      <c r="S21"/>
      <c r="T21"/>
    </row>
    <row r="22" spans="4:25" x14ac:dyDescent="0.2">
      <c r="D22"/>
      <c r="E22"/>
      <c r="F22"/>
      <c r="H22"/>
      <c r="I22"/>
      <c r="K22"/>
      <c r="L22"/>
      <c r="M22"/>
      <c r="O22"/>
      <c r="P22"/>
      <c r="Q22"/>
      <c r="R22"/>
      <c r="S22"/>
      <c r="T22"/>
      <c r="V22" s="455" t="s">
        <v>908</v>
      </c>
      <c r="W22" s="455"/>
      <c r="X22" s="455"/>
      <c r="Y22" s="455"/>
    </row>
    <row r="23" spans="4:25" ht="19" x14ac:dyDescent="0.25">
      <c r="D23" s="457" t="s">
        <v>909</v>
      </c>
      <c r="E23" s="457"/>
      <c r="F23" s="457"/>
      <c r="H23" s="458" t="s">
        <v>910</v>
      </c>
      <c r="I23" s="458"/>
      <c r="J23" s="14"/>
      <c r="K23" s="14"/>
      <c r="L23" s="459" t="s">
        <v>913</v>
      </c>
      <c r="M23" s="459"/>
      <c r="V23" s="17"/>
      <c r="W23" s="17"/>
      <c r="X23" s="17"/>
      <c r="Y23" s="17"/>
    </row>
    <row r="24" spans="4:25" x14ac:dyDescent="0.2">
      <c r="D24" s="18"/>
      <c r="E24" s="18"/>
      <c r="F24" s="18"/>
      <c r="J24" s="14"/>
      <c r="K24" s="14"/>
      <c r="V24" s="17"/>
      <c r="W24" s="17"/>
      <c r="X24" s="17"/>
      <c r="Y24" s="17"/>
    </row>
    <row r="25" spans="4:25" x14ac:dyDescent="0.2">
      <c r="D25" s="18"/>
      <c r="E25" s="18"/>
      <c r="F25" s="18"/>
      <c r="J25" s="14"/>
      <c r="K25" s="14"/>
      <c r="V25" s="17"/>
      <c r="W25" s="17"/>
      <c r="X25" s="17"/>
      <c r="Y25" s="17"/>
    </row>
    <row r="26" spans="4:25" x14ac:dyDescent="0.2">
      <c r="D26" s="18"/>
      <c r="E26" s="18"/>
      <c r="F26" s="18"/>
      <c r="J26" s="14"/>
      <c r="K26" s="14"/>
      <c r="V26" s="17"/>
      <c r="W26" s="17"/>
      <c r="X26" s="17"/>
      <c r="Y26" s="17"/>
    </row>
    <row r="27" spans="4:25" x14ac:dyDescent="0.2">
      <c r="D27" s="18"/>
      <c r="E27" s="18"/>
      <c r="F27" s="18"/>
      <c r="J27" s="14"/>
      <c r="K27" s="14"/>
      <c r="V27" s="17"/>
      <c r="W27" s="17"/>
      <c r="X27" s="17"/>
      <c r="Y27" s="17"/>
    </row>
    <row r="28" spans="4:25" x14ac:dyDescent="0.2">
      <c r="D28" s="18"/>
      <c r="E28" s="18"/>
      <c r="F28" s="18"/>
      <c r="J28" s="14"/>
      <c r="K28" s="14"/>
      <c r="V28" s="17"/>
      <c r="W28" s="17"/>
      <c r="X28" s="17"/>
      <c r="Y28" s="17"/>
    </row>
    <row r="29" spans="4:25" x14ac:dyDescent="0.2">
      <c r="D29" s="18"/>
      <c r="E29" s="18"/>
      <c r="F29" s="18"/>
      <c r="J29" s="14"/>
      <c r="K29" s="14"/>
      <c r="V29" s="17"/>
      <c r="W29" s="17"/>
      <c r="X29" s="17"/>
      <c r="Y29" s="17"/>
    </row>
    <row r="30" spans="4:25" x14ac:dyDescent="0.2">
      <c r="D30" s="18"/>
      <c r="E30" s="18"/>
      <c r="F30" s="18"/>
      <c r="J30" s="14"/>
      <c r="K30" s="14"/>
      <c r="V30" s="17"/>
      <c r="W30" s="17"/>
      <c r="X30" s="17"/>
      <c r="Y30" s="17"/>
    </row>
    <row r="31" spans="4:25" x14ac:dyDescent="0.2">
      <c r="D31" s="18"/>
      <c r="E31" s="18"/>
      <c r="F31" s="18"/>
      <c r="J31" s="14"/>
      <c r="K31" s="14"/>
      <c r="V31" s="17"/>
      <c r="W31" s="17"/>
      <c r="X31" s="17"/>
      <c r="Y31" s="17"/>
    </row>
    <row r="32" spans="4:25" x14ac:dyDescent="0.2">
      <c r="D32" s="18"/>
      <c r="E32" s="18"/>
      <c r="F32" s="18"/>
      <c r="J32" s="14"/>
      <c r="K32" s="14"/>
      <c r="V32" s="17"/>
      <c r="W32" s="17"/>
      <c r="X32" s="17"/>
      <c r="Y32" s="17"/>
    </row>
    <row r="33" spans="4:25" x14ac:dyDescent="0.2">
      <c r="D33" s="18"/>
      <c r="E33" s="18"/>
      <c r="F33" s="18"/>
      <c r="J33" s="14"/>
      <c r="K33" s="14"/>
      <c r="V33" s="17"/>
      <c r="W33" s="17"/>
      <c r="X33" s="17"/>
      <c r="Y33" s="17"/>
    </row>
    <row r="34" spans="4:25" x14ac:dyDescent="0.2">
      <c r="D34" s="18"/>
      <c r="E34" s="18"/>
      <c r="F34" s="18"/>
      <c r="J34" s="14"/>
      <c r="K34" s="14"/>
      <c r="V34" s="17"/>
      <c r="W34" s="17"/>
      <c r="X34" s="17"/>
      <c r="Y34" s="17"/>
    </row>
    <row r="35" spans="4:25" x14ac:dyDescent="0.2">
      <c r="D35" s="18"/>
      <c r="E35" s="18"/>
      <c r="F35" s="18"/>
      <c r="J35" s="14"/>
      <c r="K35" s="14"/>
      <c r="V35" s="17"/>
      <c r="W35" s="17"/>
      <c r="X35" s="17"/>
      <c r="Y35" s="17"/>
    </row>
    <row r="36" spans="4:25" x14ac:dyDescent="0.2">
      <c r="D36" s="18"/>
      <c r="E36" s="18"/>
      <c r="F36" s="18"/>
      <c r="J36" s="14"/>
      <c r="K36" s="14"/>
      <c r="V36" s="17"/>
      <c r="W36" s="17"/>
      <c r="X36" s="17"/>
      <c r="Y36" s="17"/>
    </row>
    <row r="37" spans="4:25" x14ac:dyDescent="0.2">
      <c r="D37"/>
      <c r="E37"/>
      <c r="F37"/>
      <c r="H37"/>
      <c r="I37"/>
      <c r="K37"/>
      <c r="L37"/>
      <c r="M37"/>
      <c r="O37"/>
      <c r="P37"/>
      <c r="Q37"/>
      <c r="R37"/>
      <c r="S37"/>
      <c r="T37"/>
    </row>
    <row r="38" spans="4:25" x14ac:dyDescent="0.2">
      <c r="D38"/>
      <c r="E38"/>
      <c r="F38"/>
      <c r="H38"/>
      <c r="I38"/>
      <c r="K38"/>
      <c r="L38"/>
      <c r="M38"/>
      <c r="O38"/>
      <c r="P38"/>
      <c r="Q38"/>
      <c r="R38"/>
      <c r="S38"/>
      <c r="T38"/>
    </row>
    <row r="39" spans="4:25" x14ac:dyDescent="0.2">
      <c r="D39"/>
      <c r="E39"/>
      <c r="F39"/>
      <c r="H39"/>
      <c r="I39"/>
      <c r="K39"/>
      <c r="L39"/>
      <c r="M39"/>
      <c r="O39"/>
      <c r="P39"/>
      <c r="Q39"/>
      <c r="R39"/>
      <c r="S39"/>
      <c r="T39"/>
    </row>
    <row r="40" spans="4:25" x14ac:dyDescent="0.2">
      <c r="D40"/>
      <c r="E40"/>
      <c r="F40"/>
      <c r="H40"/>
      <c r="I40"/>
      <c r="K40"/>
      <c r="L40"/>
      <c r="M40"/>
      <c r="O40"/>
      <c r="P40"/>
      <c r="Q40"/>
      <c r="R40"/>
      <c r="S40"/>
      <c r="T40"/>
    </row>
    <row r="41" spans="4:25" x14ac:dyDescent="0.2">
      <c r="D41"/>
      <c r="E41"/>
      <c r="F41"/>
      <c r="H41"/>
      <c r="I41"/>
      <c r="K41"/>
      <c r="L41"/>
      <c r="M41"/>
      <c r="O41"/>
      <c r="P41"/>
      <c r="Q41"/>
      <c r="R41"/>
      <c r="S41"/>
      <c r="T41"/>
    </row>
    <row r="42" spans="4:25" x14ac:dyDescent="0.2">
      <c r="D42"/>
      <c r="E42"/>
      <c r="F42"/>
      <c r="H42"/>
      <c r="I42"/>
      <c r="K42"/>
      <c r="L42"/>
      <c r="M42"/>
      <c r="O42"/>
      <c r="P42"/>
      <c r="Q42"/>
      <c r="R42"/>
      <c r="S42"/>
      <c r="T42"/>
    </row>
    <row r="43" spans="4:25" x14ac:dyDescent="0.2">
      <c r="D43"/>
      <c r="E43"/>
      <c r="F43"/>
      <c r="H43"/>
      <c r="I43"/>
      <c r="K43"/>
      <c r="L43"/>
      <c r="M43"/>
      <c r="O43"/>
      <c r="P43"/>
      <c r="Q43"/>
      <c r="R43"/>
      <c r="S43"/>
      <c r="T43"/>
    </row>
    <row r="44" spans="4:25" x14ac:dyDescent="0.2">
      <c r="D44"/>
      <c r="E44"/>
      <c r="F44"/>
      <c r="H44"/>
      <c r="I44"/>
      <c r="K44"/>
      <c r="L44"/>
      <c r="M44"/>
      <c r="O44"/>
      <c r="P44"/>
      <c r="Q44"/>
      <c r="R44"/>
      <c r="S44"/>
      <c r="T44"/>
    </row>
    <row r="45" spans="4:25" x14ac:dyDescent="0.2">
      <c r="D45"/>
      <c r="E45"/>
      <c r="F45"/>
      <c r="H45"/>
      <c r="I45"/>
      <c r="K45"/>
      <c r="L45"/>
      <c r="M45"/>
      <c r="O45"/>
      <c r="P45"/>
      <c r="Q45"/>
      <c r="R45"/>
      <c r="S45"/>
      <c r="T45"/>
    </row>
    <row r="46" spans="4:25" x14ac:dyDescent="0.2">
      <c r="D46"/>
      <c r="E46"/>
      <c r="F46"/>
      <c r="H46"/>
      <c r="I46"/>
      <c r="K46"/>
      <c r="L46"/>
      <c r="M46"/>
      <c r="O46"/>
      <c r="P46"/>
      <c r="Q46"/>
      <c r="R46"/>
      <c r="S46"/>
      <c r="T46"/>
    </row>
    <row r="47" spans="4:25" x14ac:dyDescent="0.2">
      <c r="D47"/>
      <c r="E47"/>
      <c r="F47"/>
      <c r="H47"/>
      <c r="I47"/>
      <c r="K47"/>
      <c r="L47"/>
      <c r="M47"/>
      <c r="O47"/>
      <c r="P47"/>
      <c r="Q47"/>
      <c r="R47"/>
      <c r="S47"/>
      <c r="T47"/>
    </row>
    <row r="48" spans="4:25" x14ac:dyDescent="0.2">
      <c r="D48"/>
      <c r="E48"/>
      <c r="F48"/>
      <c r="H48"/>
      <c r="I48"/>
      <c r="K48"/>
      <c r="L48"/>
      <c r="M48"/>
      <c r="O48"/>
      <c r="P48"/>
      <c r="Q48"/>
      <c r="R48"/>
      <c r="S48"/>
      <c r="T48"/>
    </row>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sheetData>
  <mergeCells count="10">
    <mergeCell ref="V2:Y2"/>
    <mergeCell ref="V22:Y22"/>
    <mergeCell ref="O3:T3"/>
    <mergeCell ref="D23:F23"/>
    <mergeCell ref="H23:I23"/>
    <mergeCell ref="L23:M23"/>
    <mergeCell ref="D3:F3"/>
    <mergeCell ref="H3:I3"/>
    <mergeCell ref="K3:M3"/>
    <mergeCell ref="K4:M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145530-AC77-4986-BB97-8BD7A961DD6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186</vt:i4>
      </vt:variant>
    </vt:vector>
  </HeadingPairs>
  <TitlesOfParts>
    <vt:vector size="199" baseType="lpstr">
      <vt:lpstr>assumptions</vt:lpstr>
      <vt:lpstr>out-put</vt:lpstr>
      <vt:lpstr>Parameters.NSTEMI</vt:lpstr>
      <vt:lpstr>random</vt:lpstr>
      <vt:lpstr>simulation</vt:lpstr>
      <vt:lpstr>Intitial-Calculations</vt:lpstr>
      <vt:lpstr>decision tree</vt:lpstr>
      <vt:lpstr>costs</vt:lpstr>
      <vt:lpstr>markov_transition</vt:lpstr>
      <vt:lpstr>markov</vt:lpstr>
      <vt:lpstr>age_sex_dependant_mortality</vt:lpstr>
      <vt:lpstr>age_sex_dependant_utility</vt:lpstr>
      <vt:lpstr>timeline</vt:lpstr>
      <vt:lpstr>adj_u_noevent</vt:lpstr>
      <vt:lpstr>adj_u_pos_stk</vt:lpstr>
      <vt:lpstr>adj_u_posrinfarc</vt:lpstr>
      <vt:lpstr>adj_u_rinfarc</vt:lpstr>
      <vt:lpstr>adj_u_stk</vt:lpstr>
      <vt:lpstr>an_u_dec_maj_bleed</vt:lpstr>
      <vt:lpstr>an_u_dec_min_bleed</vt:lpstr>
      <vt:lpstr>c_bleed_ac</vt:lpstr>
      <vt:lpstr>c_bleed_ap</vt:lpstr>
      <vt:lpstr>c_bleed_at</vt:lpstr>
      <vt:lpstr>c_dead_tree</vt:lpstr>
      <vt:lpstr>c_drug_ac_dead_poc</vt:lpstr>
      <vt:lpstr>c_drug_ac_dead_st</vt:lpstr>
      <vt:lpstr>c_drug_ac_mi_poc</vt:lpstr>
      <vt:lpstr>c_drug_ac_mi_st</vt:lpstr>
      <vt:lpstr>c_drug_ac_noevent_poc</vt:lpstr>
      <vt:lpstr>c_drug_ac_noevent_st</vt:lpstr>
      <vt:lpstr>c_drug_ac_stk_poc</vt:lpstr>
      <vt:lpstr>c_drug_ac_stk_st</vt:lpstr>
      <vt:lpstr>c_drug_ap_dead_poc</vt:lpstr>
      <vt:lpstr>c_drug_ap_dead_st</vt:lpstr>
      <vt:lpstr>c_drug_ap_mi_poc</vt:lpstr>
      <vt:lpstr>c_drug_ap_mi_st</vt:lpstr>
      <vt:lpstr>c_drug_ap_noevent_pc</vt:lpstr>
      <vt:lpstr>c_drug_ap_noevent_st</vt:lpstr>
      <vt:lpstr>c_drug_ap_stk_poc</vt:lpstr>
      <vt:lpstr>c_drug_ap_stk_st</vt:lpstr>
      <vt:lpstr>c_drug_at_dead_poc</vt:lpstr>
      <vt:lpstr>c_drug_at_dead_st</vt:lpstr>
      <vt:lpstr>c_drug_at_mi_poc</vt:lpstr>
      <vt:lpstr>c_drug_at_mi_st</vt:lpstr>
      <vt:lpstr>c_drug_at_noevent_pc</vt:lpstr>
      <vt:lpstr>c_drug_at_noevent_st</vt:lpstr>
      <vt:lpstr>c_drug_at_stk_poc</vt:lpstr>
      <vt:lpstr>c_drug_at_stk_st</vt:lpstr>
      <vt:lpstr>c_dys_ac</vt:lpstr>
      <vt:lpstr>c_dys_ap</vt:lpstr>
      <vt:lpstr>c_dys_at</vt:lpstr>
      <vt:lpstr>c_dys_pp</vt:lpstr>
      <vt:lpstr>c_maj_bleed</vt:lpstr>
      <vt:lpstr>c_mi_tree</vt:lpstr>
      <vt:lpstr>c_min_bleed</vt:lpstr>
      <vt:lpstr>c_noevent_markov</vt:lpstr>
      <vt:lpstr>c_noevent_tree</vt:lpstr>
      <vt:lpstr>c_pci</vt:lpstr>
      <vt:lpstr>c_poc_test</vt:lpstr>
      <vt:lpstr>c_poc_total</vt:lpstr>
      <vt:lpstr>c_poc_tree</vt:lpstr>
      <vt:lpstr>c_post_rinfar_mkv</vt:lpstr>
      <vt:lpstr>c_post_stk_mkv</vt:lpstr>
      <vt:lpstr>c_rinfar_mkv</vt:lpstr>
      <vt:lpstr>c_st_total</vt:lpstr>
      <vt:lpstr>c_st_tree</vt:lpstr>
      <vt:lpstr>c_stk_mkv</vt:lpstr>
      <vt:lpstr>c_stk_tree</vt:lpstr>
      <vt:lpstr>ce_tresh</vt:lpstr>
      <vt:lpstr>current_age</vt:lpstr>
      <vt:lpstr>cycle</vt:lpstr>
      <vt:lpstr>day_cost_asa</vt:lpstr>
      <vt:lpstr>day_cost_clop</vt:lpstr>
      <vt:lpstr>day_cost_pras</vt:lpstr>
      <vt:lpstr>day_cost_pras_10mg</vt:lpstr>
      <vt:lpstr>day_cost_pras_5mg</vt:lpstr>
      <vt:lpstr>day_cost_tica</vt:lpstr>
      <vt:lpstr>disc_cost</vt:lpstr>
      <vt:lpstr>disc_effect</vt:lpstr>
      <vt:lpstr>dist_dead_pc_tree</vt:lpstr>
      <vt:lpstr>dist_dead_st_tree</vt:lpstr>
      <vt:lpstr>dist_nevent_pc_tree</vt:lpstr>
      <vt:lpstr>dist_nevent_st_tree</vt:lpstr>
      <vt:lpstr>dist_rinfarc_pc_tree</vt:lpstr>
      <vt:lpstr>dist_rinfarc_st_tree</vt:lpstr>
      <vt:lpstr>dist_stk_pc_tree</vt:lpstr>
      <vt:lpstr>dist_stk_st_tree</vt:lpstr>
      <vt:lpstr>duration_dys</vt:lpstr>
      <vt:lpstr>duration_maj_bleed</vt:lpstr>
      <vt:lpstr>duration_min_bleed</vt:lpstr>
      <vt:lpstr>ICER</vt:lpstr>
      <vt:lpstr>ld_clop_300</vt:lpstr>
      <vt:lpstr>ld_clop_600</vt:lpstr>
      <vt:lpstr>ld_pras_60</vt:lpstr>
      <vt:lpstr>ld_tica_180</vt:lpstr>
      <vt:lpstr>life_table</vt:lpstr>
      <vt:lpstr>LYGs_poc</vt:lpstr>
      <vt:lpstr>LYGs_st</vt:lpstr>
      <vt:lpstr>male_proportion_STEMI</vt:lpstr>
      <vt:lpstr>md_328_day</vt:lpstr>
      <vt:lpstr>md_360_day</vt:lpstr>
      <vt:lpstr>md_365_day</vt:lpstr>
      <vt:lpstr>md_5_day</vt:lpstr>
      <vt:lpstr>md_halfway</vt:lpstr>
      <vt:lpstr>model_type</vt:lpstr>
      <vt:lpstr>or_dead_pras_clop</vt:lpstr>
      <vt:lpstr>or_dead_tica_clop</vt:lpstr>
      <vt:lpstr>or_dys_at_ac</vt:lpstr>
      <vt:lpstr>or_maj_bleed__tica_clop</vt:lpstr>
      <vt:lpstr>or_maj_bleed_pras_clop</vt:lpstr>
      <vt:lpstr>or_mi_pras_clop</vt:lpstr>
      <vt:lpstr>or_mi_tica_clop</vt:lpstr>
      <vt:lpstr>or_min_bleed_pras_clop</vt:lpstr>
      <vt:lpstr>or_min_bleed_tica_clop</vt:lpstr>
      <vt:lpstr>or_stk_pras_clop</vt:lpstr>
      <vt:lpstr>or_stk_tica_clop</vt:lpstr>
      <vt:lpstr>prb_dys_ap</vt:lpstr>
      <vt:lpstr>prev_lof_base</vt:lpstr>
      <vt:lpstr>prev_lof_sa</vt:lpstr>
      <vt:lpstr>prob_ce</vt:lpstr>
      <vt:lpstr>prob_dead_ac</vt:lpstr>
      <vt:lpstr>prob_dead_ac_nlof</vt:lpstr>
      <vt:lpstr>prob_dead_ap</vt:lpstr>
      <vt:lpstr>prob_dead_at</vt:lpstr>
      <vt:lpstr>prob_dead_noevent</vt:lpstr>
      <vt:lpstr>prob_dead_pos_reinfarct</vt:lpstr>
      <vt:lpstr>prob_dead_pstk</vt:lpstr>
      <vt:lpstr>prob_dead_reinfarction</vt:lpstr>
      <vt:lpstr>prob_dead_stk</vt:lpstr>
      <vt:lpstr>prob_dys_ac</vt:lpstr>
      <vt:lpstr>prob_dys_ap</vt:lpstr>
      <vt:lpstr>prob_dys_at</vt:lpstr>
      <vt:lpstr>prob_maj_bleed_ac</vt:lpstr>
      <vt:lpstr>prob_maj_bleed_ap</vt:lpstr>
      <vt:lpstr>prob_maj_bleed_at</vt:lpstr>
      <vt:lpstr>prob_mi_ac</vt:lpstr>
      <vt:lpstr>prob_mi_ac_nlof</vt:lpstr>
      <vt:lpstr>prob_mi_ap</vt:lpstr>
      <vt:lpstr>prob_mi_at</vt:lpstr>
      <vt:lpstr>prob_min_bleed_ac</vt:lpstr>
      <vt:lpstr>prob_min_bleed_ap</vt:lpstr>
      <vt:lpstr>prob_min_bleed_at</vt:lpstr>
      <vt:lpstr>prob_nevent_to_rinfarc</vt:lpstr>
      <vt:lpstr>prob_nevent_to_stk</vt:lpstr>
      <vt:lpstr>prob_stk_ac</vt:lpstr>
      <vt:lpstr>prob_stk_ac_nlof</vt:lpstr>
      <vt:lpstr>prob_stk_ap</vt:lpstr>
      <vt:lpstr>prob_stk_at</vt:lpstr>
      <vt:lpstr>prob_test_follow</vt:lpstr>
      <vt:lpstr>prob_test_order</vt:lpstr>
      <vt:lpstr>prop_ac_st</vt:lpstr>
      <vt:lpstr>prop_ap_lof</vt:lpstr>
      <vt:lpstr>prop_ap_st</vt:lpstr>
      <vt:lpstr>prop_at_lof</vt:lpstr>
      <vt:lpstr>prop_at_st</vt:lpstr>
      <vt:lpstr>prop_pras_5mg</vt:lpstr>
      <vt:lpstr>prop_test_not_followed</vt:lpstr>
      <vt:lpstr>prop_test_not_ordered</vt:lpstr>
      <vt:lpstr>psa_cost_diff</vt:lpstr>
      <vt:lpstr>psa_qaly_diff</vt:lpstr>
      <vt:lpstr>qaly_poc_total</vt:lpstr>
      <vt:lpstr>qaly_poc_tree</vt:lpstr>
      <vt:lpstr>qaly_st_total</vt:lpstr>
      <vt:lpstr>qaly_st_tree</vt:lpstr>
      <vt:lpstr>rate_maj_bleed_ac_nlof</vt:lpstr>
      <vt:lpstr>rate_min_bleed_ac_nlof</vt:lpstr>
      <vt:lpstr>RR_dead_ac_nlof</vt:lpstr>
      <vt:lpstr>rr_maj_bleed_ac_nlof</vt:lpstr>
      <vt:lpstr>rr_mi_ac_nlof</vt:lpstr>
      <vt:lpstr>rr_min_bleed_ac_nlof</vt:lpstr>
      <vt:lpstr>rr_stk_ac_nlof</vt:lpstr>
      <vt:lpstr>smr_noevent</vt:lpstr>
      <vt:lpstr>smr_post_rinfar</vt:lpstr>
      <vt:lpstr>smr_post_stk</vt:lpstr>
      <vt:lpstr>smr_rinfar</vt:lpstr>
      <vt:lpstr>smr_stk</vt:lpstr>
      <vt:lpstr>start_age_f</vt:lpstr>
      <vt:lpstr>start_age_m</vt:lpstr>
      <vt:lpstr>stemi_size</vt:lpstr>
      <vt:lpstr>u_dec_bleed_ac</vt:lpstr>
      <vt:lpstr>u_dec_bleed_ap</vt:lpstr>
      <vt:lpstr>u_dec_bleed_at</vt:lpstr>
      <vt:lpstr>u_dec_dys</vt:lpstr>
      <vt:lpstr>u_dec_dys_ac</vt:lpstr>
      <vt:lpstr>u_dec_dys_ap</vt:lpstr>
      <vt:lpstr>u_dec_dys_at</vt:lpstr>
      <vt:lpstr>u_dec_maj_bleed</vt:lpstr>
      <vt:lpstr>u_dec_min_bleed</vt:lpstr>
      <vt:lpstr>u_noevent</vt:lpstr>
      <vt:lpstr>u_noevent_tree</vt:lpstr>
      <vt:lpstr>u_post_rinfar</vt:lpstr>
      <vt:lpstr>u_post_rinfar_tree</vt:lpstr>
      <vt:lpstr>u_post_stk</vt:lpstr>
      <vt:lpstr>u_post_stk_tree</vt:lpstr>
      <vt:lpstr>u_rinfar</vt:lpstr>
      <vt:lpstr>u_rinfar_tree</vt:lpstr>
      <vt:lpstr>u_stk</vt:lpstr>
      <vt:lpstr>u_stk_tree</vt:lpstr>
      <vt:lpstr>wtp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Alireza Mahboub-Ahari</dc:creator>
  <cp:keywords/>
  <dc:description/>
  <cp:lastModifiedBy>Joe hilton Hilton</cp:lastModifiedBy>
  <cp:revision/>
  <dcterms:created xsi:type="dcterms:W3CDTF">2015-06-05T18:17:20Z</dcterms:created>
  <dcterms:modified xsi:type="dcterms:W3CDTF">2025-07-16T16:37:28Z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eath_AC_noLOF" linkTarget="prop_death_AC_noLOF">
    <vt:r8>0.0517306559582477</vt:r8>
  </property>
  <property fmtid="{D5CDD505-2E9C-101B-9397-08002B2CF9AE}" pid="3" name="MI_AC_noLOF" linkTarget="prop_MI_AC_noLOF">
    <vt:r8>0.0392419045404337</vt:r8>
  </property>
  <property fmtid="{D5CDD505-2E9C-101B-9397-08002B2CF9AE}" pid="4" name="stroke_AC_noLOF" linkTarget="prop_stroke_AC_noLOF">
    <vt:r8>0.00925925925925927</vt:r8>
  </property>
  <property fmtid="{D5CDD505-2E9C-101B-9397-08002B2CF9AE}" pid="5" name="test_not_followed" linkTarget="prop_test_not_followed">
    <vt:r8>0.0651</vt:r8>
  </property>
  <property fmtid="{D5CDD505-2E9C-101B-9397-08002B2CF9AE}" pid="6" name="test_not_ordered" linkTarget="prop_test_not_ordered">
    <vt:r8>0.07</vt:r8>
  </property>
  <property fmtid="{D5CDD505-2E9C-101B-9397-08002B2CF9AE}" pid="7" name="ac_st" linkTarget="prop_ac_st">
    <vt:r8>0.5</vt:r8>
  </property>
  <property fmtid="{D5CDD505-2E9C-101B-9397-08002B2CF9AE}" pid="8" name="ap_lof" linkTarget="prop_ap_lof">
    <vt:r8>0.0600000000000001</vt:r8>
  </property>
  <property fmtid="{D5CDD505-2E9C-101B-9397-08002B2CF9AE}" pid="9" name="ap_st" linkTarget="prop_ap_st">
    <vt:r8>0.03</vt:r8>
  </property>
  <property fmtid="{D5CDD505-2E9C-101B-9397-08002B2CF9AE}" pid="10" name="at_lof" linkTarget="prop_at_lof">
    <vt:r8>0.94</vt:r8>
  </property>
  <property fmtid="{D5CDD505-2E9C-101B-9397-08002B2CF9AE}" pid="11" name="at_st" linkTarget="prop_at_st">
    <vt:r8>0.47</vt:r8>
  </property>
  <property fmtid="{D5CDD505-2E9C-101B-9397-08002B2CF9AE}" pid="12" name="pras_5mg" linkTarget="prop_pras_5mg">
    <vt:r8>0.15</vt:r8>
  </property>
</Properties>
</file>